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nagri/Desktop/TRABAJOS 2023/Anuario PECUARIA Y AVICOLA 2022/DATA 2023/"/>
    </mc:Choice>
  </mc:AlternateContent>
  <xr:revisionPtr revIDLastSave="0" documentId="13_ncr:1_{5835E5BD-951C-A544-B2E8-E130AF724096}" xr6:coauthVersionLast="47" xr6:coauthVersionMax="47" xr10:uidLastSave="{00000000-0000-0000-0000-000000000000}"/>
  <bookViews>
    <workbookView xWindow="0" yWindow="500" windowWidth="27760" windowHeight="24100" tabRatio="898" firstSheet="111" activeTab="122" xr2:uid="{00000000-000D-0000-FFFF-FFFF00000000}"/>
  </bookViews>
  <sheets>
    <sheet name="1. INDICADORES ECONÓMICOS" sheetId="160" r:id="rId1"/>
    <sheet name="C 1 - C 2 - C 3" sheetId="5" r:id="rId2"/>
    <sheet name="2. POBLACION Y ..." sheetId="161" r:id="rId3"/>
    <sheet name="C-4" sheetId="6" r:id="rId4"/>
    <sheet name="C 5" sheetId="7" r:id="rId5"/>
    <sheet name="C -6" sheetId="8" r:id="rId6"/>
    <sheet name="C 7" sheetId="9" r:id="rId7"/>
    <sheet name="C 8" sheetId="10" r:id="rId8"/>
    <sheet name="C 9" sheetId="11" r:id="rId9"/>
    <sheet name="C 10" sheetId="12" r:id="rId10"/>
    <sheet name="C 11" sheetId="13" r:id="rId11"/>
    <sheet name="C 12" sheetId="14" r:id="rId12"/>
    <sheet name="C 13" sheetId="15" r:id="rId13"/>
    <sheet name="C 14" sheetId="117" r:id="rId14"/>
    <sheet name="C 15" sheetId="118" r:id="rId15"/>
    <sheet name="C 16" sheetId="119" r:id="rId16"/>
    <sheet name="C 17" sheetId="120" r:id="rId17"/>
    <sheet name="C 18" sheetId="121" r:id="rId18"/>
    <sheet name="C 19" sheetId="122" r:id="rId19"/>
    <sheet name="C 20" sheetId="123" r:id="rId20"/>
    <sheet name="C 21" sheetId="124" r:id="rId21"/>
    <sheet name="C 22" sheetId="125" r:id="rId22"/>
    <sheet name="C 23" sheetId="126" r:id="rId23"/>
    <sheet name="C 24" sheetId="127" r:id="rId24"/>
    <sheet name="C 25" sheetId="128" r:id="rId25"/>
    <sheet name="C 26" sheetId="129" r:id="rId26"/>
    <sheet name="C 27" sheetId="130" r:id="rId27"/>
    <sheet name="C 28" sheetId="131" r:id="rId28"/>
    <sheet name="C 29" sheetId="132" r:id="rId29"/>
    <sheet name="C 30" sheetId="133" r:id="rId30"/>
    <sheet name="C 31" sheetId="134" r:id="rId31"/>
    <sheet name="C 32" sheetId="135" r:id="rId32"/>
    <sheet name="C 33" sheetId="136" r:id="rId33"/>
    <sheet name="C 34" sheetId="137" r:id="rId34"/>
    <sheet name="C 35" sheetId="138" r:id="rId35"/>
    <sheet name="C 36" sheetId="139" r:id="rId36"/>
    <sheet name="C 37" sheetId="140" r:id="rId37"/>
    <sheet name="C 38" sheetId="141" r:id="rId38"/>
    <sheet name="C 39" sheetId="142" r:id="rId39"/>
    <sheet name="C 40" sheetId="143" r:id="rId40"/>
    <sheet name="C 41" sheetId="144" r:id="rId41"/>
    <sheet name="C 42" sheetId="145" r:id="rId42"/>
    <sheet name="C 43" sheetId="146" r:id="rId43"/>
    <sheet name="C 44" sheetId="147" r:id="rId44"/>
    <sheet name="C 45" sheetId="148" r:id="rId45"/>
    <sheet name="C 46" sheetId="149" r:id="rId46"/>
    <sheet name="C 47" sheetId="150" r:id="rId47"/>
    <sheet name="C 48" sheetId="151" r:id="rId48"/>
    <sheet name="C 49" sheetId="152" r:id="rId49"/>
    <sheet name="C-50" sheetId="16" r:id="rId50"/>
    <sheet name="C-51" sheetId="17" r:id="rId51"/>
    <sheet name="C-52" sheetId="18" r:id="rId52"/>
    <sheet name="C-53" sheetId="19" r:id="rId53"/>
    <sheet name="C-54" sheetId="20" r:id="rId54"/>
    <sheet name="C-55" sheetId="21" r:id="rId55"/>
    <sheet name="C-56" sheetId="22" r:id="rId56"/>
    <sheet name="C-57" sheetId="23" r:id="rId57"/>
    <sheet name="C-58" sheetId="24" r:id="rId58"/>
    <sheet name="C-59" sheetId="25" r:id="rId59"/>
    <sheet name="C-60" sheetId="26" r:id="rId60"/>
    <sheet name="C-61" sheetId="27" r:id="rId61"/>
    <sheet name="C-62" sheetId="28" r:id="rId62"/>
    <sheet name="C-63" sheetId="29" r:id="rId63"/>
    <sheet name="C-64" sheetId="30" r:id="rId64"/>
    <sheet name="C-65" sheetId="31" r:id="rId65"/>
    <sheet name="C-66" sheetId="32" r:id="rId66"/>
    <sheet name="C-67" sheetId="33" r:id="rId67"/>
    <sheet name="C-68" sheetId="34" r:id="rId68"/>
    <sheet name="C-69" sheetId="35" r:id="rId69"/>
    <sheet name="C-70" sheetId="36" r:id="rId70"/>
    <sheet name="C-71" sheetId="37" r:id="rId71"/>
    <sheet name="C-72" sheetId="38" r:id="rId72"/>
    <sheet name="C-73" sheetId="39" r:id="rId73"/>
    <sheet name="C-74" sheetId="40" r:id="rId74"/>
    <sheet name="C-75" sheetId="41" r:id="rId75"/>
    <sheet name="C-76" sheetId="42" r:id="rId76"/>
    <sheet name="C-77" sheetId="43" r:id="rId77"/>
    <sheet name="C-78" sheetId="44" r:id="rId78"/>
    <sheet name="C-79" sheetId="45" r:id="rId79"/>
    <sheet name="C-80" sheetId="46" r:id="rId80"/>
    <sheet name="C-81" sheetId="47" r:id="rId81"/>
    <sheet name="C-82" sheetId="48" r:id="rId82"/>
    <sheet name="C-83" sheetId="49" r:id="rId83"/>
    <sheet name="C-84" sheetId="50" r:id="rId84"/>
    <sheet name="C-85" sheetId="51" r:id="rId85"/>
    <sheet name="3. BENEFICIO DE ..." sheetId="162" r:id="rId86"/>
    <sheet name="C 86-C87" sheetId="52" r:id="rId87"/>
    <sheet name="C-88" sheetId="53" r:id="rId88"/>
    <sheet name="C-89" sheetId="54" r:id="rId89"/>
    <sheet name="C 90" sheetId="55" r:id="rId90"/>
    <sheet name="C 91 - 99" sheetId="56" r:id="rId91"/>
    <sheet name="4. ABASTECIMIENTO Y ..." sheetId="163" r:id="rId92"/>
    <sheet name="C 100 - 101" sheetId="58" r:id="rId93"/>
    <sheet name="C 102 - 103" sheetId="59" r:id="rId94"/>
    <sheet name="C 104-105" sheetId="62" r:id="rId95"/>
    <sheet name="C 106 - 107" sheetId="116" r:id="rId96"/>
    <sheet name="C 108 - 109 " sheetId="66" r:id="rId97"/>
    <sheet name="5. PRECIOS AL..." sheetId="164" r:id="rId98"/>
    <sheet name="C 110 _ 111" sheetId="69" r:id="rId99"/>
    <sheet name="C-112" sheetId="73" r:id="rId100"/>
    <sheet name="C-113" sheetId="74" r:id="rId101"/>
    <sheet name="C-114" sheetId="75" r:id="rId102"/>
    <sheet name="C-115" sheetId="76" r:id="rId103"/>
    <sheet name="C-116" sheetId="77" r:id="rId104"/>
    <sheet name="C-117" sheetId="78" r:id="rId105"/>
    <sheet name="C-118" sheetId="79" r:id="rId106"/>
    <sheet name="C-119" sheetId="80" r:id="rId107"/>
    <sheet name="C-120" sheetId="81" r:id="rId108"/>
    <sheet name="C-121" sheetId="82" r:id="rId109"/>
    <sheet name="C_122" sheetId="83" r:id="rId110"/>
    <sheet name="C-123" sheetId="84" r:id="rId111"/>
    <sheet name="C-124" sheetId="85" r:id="rId112"/>
    <sheet name="6. ESTADÍSTICA AVÍCOLA" sheetId="165" r:id="rId113"/>
    <sheet name="C-125" sheetId="86" r:id="rId114"/>
    <sheet name="C-126" sheetId="87" r:id="rId115"/>
    <sheet name="C 127 - 128" sheetId="91" r:id="rId116"/>
    <sheet name="C 129 - 130" sheetId="92" r:id="rId117"/>
    <sheet name="C 131 - 132" sheetId="93" r:id="rId118"/>
    <sheet name="C 133 - 134" sheetId="94" r:id="rId119"/>
    <sheet name="C 135 " sheetId="95" r:id="rId120"/>
    <sheet name="C-136-137" sheetId="96" r:id="rId121"/>
    <sheet name="C 138 - 139" sheetId="97" r:id="rId122"/>
    <sheet name="C 140 - 141 " sheetId="106" r:id="rId123"/>
    <sheet name="C 142 - C 143" sheetId="107" r:id="rId124"/>
    <sheet name="C 144" sheetId="110" r:id="rId125"/>
    <sheet name="C 145" sheetId="111" r:id="rId126"/>
    <sheet name="C 146" sheetId="112" r:id="rId127"/>
    <sheet name="C-147" sheetId="153" r:id="rId128"/>
    <sheet name="C-148" sheetId="154" r:id="rId129"/>
    <sheet name="C-149" sheetId="155" r:id="rId130"/>
    <sheet name="C-150" sheetId="156" r:id="rId131"/>
    <sheet name="C-151" sheetId="157" r:id="rId132"/>
    <sheet name="C-152" sheetId="158" r:id="rId133"/>
    <sheet name="C-153" sheetId="159" r:id="rId134"/>
    <sheet name="C 154" sheetId="113" r:id="rId135"/>
  </sheets>
  <externalReferences>
    <externalReference r:id="rId136"/>
    <externalReference r:id="rId137"/>
    <externalReference r:id="rId138"/>
  </externalReferences>
  <definedNames>
    <definedName name="_Regression_Int" localSheetId="92" hidden="1">1</definedName>
    <definedName name="_Regression_Int" localSheetId="93" hidden="1">1</definedName>
    <definedName name="_Regression_Int" localSheetId="94" hidden="1">1</definedName>
    <definedName name="_Regression_Int" localSheetId="95" hidden="1">1</definedName>
    <definedName name="_Regression_Int" localSheetId="96" hidden="1">1</definedName>
    <definedName name="_Regression_Int" localSheetId="4" hidden="1">1</definedName>
    <definedName name="_Regression_Int" localSheetId="89" hidden="1">1</definedName>
    <definedName name="_Regression_Int" localSheetId="87" hidden="1">1</definedName>
    <definedName name="_Regression_Int" localSheetId="88" hidden="1">1</definedName>
    <definedName name="\c">#REF!</definedName>
    <definedName name="\x" localSheetId="4">'C 5'!#REF!</definedName>
    <definedName name="\x">#REF!</definedName>
    <definedName name="A" localSheetId="4">'C 5'!$W$20:$DC$20</definedName>
    <definedName name="A">#REF!</definedName>
    <definedName name="A_IMPRESION_IM" localSheetId="90">'C 91 - 99'!#REF!</definedName>
    <definedName name="A_IMPRESION_IM">#REF!</definedName>
    <definedName name="A_impresión_IM" localSheetId="92">'C 100 - 101'!$A$1:$K$56</definedName>
    <definedName name="A_impresión_IM" localSheetId="93">'C 102 - 103'!$A$1:$I$45</definedName>
    <definedName name="A_impresión_IM" localSheetId="94">'C 104-105'!$A$1:$K$57</definedName>
    <definedName name="A_impresión_IM" localSheetId="95">'C 106 - 107'!$A$1:$H$45</definedName>
    <definedName name="A_impresión_IM" localSheetId="96">'C 108 - 109 '!#REF!</definedName>
    <definedName name="A_IMPRESIÓN_IM" localSheetId="124">[1]CYPPOLLO!#REF!</definedName>
    <definedName name="A_IMPRESIÓN_IM" localSheetId="125">[1]CYPPOLLO!#REF!</definedName>
    <definedName name="A_IMPRESIÓN_IM" localSheetId="126">[1]CYPPOLLO!#REF!</definedName>
    <definedName name="A_impresión_IM" localSheetId="86">#REF!</definedName>
    <definedName name="A_impresión_IM" localSheetId="89">'C 90'!$A$1:$D$44</definedName>
    <definedName name="A_IMPRESIÓN_IM" localSheetId="90">'C 91 - 99'!$A$3:$DH$39</definedName>
    <definedName name="A_IMPRESIÓN_IM" localSheetId="114">[1]CYPPOLLO!#REF!</definedName>
    <definedName name="A_impresión_IM" localSheetId="3">#REF!</definedName>
    <definedName name="A_impresión_IM" localSheetId="87">'C-88'!$A$1:$D$44</definedName>
    <definedName name="A_impresión_IM" localSheetId="88">'C-89'!$A$1:$D$44</definedName>
    <definedName name="A_impresión_IM">#REF!</definedName>
    <definedName name="_xlnm.Print_Area" localSheetId="5">'C -6'!$A$1:$O$65</definedName>
    <definedName name="_xlnm.Print_Area" localSheetId="1">'C 1 - C 2 - C 3'!$A$2:$Z$79</definedName>
    <definedName name="_xlnm.Print_Area" localSheetId="9">'C 10'!$A$1:$F$40</definedName>
    <definedName name="_xlnm.Print_Area" localSheetId="92">'C 100 - 101'!$A$2:$K$54</definedName>
    <definedName name="_xlnm.Print_Area" localSheetId="93">'C 102 - 103'!$A$3:$I$46</definedName>
    <definedName name="_xlnm.Print_Area" localSheetId="94">'C 104-105'!$A$2:$K$54</definedName>
    <definedName name="_xlnm.Print_Area" localSheetId="95">'C 106 - 107'!$A$3:$I$46</definedName>
    <definedName name="_xlnm.Print_Area" localSheetId="96">'C 108 - 109 '!$A$3:$O$58</definedName>
    <definedName name="_xlnm.Print_Area" localSheetId="10">'C 11'!$A$2:$F$39</definedName>
    <definedName name="_xlnm.Print_Area" localSheetId="98">'C 110 _ 111'!$A$1:$M$52</definedName>
    <definedName name="_xlnm.Print_Area" localSheetId="11">'C 12'!$A$1:$F$39</definedName>
    <definedName name="_xlnm.Print_Area" localSheetId="115">'C 127 - 128'!$A$2:$X$42</definedName>
    <definedName name="_xlnm.Print_Area" localSheetId="116">'C 129 - 130'!$A$2:$X$42</definedName>
    <definedName name="_xlnm.Print_Area" localSheetId="12">'C 13'!$A$1:$O$32</definedName>
    <definedName name="_xlnm.Print_Area" localSheetId="117">'C 131 - 132'!$A$2:$X$42</definedName>
    <definedName name="_xlnm.Print_Area" localSheetId="118">'C 133 - 134'!$A$2:$X$42</definedName>
    <definedName name="_xlnm.Print_Area" localSheetId="119">'C 135 '!$A$2:$X$21</definedName>
    <definedName name="_xlnm.Print_Area" localSheetId="121">'C 138 - 139'!$A$2:$X$42</definedName>
    <definedName name="_xlnm.Print_Area" localSheetId="13">'C 14'!$A$2:$T$34</definedName>
    <definedName name="_xlnm.Print_Area" localSheetId="122">'C 140 - 141 '!$A$1:$W$42</definedName>
    <definedName name="_xlnm.Print_Area" localSheetId="123">'C 142 - C 143'!$A$2:$X$42</definedName>
    <definedName name="_xlnm.Print_Area" localSheetId="124">'C 144'!$A$2:$N$42</definedName>
    <definedName name="_xlnm.Print_Area" localSheetId="125">'C 145'!$A$2:$N$42</definedName>
    <definedName name="_xlnm.Print_Area" localSheetId="126">'C 146'!$A$2:$N$42</definedName>
    <definedName name="_xlnm.Print_Area" localSheetId="14">'C 15'!$A$1:$T$34</definedName>
    <definedName name="_xlnm.Print_Area" localSheetId="134">'C 154'!$A$2:$O$47</definedName>
    <definedName name="_xlnm.Print_Area" localSheetId="15">'C 16'!$A$1:$T$34</definedName>
    <definedName name="_xlnm.Print_Area" localSheetId="16">'C 17'!$A$2:$T$34</definedName>
    <definedName name="_xlnm.Print_Area" localSheetId="17">'C 18'!$A$2:$T$34</definedName>
    <definedName name="_xlnm.Print_Area" localSheetId="18">'C 19'!$A$2:$T$34</definedName>
    <definedName name="_xlnm.Print_Area" localSheetId="19">'C 20'!$A$1:$T$34</definedName>
    <definedName name="_xlnm.Print_Area" localSheetId="20">'C 21'!$A$2:$T$34</definedName>
    <definedName name="_xlnm.Print_Area" localSheetId="21">'C 22'!$A$1:$T$34</definedName>
    <definedName name="_xlnm.Print_Area" localSheetId="22">'C 23'!$A$2:$T$34</definedName>
    <definedName name="_xlnm.Print_Area" localSheetId="23">'C 24'!$A$1:$T$34</definedName>
    <definedName name="_xlnm.Print_Area" localSheetId="24">'C 25'!$A$1:$T$34</definedName>
    <definedName name="_xlnm.Print_Area" localSheetId="25">'C 26'!$A$1:$T$34</definedName>
    <definedName name="_xlnm.Print_Area" localSheetId="26">'C 27'!$A$1:$T$34</definedName>
    <definedName name="_xlnm.Print_Area" localSheetId="27">'C 28'!$A$1:$T$34</definedName>
    <definedName name="_xlnm.Print_Area" localSheetId="28">'C 29'!$A$1:$T$34</definedName>
    <definedName name="_xlnm.Print_Area" localSheetId="29">'C 30'!$A$1:$T$34</definedName>
    <definedName name="_xlnm.Print_Area" localSheetId="30">'C 31'!$A$1:$T$34</definedName>
    <definedName name="_xlnm.Print_Area" localSheetId="31">'C 32'!$A$1:$T$34</definedName>
    <definedName name="_xlnm.Print_Area" localSheetId="32">'C 33'!$A$1:$T$34</definedName>
    <definedName name="_xlnm.Print_Area" localSheetId="33">'C 34'!$A$1:$T$34</definedName>
    <definedName name="_xlnm.Print_Area" localSheetId="34">'C 35'!$A$1:$T$34</definedName>
    <definedName name="_xlnm.Print_Area" localSheetId="35">'C 36'!$A$1:$T$34</definedName>
    <definedName name="_xlnm.Print_Area" localSheetId="36">'C 37'!$A$1:$T$34</definedName>
    <definedName name="_xlnm.Print_Area" localSheetId="37">'C 38'!$A$1:$T$34</definedName>
    <definedName name="_xlnm.Print_Area" localSheetId="38">'C 39'!$A$1:$T$34</definedName>
    <definedName name="_xlnm.Print_Area" localSheetId="39">'C 40'!$A$1:$T$34</definedName>
    <definedName name="_xlnm.Print_Area" localSheetId="40">'C 41'!$A$1:$T$34</definedName>
    <definedName name="_xlnm.Print_Area" localSheetId="41">'C 42'!$A$1:$T$34</definedName>
    <definedName name="_xlnm.Print_Area" localSheetId="42">'C 43'!$A$1:$T$34</definedName>
    <definedName name="_xlnm.Print_Area" localSheetId="43">'C 44'!$A$1:$T$34</definedName>
    <definedName name="_xlnm.Print_Area" localSheetId="44">'C 45'!$A$2:$T$34</definedName>
    <definedName name="_xlnm.Print_Area" localSheetId="45">'C 46'!$A$1:$T$34</definedName>
    <definedName name="_xlnm.Print_Area" localSheetId="46">'C 47'!$A$2:$T$34</definedName>
    <definedName name="_xlnm.Print_Area" localSheetId="47">'C 48'!$A$2:$T$34</definedName>
    <definedName name="_xlnm.Print_Area" localSheetId="48">'C 49'!$A$1:$T$34</definedName>
    <definedName name="_xlnm.Print_Area" localSheetId="4">'C 5'!$A$1:$Y$67</definedName>
    <definedName name="_xlnm.Print_Area" localSheetId="6">'C 7'!$A$2:$H$39</definedName>
    <definedName name="_xlnm.Print_Area" localSheetId="7">'C 8'!$A$2:$H$39</definedName>
    <definedName name="_xlnm.Print_Area" localSheetId="86">'C 86-C87'!$A$4:$M$46</definedName>
    <definedName name="_xlnm.Print_Area" localSheetId="8">'C 9'!$A$1:$H$39</definedName>
    <definedName name="_xlnm.Print_Area" localSheetId="89">'C 90'!$A$3:$G$41</definedName>
    <definedName name="_xlnm.Print_Area" localSheetId="90">'C 91 - 99'!$A$2:$DV$39</definedName>
    <definedName name="_xlnm.Print_Area" localSheetId="109">C_122!$A$1:$N$37</definedName>
    <definedName name="_xlnm.Print_Area" localSheetId="99">'C-112'!$A$1:$M$39</definedName>
    <definedName name="_xlnm.Print_Area" localSheetId="100">'C-113'!$A$1:$N$37</definedName>
    <definedName name="_xlnm.Print_Area" localSheetId="101">'C-114'!$A$1:$N$37</definedName>
    <definedName name="_xlnm.Print_Area" localSheetId="102">'C-115'!$A$1:$N$37</definedName>
    <definedName name="_xlnm.Print_Area" localSheetId="103">'C-116'!$A$1:$N$37</definedName>
    <definedName name="_xlnm.Print_Area" localSheetId="104">'C-117'!$A$1:$N$37</definedName>
    <definedName name="_xlnm.Print_Area" localSheetId="105">'C-118'!$A$1:$N$37</definedName>
    <definedName name="_xlnm.Print_Area" localSheetId="106">'C-119'!$A$1:$N$37</definedName>
    <definedName name="_xlnm.Print_Area" localSheetId="107">'C-120'!$A$1:$N$37</definedName>
    <definedName name="_xlnm.Print_Area" localSheetId="108">'C-121'!$A$1:$N$37</definedName>
    <definedName name="_xlnm.Print_Area" localSheetId="110">'C-123'!$A$1:$N$37</definedName>
    <definedName name="_xlnm.Print_Area" localSheetId="111">'C-124'!$A$1:$N$37</definedName>
    <definedName name="_xlnm.Print_Area" localSheetId="113">'C-125'!$A$2:$P$55</definedName>
    <definedName name="_xlnm.Print_Area" localSheetId="114">'C-126'!$A$3:$U$52</definedName>
    <definedName name="_xlnm.Print_Area" localSheetId="120">'C-136-137'!$A$2:$X$42</definedName>
    <definedName name="_xlnm.Print_Area" localSheetId="127">'C-147'!$A$2:$T$35</definedName>
    <definedName name="_xlnm.Print_Area" localSheetId="128">'C-148'!$A$2:$T$35</definedName>
    <definedName name="_xlnm.Print_Area" localSheetId="129">'C-149'!$A$2:$T$35</definedName>
    <definedName name="_xlnm.Print_Area" localSheetId="130">'C-150'!$A$2:$R$35</definedName>
    <definedName name="_xlnm.Print_Area" localSheetId="131">'C-151'!$A$2:$R$35</definedName>
    <definedName name="_xlnm.Print_Area" localSheetId="132">'C-152'!$A$2:$T$35</definedName>
    <definedName name="_xlnm.Print_Area" localSheetId="133">'C-153'!$A$2:$T$35</definedName>
    <definedName name="_xlnm.Print_Area" localSheetId="3">'C-4'!$A$2:$I$39</definedName>
    <definedName name="_xlnm.Print_Area" localSheetId="49">'C-50'!$A$4:$N$40</definedName>
    <definedName name="_xlnm.Print_Area" localSheetId="50">'C-51'!$A$4:$N$40</definedName>
    <definedName name="_xlnm.Print_Area" localSheetId="51">'C-52'!$A$4:$N$40</definedName>
    <definedName name="_xlnm.Print_Area" localSheetId="52">'C-53'!$A$4:$N$40</definedName>
    <definedName name="_xlnm.Print_Area" localSheetId="53">'C-54'!$A$4:$N$40</definedName>
    <definedName name="_xlnm.Print_Area" localSheetId="54">'C-55'!$A$4:$N$40</definedName>
    <definedName name="_xlnm.Print_Area" localSheetId="55">'C-56'!$A$4:$N$40</definedName>
    <definedName name="_xlnm.Print_Area" localSheetId="56">'C-57'!$A$4:$N$40</definedName>
    <definedName name="_xlnm.Print_Area" localSheetId="57">'C-58'!$A$4:$N$40</definedName>
    <definedName name="_xlnm.Print_Area" localSheetId="58">'C-59'!$A$1:$N$40</definedName>
    <definedName name="_xlnm.Print_Area" localSheetId="59">'C-60'!$A$4:$N$40</definedName>
    <definedName name="_xlnm.Print_Area" localSheetId="60">'C-61'!$A$4:$N$40</definedName>
    <definedName name="_xlnm.Print_Area" localSheetId="61">'C-62'!$A$4:$N$40</definedName>
    <definedName name="_xlnm.Print_Area" localSheetId="62">'C-63'!$A$4:$N$40</definedName>
    <definedName name="_xlnm.Print_Area" localSheetId="63">'C-64'!$A$4:$N$40</definedName>
    <definedName name="_xlnm.Print_Area" localSheetId="64">'C-65'!$A$4:$N$40</definedName>
    <definedName name="_xlnm.Print_Area" localSheetId="65">'C-66'!$A$4:$N$40</definedName>
    <definedName name="_xlnm.Print_Area" localSheetId="66">'C-67'!$A$1:$N$40</definedName>
    <definedName name="_xlnm.Print_Area" localSheetId="67">'C-68'!$A$4:$N$40</definedName>
    <definedName name="_xlnm.Print_Area" localSheetId="68">'C-69'!$A$4:$N$40</definedName>
    <definedName name="_xlnm.Print_Area" localSheetId="69">'C-70'!$A$4:$N$40</definedName>
    <definedName name="_xlnm.Print_Area" localSheetId="70">'C-71'!$A$4:$N$40</definedName>
    <definedName name="_xlnm.Print_Area" localSheetId="71">'C-72'!$A$4:$N$40</definedName>
    <definedName name="_xlnm.Print_Area" localSheetId="72">'C-73'!$A$4:$N$40</definedName>
    <definedName name="_xlnm.Print_Area" localSheetId="73">'C-74'!$A$4:$N$40</definedName>
    <definedName name="_xlnm.Print_Area" localSheetId="74">'C-75'!$A$4:$N$40</definedName>
    <definedName name="_xlnm.Print_Area" localSheetId="75">'C-76'!$A$4:$N$40</definedName>
    <definedName name="_xlnm.Print_Area" localSheetId="76">'C-77'!$A$4:$N$41</definedName>
    <definedName name="_xlnm.Print_Area" localSheetId="77">'C-78'!$A$4:$N$40</definedName>
    <definedName name="_xlnm.Print_Area" localSheetId="78">'C-79'!$A$4:$N$40</definedName>
    <definedName name="_xlnm.Print_Area" localSheetId="79">'C-80'!$A$4:$N$40</definedName>
    <definedName name="_xlnm.Print_Area" localSheetId="80">'C-81'!$A$4:$N$40</definedName>
    <definedName name="_xlnm.Print_Area" localSheetId="81">'C-82'!$A$4:$N$40</definedName>
    <definedName name="_xlnm.Print_Area" localSheetId="82">'C-83'!$A$4:$N$40</definedName>
    <definedName name="_xlnm.Print_Area" localSheetId="83">'C-84'!$A$4:$N$40</definedName>
    <definedName name="_xlnm.Print_Area" localSheetId="84">'C-85'!$A$4:$N$40</definedName>
    <definedName name="_xlnm.Print_Area" localSheetId="87">'C-88'!$A$3:$G$41</definedName>
    <definedName name="_xlnm.Print_Area" localSheetId="88">'C-89'!$A$3:$G$41</definedName>
    <definedName name="_xlnm.Print_Area">#REF!</definedName>
  </definedNames>
  <calcPr calcId="191029"/>
  <webPublishing allowPng="1" targetScreenSize="1024x768" codePage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I6" i="56" l="1"/>
  <c r="M18" i="52"/>
  <c r="M14" i="52"/>
  <c r="M10" i="52"/>
  <c r="M43" i="52"/>
  <c r="M39" i="52"/>
  <c r="M35" i="52"/>
  <c r="D32" i="113" l="1"/>
  <c r="M32" i="113"/>
  <c r="I32" i="113"/>
  <c r="H32" i="113"/>
  <c r="P17" i="86"/>
  <c r="O17" i="86"/>
  <c r="U27" i="66"/>
  <c r="B33" i="50"/>
  <c r="B32" i="50"/>
  <c r="B31" i="50"/>
  <c r="B30" i="50"/>
  <c r="B29" i="50"/>
  <c r="B28" i="50"/>
  <c r="B27" i="50"/>
  <c r="B26" i="50"/>
  <c r="B25" i="50"/>
  <c r="B24" i="50"/>
  <c r="B23" i="50"/>
  <c r="B22" i="50"/>
  <c r="B21" i="50"/>
  <c r="B20" i="50"/>
  <c r="B19" i="50"/>
  <c r="B18" i="50"/>
  <c r="B17" i="50"/>
  <c r="B16" i="50"/>
  <c r="B15" i="50"/>
  <c r="B14" i="50"/>
  <c r="B13" i="50"/>
  <c r="B12" i="50"/>
  <c r="B10" i="50"/>
  <c r="B35" i="50"/>
  <c r="B34" i="50"/>
  <c r="N8" i="50"/>
  <c r="M8" i="50"/>
  <c r="L8" i="50"/>
  <c r="K8" i="50"/>
  <c r="J8" i="50"/>
  <c r="I8" i="50"/>
  <c r="H8" i="50"/>
  <c r="G8" i="50"/>
  <c r="F8" i="50"/>
  <c r="E8" i="50"/>
  <c r="D8" i="50"/>
  <c r="C8" i="50"/>
  <c r="N35" i="30"/>
  <c r="M35" i="30"/>
  <c r="L35" i="30"/>
  <c r="K35" i="30"/>
  <c r="J35" i="30"/>
  <c r="I35" i="30"/>
  <c r="H35" i="30"/>
  <c r="G35" i="30"/>
  <c r="F35" i="30"/>
  <c r="E35" i="30"/>
  <c r="D35" i="30"/>
  <c r="C35" i="30"/>
  <c r="B8" i="50" l="1"/>
  <c r="C6" i="8"/>
  <c r="Y51" i="5"/>
  <c r="Y50" i="5"/>
  <c r="Y49" i="5"/>
  <c r="Y48" i="5"/>
  <c r="Y47" i="5"/>
  <c r="Y46" i="5"/>
  <c r="Y45" i="5"/>
  <c r="Y44" i="5"/>
  <c r="Y43" i="5"/>
  <c r="Y42" i="5"/>
  <c r="Y41" i="5"/>
  <c r="Y39" i="5"/>
  <c r="Y38" i="5"/>
  <c r="Y36" i="5"/>
  <c r="Y35" i="5"/>
  <c r="Y34" i="5"/>
  <c r="X51" i="5"/>
  <c r="X50" i="5"/>
  <c r="X49" i="5"/>
  <c r="X48" i="5"/>
  <c r="X47" i="5"/>
  <c r="X46" i="5"/>
  <c r="X45" i="5"/>
  <c r="X44" i="5"/>
  <c r="X43" i="5"/>
  <c r="X42" i="5"/>
  <c r="X41" i="5"/>
  <c r="X39" i="5"/>
  <c r="X38" i="5"/>
  <c r="X36" i="5"/>
  <c r="X35" i="5"/>
  <c r="X34" i="5"/>
  <c r="Y11" i="5"/>
  <c r="X11" i="5"/>
  <c r="B23" i="62" l="1"/>
  <c r="S6" i="158" l="1"/>
  <c r="Q6" i="157"/>
  <c r="S6" i="155"/>
  <c r="S6" i="154"/>
  <c r="S6" i="153"/>
  <c r="W27" i="107"/>
  <c r="W6" i="107"/>
  <c r="W27" i="97"/>
  <c r="W27" i="96"/>
  <c r="W6" i="95"/>
  <c r="W27" i="94"/>
  <c r="W6" i="94"/>
  <c r="W27" i="93"/>
  <c r="W6" i="93"/>
  <c r="W27" i="92"/>
  <c r="W6" i="92"/>
  <c r="W27" i="91"/>
  <c r="W6" i="91"/>
  <c r="B31" i="59"/>
  <c r="C31" i="59"/>
  <c r="D31" i="59"/>
  <c r="E31" i="59"/>
  <c r="F31" i="59"/>
  <c r="G31" i="59"/>
  <c r="H31" i="59"/>
  <c r="I31" i="59"/>
  <c r="L43" i="52"/>
  <c r="L39" i="52"/>
  <c r="L35" i="52"/>
  <c r="L18" i="52"/>
  <c r="L14" i="52"/>
  <c r="L10" i="52"/>
  <c r="N33" i="51" l="1"/>
  <c r="M33" i="51"/>
  <c r="E33" i="51"/>
  <c r="D33" i="51"/>
  <c r="N32" i="51"/>
  <c r="M32" i="51"/>
  <c r="E32" i="51"/>
  <c r="D32" i="51"/>
  <c r="C32" i="51"/>
  <c r="E31" i="51"/>
  <c r="D31" i="51"/>
  <c r="C31" i="51"/>
  <c r="N30" i="51"/>
  <c r="M30" i="51"/>
  <c r="G30" i="51"/>
  <c r="F30" i="51"/>
  <c r="E30" i="51"/>
  <c r="D30" i="51"/>
  <c r="C30" i="51"/>
  <c r="N29" i="51"/>
  <c r="M29" i="51"/>
  <c r="G29" i="51"/>
  <c r="F29" i="51"/>
  <c r="E29" i="51"/>
  <c r="D29" i="51"/>
  <c r="C29" i="51"/>
  <c r="N28" i="51"/>
  <c r="M28" i="51"/>
  <c r="L28" i="51"/>
  <c r="K28" i="51"/>
  <c r="I28" i="51"/>
  <c r="H28" i="51"/>
  <c r="G28" i="51"/>
  <c r="F28" i="51"/>
  <c r="E28" i="51"/>
  <c r="D28" i="51"/>
  <c r="C28" i="51"/>
  <c r="N25" i="51"/>
  <c r="E25" i="51"/>
  <c r="D25" i="51"/>
  <c r="C25" i="51"/>
  <c r="F24" i="51"/>
  <c r="E24" i="51"/>
  <c r="D24" i="51"/>
  <c r="F23" i="51"/>
  <c r="E23" i="51"/>
  <c r="D23" i="51"/>
  <c r="C23" i="51"/>
  <c r="E22" i="51"/>
  <c r="D22" i="51"/>
  <c r="C22" i="51"/>
  <c r="N21" i="51"/>
  <c r="M21" i="51"/>
  <c r="L21" i="51"/>
  <c r="K21" i="51"/>
  <c r="J21" i="51"/>
  <c r="I21" i="51"/>
  <c r="H21" i="51"/>
  <c r="G21" i="51"/>
  <c r="F21" i="51"/>
  <c r="E21" i="51"/>
  <c r="D21" i="51"/>
  <c r="C21" i="51"/>
  <c r="J19" i="51"/>
  <c r="I19" i="51"/>
  <c r="H19" i="51"/>
  <c r="G19" i="51"/>
  <c r="F19" i="51"/>
  <c r="E19" i="51"/>
  <c r="E18" i="51"/>
  <c r="D18" i="51"/>
  <c r="C18" i="51"/>
  <c r="J17" i="51"/>
  <c r="I17" i="51"/>
  <c r="H17" i="51"/>
  <c r="G17" i="51"/>
  <c r="F17" i="51"/>
  <c r="K15" i="51"/>
  <c r="J15" i="51"/>
  <c r="I15" i="51"/>
  <c r="K14" i="51"/>
  <c r="J14" i="51"/>
  <c r="I14" i="51"/>
  <c r="H14" i="51"/>
  <c r="G14" i="51"/>
  <c r="F14" i="51"/>
  <c r="E14" i="51"/>
  <c r="D14" i="51"/>
  <c r="C14" i="51"/>
  <c r="K13" i="51"/>
  <c r="J13" i="51"/>
  <c r="I13" i="51"/>
  <c r="H13" i="51"/>
  <c r="G13" i="51"/>
  <c r="F13" i="51"/>
  <c r="E13" i="51"/>
  <c r="D13" i="51"/>
  <c r="C13" i="51"/>
  <c r="S6" i="151"/>
  <c r="S6" i="150"/>
  <c r="S6" i="148"/>
  <c r="S6" i="147"/>
  <c r="S6" i="146"/>
  <c r="S6" i="144"/>
  <c r="S6" i="143"/>
  <c r="S6" i="141"/>
  <c r="S6" i="139"/>
  <c r="S6" i="137"/>
  <c r="S6" i="136"/>
  <c r="S6" i="135"/>
  <c r="S6" i="133"/>
  <c r="S6" i="132"/>
  <c r="S6" i="130"/>
  <c r="S6" i="129"/>
  <c r="S6" i="128"/>
  <c r="S6" i="126"/>
  <c r="S6" i="125"/>
  <c r="S6" i="124"/>
  <c r="S6" i="122"/>
  <c r="S6" i="121"/>
  <c r="S6" i="119"/>
  <c r="S6" i="118"/>
  <c r="S6" i="117"/>
  <c r="D13" i="53" l="1"/>
  <c r="L6" i="92" l="1"/>
  <c r="L6" i="93"/>
  <c r="L6" i="94"/>
  <c r="L6" i="91"/>
  <c r="H24" i="48" l="1"/>
  <c r="N8" i="47"/>
  <c r="M8" i="47"/>
  <c r="L8" i="47"/>
  <c r="K8" i="47"/>
  <c r="J8" i="47"/>
  <c r="I8" i="47"/>
  <c r="H8" i="47"/>
  <c r="G8" i="47"/>
  <c r="F8" i="47"/>
  <c r="E8" i="47"/>
  <c r="D8" i="47"/>
  <c r="C8" i="47"/>
  <c r="N8" i="44"/>
  <c r="M8" i="44"/>
  <c r="L8" i="44"/>
  <c r="K8" i="44"/>
  <c r="J8" i="44"/>
  <c r="I8" i="44"/>
  <c r="H8" i="44"/>
  <c r="G8" i="44"/>
  <c r="F8" i="44"/>
  <c r="E8" i="44"/>
  <c r="D8" i="44"/>
  <c r="C8" i="44"/>
  <c r="D8" i="43"/>
  <c r="N8" i="43"/>
  <c r="M8" i="43"/>
  <c r="L8" i="43"/>
  <c r="K8" i="43"/>
  <c r="J8" i="43"/>
  <c r="I8" i="43"/>
  <c r="H8" i="43"/>
  <c r="G8" i="43"/>
  <c r="F8" i="43"/>
  <c r="E8" i="43"/>
  <c r="C8" i="43"/>
  <c r="P8" i="43"/>
  <c r="B8" i="44" l="1"/>
  <c r="T6" i="146"/>
  <c r="T6" i="139"/>
  <c r="E36" i="11" l="1"/>
  <c r="D36" i="11"/>
  <c r="C36" i="11"/>
  <c r="E35" i="11"/>
  <c r="D35" i="11"/>
  <c r="C35" i="11"/>
  <c r="F34" i="11"/>
  <c r="E34" i="11"/>
  <c r="D34" i="11"/>
  <c r="C34" i="11"/>
  <c r="E33" i="11"/>
  <c r="D33" i="11"/>
  <c r="C33" i="11"/>
  <c r="H32" i="11"/>
  <c r="G32" i="11"/>
  <c r="E32" i="11"/>
  <c r="D32" i="11"/>
  <c r="C32" i="11"/>
  <c r="H31" i="11"/>
  <c r="G31" i="11"/>
  <c r="F31" i="11"/>
  <c r="E31" i="1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2" i="11"/>
  <c r="G22" i="11"/>
  <c r="F22" i="11"/>
  <c r="E22" i="11"/>
  <c r="D22" i="11"/>
  <c r="C22" i="11"/>
  <c r="H21" i="11"/>
  <c r="G21" i="11"/>
  <c r="F21" i="11"/>
  <c r="E21" i="11"/>
  <c r="D21" i="11"/>
  <c r="C21" i="11"/>
  <c r="G20" i="11"/>
  <c r="F20" i="11"/>
  <c r="E20" i="11"/>
  <c r="D20" i="11"/>
  <c r="C20" i="11"/>
  <c r="F19" i="11"/>
  <c r="E19" i="11"/>
  <c r="D19" i="11"/>
  <c r="C19" i="11"/>
  <c r="H18" i="11"/>
  <c r="G18" i="11"/>
  <c r="F18" i="11"/>
  <c r="E18" i="11"/>
  <c r="D18" i="11"/>
  <c r="C18" i="11"/>
  <c r="G17" i="11"/>
  <c r="F17" i="11"/>
  <c r="E17" i="11"/>
  <c r="D17" i="11"/>
  <c r="C17" i="11"/>
  <c r="F16" i="11"/>
  <c r="E16" i="11"/>
  <c r="D16" i="11"/>
  <c r="C16" i="11"/>
  <c r="F15" i="11"/>
  <c r="E15" i="11"/>
  <c r="D15" i="11"/>
  <c r="C15" i="11"/>
  <c r="F14" i="11"/>
  <c r="E14" i="11"/>
  <c r="D14" i="11"/>
  <c r="C14" i="11"/>
  <c r="F13" i="11"/>
  <c r="E13" i="11"/>
  <c r="D13" i="11"/>
  <c r="C13" i="11"/>
  <c r="F12" i="11"/>
  <c r="E12" i="11"/>
  <c r="D12" i="11"/>
  <c r="C12" i="11"/>
  <c r="G11" i="11"/>
  <c r="F11" i="11"/>
  <c r="E11" i="11"/>
  <c r="D11" i="11"/>
  <c r="C11" i="11"/>
  <c r="F10" i="11"/>
  <c r="E10" i="11"/>
  <c r="D10" i="11"/>
  <c r="C10" i="11"/>
  <c r="F9" i="11"/>
  <c r="E9" i="11"/>
  <c r="D9" i="11"/>
  <c r="C9" i="11"/>
  <c r="F8" i="11"/>
  <c r="E8" i="11"/>
  <c r="D8" i="11"/>
  <c r="C8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R6" i="153" l="1"/>
  <c r="Q6" i="153"/>
  <c r="P6" i="153"/>
  <c r="O6" i="153"/>
  <c r="I9" i="69" l="1"/>
  <c r="F9" i="69"/>
  <c r="E9" i="69"/>
  <c r="C9" i="69"/>
  <c r="B9" i="69"/>
  <c r="H34" i="69"/>
  <c r="H9" i="69" l="1"/>
  <c r="J49" i="66" l="1"/>
  <c r="J48" i="66"/>
  <c r="J47" i="66"/>
  <c r="J46" i="66"/>
  <c r="J45" i="66"/>
  <c r="J44" i="66"/>
  <c r="J43" i="66"/>
  <c r="J42" i="66"/>
  <c r="J40" i="66"/>
  <c r="E49" i="66"/>
  <c r="E48" i="66"/>
  <c r="E47" i="66"/>
  <c r="C47" i="66" s="1"/>
  <c r="E46" i="66"/>
  <c r="C46" i="66" s="1"/>
  <c r="E45" i="66"/>
  <c r="E44" i="66"/>
  <c r="E43" i="66"/>
  <c r="E42" i="66"/>
  <c r="E41" i="66"/>
  <c r="C41" i="66" s="1"/>
  <c r="E40" i="66"/>
  <c r="J20" i="66"/>
  <c r="J19" i="66"/>
  <c r="J18" i="66"/>
  <c r="J17" i="66"/>
  <c r="J16" i="66"/>
  <c r="J15" i="66"/>
  <c r="J14" i="66"/>
  <c r="J13" i="66"/>
  <c r="J12" i="66"/>
  <c r="J11" i="66"/>
  <c r="E20" i="66"/>
  <c r="E19" i="66"/>
  <c r="E18" i="66"/>
  <c r="E17" i="66"/>
  <c r="E16" i="66"/>
  <c r="E15" i="66"/>
  <c r="E14" i="66"/>
  <c r="E13" i="66"/>
  <c r="E12" i="66"/>
  <c r="E11" i="66"/>
  <c r="C11" i="66" l="1"/>
  <c r="C12" i="66"/>
  <c r="C40" i="66"/>
  <c r="C16" i="66"/>
  <c r="C18" i="66"/>
  <c r="C13" i="66"/>
  <c r="C19" i="66"/>
  <c r="C14" i="66"/>
  <c r="C20" i="66"/>
  <c r="C43" i="66"/>
  <c r="C44" i="66"/>
  <c r="C42" i="66"/>
  <c r="C49" i="66"/>
  <c r="C48" i="66"/>
  <c r="C15" i="66"/>
  <c r="C45" i="66"/>
  <c r="C17" i="66"/>
  <c r="I34" i="69"/>
  <c r="V27" i="93"/>
  <c r="V6" i="93"/>
  <c r="V27" i="94"/>
  <c r="V6" i="94"/>
  <c r="V6" i="95"/>
  <c r="V27" i="96"/>
  <c r="V27" i="97"/>
  <c r="V27" i="106"/>
  <c r="V6" i="106"/>
  <c r="V27" i="107"/>
  <c r="V6" i="107"/>
  <c r="R6" i="154"/>
  <c r="R6" i="155"/>
  <c r="P6" i="157"/>
  <c r="R6" i="158"/>
  <c r="V27" i="92" l="1"/>
  <c r="V6" i="92"/>
  <c r="V27" i="91"/>
  <c r="V6" i="91"/>
  <c r="N17" i="86"/>
  <c r="B21" i="62"/>
  <c r="K43" i="52"/>
  <c r="K39" i="52"/>
  <c r="K35" i="52"/>
  <c r="K18" i="52"/>
  <c r="K14" i="52"/>
  <c r="K10" i="52"/>
  <c r="R6" i="151"/>
  <c r="R6" i="150"/>
  <c r="R6" i="148"/>
  <c r="R6" i="147"/>
  <c r="R6" i="144"/>
  <c r="R6" i="143"/>
  <c r="R6" i="141"/>
  <c r="R6" i="137"/>
  <c r="R6" i="136"/>
  <c r="R6" i="135"/>
  <c r="R6" i="133"/>
  <c r="R6" i="132"/>
  <c r="T6" i="130"/>
  <c r="T6" i="129" l="1"/>
  <c r="T6" i="128"/>
  <c r="T6" i="126"/>
  <c r="T6" i="125"/>
  <c r="T6" i="124"/>
  <c r="T6" i="122"/>
  <c r="T6" i="121"/>
  <c r="T6" i="119"/>
  <c r="T6" i="118"/>
  <c r="T6" i="117"/>
  <c r="I6" i="6" l="1"/>
  <c r="T6" i="158" l="1"/>
  <c r="O6" i="157"/>
  <c r="R6" i="157"/>
  <c r="Q6" i="155"/>
  <c r="Q6" i="154"/>
  <c r="T6" i="153"/>
  <c r="C16" i="110" l="1"/>
  <c r="D16" i="110"/>
  <c r="E16" i="110"/>
  <c r="F16" i="110"/>
  <c r="G16" i="110"/>
  <c r="H16" i="110"/>
  <c r="I16" i="110"/>
  <c r="J16" i="110"/>
  <c r="K16" i="110"/>
  <c r="L16" i="110"/>
  <c r="M16" i="110"/>
  <c r="N16" i="110"/>
  <c r="F10" i="51" l="1"/>
  <c r="B8" i="47"/>
  <c r="N30" i="48"/>
  <c r="F30" i="48"/>
  <c r="D30" i="48"/>
  <c r="B27" i="47"/>
  <c r="E33" i="48"/>
  <c r="E32" i="48"/>
  <c r="D32" i="48"/>
  <c r="D29" i="48"/>
  <c r="M22" i="48" l="1"/>
  <c r="N23" i="48"/>
  <c r="G24" i="48"/>
  <c r="E31" i="48"/>
  <c r="E30" i="48"/>
  <c r="M30" i="48"/>
  <c r="D31" i="48"/>
  <c r="G29" i="48"/>
  <c r="D25" i="48"/>
  <c r="C31" i="48"/>
  <c r="G30" i="48"/>
  <c r="B22" i="47"/>
  <c r="B26" i="47"/>
  <c r="B19" i="47"/>
  <c r="L26" i="48"/>
  <c r="G31" i="48"/>
  <c r="G10" i="51"/>
  <c r="E28" i="48"/>
  <c r="M28" i="48"/>
  <c r="N29" i="48"/>
  <c r="I12" i="51"/>
  <c r="M12" i="51"/>
  <c r="B19" i="46"/>
  <c r="B23" i="46"/>
  <c r="B27" i="46"/>
  <c r="B33" i="46"/>
  <c r="L22" i="48"/>
  <c r="M23" i="48"/>
  <c r="F24" i="48"/>
  <c r="N24" i="48"/>
  <c r="M33" i="48"/>
  <c r="F12" i="51"/>
  <c r="J12" i="51"/>
  <c r="N12" i="51"/>
  <c r="K26" i="51"/>
  <c r="N22" i="48"/>
  <c r="D24" i="48"/>
  <c r="C12" i="51"/>
  <c r="M26" i="51"/>
  <c r="J8" i="46"/>
  <c r="N8" i="46"/>
  <c r="B28" i="46"/>
  <c r="B23" i="47"/>
  <c r="B28" i="47"/>
  <c r="M26" i="48"/>
  <c r="F28" i="48"/>
  <c r="N28" i="48"/>
  <c r="C28" i="48"/>
  <c r="M10" i="51"/>
  <c r="G12" i="51"/>
  <c r="K12" i="51"/>
  <c r="L26" i="51"/>
  <c r="B25" i="46"/>
  <c r="B29" i="46"/>
  <c r="B24" i="47"/>
  <c r="C29" i="48"/>
  <c r="E19" i="48"/>
  <c r="E25" i="48"/>
  <c r="N26" i="48"/>
  <c r="G28" i="48"/>
  <c r="B33" i="47"/>
  <c r="N33" i="48"/>
  <c r="N10" i="51"/>
  <c r="H12" i="51"/>
  <c r="L12" i="51"/>
  <c r="B22" i="46"/>
  <c r="B26" i="46"/>
  <c r="B32" i="46"/>
  <c r="F8" i="46"/>
  <c r="F29" i="48"/>
  <c r="D33" i="48"/>
  <c r="C25" i="48"/>
  <c r="C32" i="48"/>
  <c r="L23" i="48"/>
  <c r="E24" i="48"/>
  <c r="M24" i="48"/>
  <c r="N25" i="48"/>
  <c r="K26" i="48"/>
  <c r="D28" i="48"/>
  <c r="H28" i="48"/>
  <c r="E29" i="48"/>
  <c r="M29" i="48"/>
  <c r="N32" i="48"/>
  <c r="F31" i="48"/>
  <c r="B31" i="46"/>
  <c r="C30" i="48"/>
  <c r="N26" i="51"/>
  <c r="B25" i="47"/>
  <c r="B31" i="47"/>
  <c r="B24" i="46"/>
  <c r="B30" i="47"/>
  <c r="B32" i="47"/>
  <c r="G8" i="46"/>
  <c r="K8" i="46"/>
  <c r="D8" i="46"/>
  <c r="H8" i="46"/>
  <c r="L8" i="46"/>
  <c r="E8" i="46"/>
  <c r="I8" i="46"/>
  <c r="M8" i="46"/>
  <c r="B30" i="46"/>
  <c r="B29" i="47"/>
  <c r="M8" i="49"/>
  <c r="L8" i="49"/>
  <c r="K8" i="49"/>
  <c r="J8" i="49"/>
  <c r="E8" i="49"/>
  <c r="D8" i="49"/>
  <c r="C8" i="49"/>
  <c r="H8" i="49" l="1"/>
  <c r="N8" i="49"/>
  <c r="G8" i="49"/>
  <c r="I8" i="49"/>
  <c r="F8" i="49"/>
  <c r="C8" i="46"/>
  <c r="B8" i="46" s="1"/>
  <c r="C36" i="14"/>
  <c r="B36" i="14"/>
  <c r="C35" i="14"/>
  <c r="B35" i="14"/>
  <c r="C34" i="14"/>
  <c r="B34" i="14"/>
  <c r="C33" i="14"/>
  <c r="B33" i="14"/>
  <c r="F32" i="14"/>
  <c r="E32" i="14"/>
  <c r="D32" i="14"/>
  <c r="C32" i="14"/>
  <c r="B32" i="14"/>
  <c r="F31" i="14"/>
  <c r="E31" i="14"/>
  <c r="D31" i="14"/>
  <c r="C31" i="14"/>
  <c r="B31" i="14"/>
  <c r="F30" i="14"/>
  <c r="E30" i="14"/>
  <c r="D30" i="14"/>
  <c r="C30" i="14"/>
  <c r="B30" i="14"/>
  <c r="F29" i="14"/>
  <c r="E29" i="14"/>
  <c r="D29" i="14"/>
  <c r="C29" i="14"/>
  <c r="B29" i="14"/>
  <c r="F28" i="14"/>
  <c r="E28" i="14"/>
  <c r="D28" i="14"/>
  <c r="C28" i="14"/>
  <c r="B28" i="14"/>
  <c r="F27" i="14"/>
  <c r="E27" i="14"/>
  <c r="D27" i="14"/>
  <c r="C27" i="14"/>
  <c r="B27" i="14"/>
  <c r="D26" i="14"/>
  <c r="C26" i="14"/>
  <c r="B26" i="14"/>
  <c r="F25" i="14"/>
  <c r="E25" i="14"/>
  <c r="D25" i="14"/>
  <c r="C25" i="14"/>
  <c r="B25" i="14"/>
  <c r="F24" i="14"/>
  <c r="E24" i="14"/>
  <c r="D24" i="14"/>
  <c r="C24" i="14"/>
  <c r="B24" i="14"/>
  <c r="F23" i="14"/>
  <c r="E23" i="14"/>
  <c r="D23" i="14"/>
  <c r="C23" i="14"/>
  <c r="B23" i="14"/>
  <c r="F22" i="14"/>
  <c r="E22" i="14"/>
  <c r="D22" i="14"/>
  <c r="C22" i="14"/>
  <c r="B22" i="14"/>
  <c r="F21" i="14"/>
  <c r="E21" i="14"/>
  <c r="D21" i="14"/>
  <c r="C21" i="14"/>
  <c r="B21" i="14"/>
  <c r="F20" i="14"/>
  <c r="D20" i="14"/>
  <c r="C20" i="14"/>
  <c r="B20" i="14"/>
  <c r="C19" i="14"/>
  <c r="B19" i="14"/>
  <c r="F18" i="14"/>
  <c r="E18" i="14"/>
  <c r="D18" i="14"/>
  <c r="C18" i="14"/>
  <c r="B18" i="14"/>
  <c r="F17" i="14"/>
  <c r="C17" i="14"/>
  <c r="B17" i="14"/>
  <c r="F16" i="14"/>
  <c r="C16" i="14"/>
  <c r="B16" i="14"/>
  <c r="C15" i="14"/>
  <c r="B15" i="14"/>
  <c r="F14" i="14"/>
  <c r="C14" i="14"/>
  <c r="B14" i="14"/>
  <c r="F13" i="14"/>
  <c r="C13" i="14"/>
  <c r="B13" i="14"/>
  <c r="F12" i="14"/>
  <c r="C12" i="14"/>
  <c r="B12" i="14"/>
  <c r="F11" i="14"/>
  <c r="D11" i="14"/>
  <c r="C11" i="14"/>
  <c r="B11" i="14"/>
  <c r="C10" i="14"/>
  <c r="B10" i="14"/>
  <c r="F9" i="14"/>
  <c r="D9" i="14"/>
  <c r="C9" i="14"/>
  <c r="B9" i="14"/>
  <c r="C8" i="14"/>
  <c r="B8" i="14"/>
  <c r="W62" i="7"/>
  <c r="W58" i="7"/>
  <c r="W54" i="7"/>
  <c r="W50" i="7"/>
  <c r="W46" i="7"/>
  <c r="W42" i="7"/>
  <c r="W33" i="7"/>
  <c r="W28" i="7"/>
  <c r="W23" i="7"/>
  <c r="W18" i="7"/>
  <c r="W13" i="7"/>
  <c r="W8" i="7"/>
  <c r="B8" i="49" l="1"/>
  <c r="J43" i="52" l="1"/>
  <c r="J39" i="52"/>
  <c r="J35" i="52"/>
  <c r="G38" i="55" l="1"/>
  <c r="T6" i="155" l="1"/>
  <c r="T6" i="154"/>
  <c r="U27" i="107"/>
  <c r="U6" i="107"/>
  <c r="U27" i="106"/>
  <c r="U6" i="106"/>
  <c r="U27" i="97"/>
  <c r="U27" i="96"/>
  <c r="U6" i="95"/>
  <c r="U27" i="94"/>
  <c r="X6" i="94"/>
  <c r="U27" i="93"/>
  <c r="U6" i="93"/>
  <c r="U27" i="92"/>
  <c r="U6" i="92"/>
  <c r="U27" i="91"/>
  <c r="U6" i="91"/>
  <c r="M17" i="86" l="1"/>
  <c r="K34" i="69"/>
  <c r="E34" i="69"/>
  <c r="F34" i="69"/>
  <c r="B34" i="69"/>
  <c r="K9" i="69"/>
  <c r="B20" i="62" l="1"/>
  <c r="C8" i="53"/>
  <c r="B8" i="53"/>
  <c r="J18" i="52"/>
  <c r="J14" i="52"/>
  <c r="J10" i="52"/>
  <c r="N12" i="45"/>
  <c r="M12" i="45"/>
  <c r="L12" i="45"/>
  <c r="J12" i="45"/>
  <c r="I12" i="45"/>
  <c r="H12" i="45"/>
  <c r="G12" i="45"/>
  <c r="F12" i="45"/>
  <c r="Q6" i="151"/>
  <c r="Q6" i="150" l="1"/>
  <c r="Q6" i="148"/>
  <c r="Q6" i="147"/>
  <c r="Q6" i="144"/>
  <c r="Q6" i="143"/>
  <c r="Q6" i="141"/>
  <c r="Q6" i="137" l="1"/>
  <c r="Q6" i="136"/>
  <c r="Q6" i="135"/>
  <c r="Q6" i="133"/>
  <c r="Q6" i="132"/>
  <c r="Q6" i="130"/>
  <c r="Q6" i="129"/>
  <c r="Q6" i="128"/>
  <c r="Q6" i="126"/>
  <c r="Q6" i="125"/>
  <c r="Q6" i="124" l="1"/>
  <c r="Q6" i="122"/>
  <c r="Q6" i="121"/>
  <c r="Q6" i="119"/>
  <c r="Q6" i="118"/>
  <c r="Q6" i="117"/>
  <c r="W51" i="5"/>
  <c r="W50" i="5"/>
  <c r="W49" i="5"/>
  <c r="W48" i="5"/>
  <c r="W47" i="5"/>
  <c r="W46" i="5"/>
  <c r="W45" i="5"/>
  <c r="W44" i="5"/>
  <c r="W43" i="5"/>
  <c r="W42" i="5"/>
  <c r="W41" i="5"/>
  <c r="W39" i="5"/>
  <c r="W36" i="5"/>
  <c r="W35" i="5"/>
  <c r="W34" i="5"/>
  <c r="W11" i="5"/>
  <c r="W38" i="5" l="1"/>
  <c r="G28" i="91"/>
  <c r="X27" i="91"/>
  <c r="T27" i="91"/>
  <c r="F27" i="91"/>
  <c r="E27" i="91"/>
  <c r="D27" i="91"/>
  <c r="C27" i="91"/>
  <c r="B27" i="91"/>
  <c r="X6" i="91"/>
  <c r="T6" i="91"/>
  <c r="I8" i="59" l="1"/>
  <c r="H8" i="59"/>
  <c r="I18" i="52" l="1"/>
  <c r="H18" i="52"/>
  <c r="G18" i="52"/>
  <c r="F18" i="52"/>
  <c r="E18" i="52"/>
  <c r="D18" i="52"/>
  <c r="C18" i="52"/>
  <c r="I14" i="52"/>
  <c r="H14" i="52"/>
  <c r="G14" i="52"/>
  <c r="F14" i="52"/>
  <c r="E14" i="52"/>
  <c r="D14" i="52"/>
  <c r="C14" i="52"/>
  <c r="I10" i="52"/>
  <c r="H10" i="52"/>
  <c r="G10" i="52"/>
  <c r="F10" i="52"/>
  <c r="E10" i="52"/>
  <c r="D10" i="52"/>
  <c r="C10" i="52"/>
  <c r="BZ31" i="116"/>
  <c r="BY31" i="116"/>
  <c r="BW31" i="116"/>
  <c r="BV31" i="116"/>
  <c r="BU31" i="116"/>
  <c r="BT31" i="116"/>
  <c r="BS31" i="116"/>
  <c r="BR31" i="116"/>
  <c r="I31" i="116"/>
  <c r="H31" i="116"/>
  <c r="G31" i="116"/>
  <c r="F31" i="116"/>
  <c r="E31" i="116"/>
  <c r="D31" i="116"/>
  <c r="C31" i="116"/>
  <c r="B31" i="116"/>
  <c r="BZ8" i="116"/>
  <c r="BY8" i="116"/>
  <c r="BW8" i="116"/>
  <c r="BV8" i="116"/>
  <c r="BU8" i="116"/>
  <c r="BT8" i="116"/>
  <c r="BS8" i="116"/>
  <c r="BR8" i="116"/>
  <c r="I8" i="116"/>
  <c r="H8" i="116"/>
  <c r="G8" i="116"/>
  <c r="F8" i="116"/>
  <c r="E8" i="116"/>
  <c r="D8" i="116"/>
  <c r="C8" i="116"/>
  <c r="B8" i="116"/>
  <c r="B22" i="62"/>
  <c r="B19" i="62"/>
  <c r="B18" i="62"/>
  <c r="B17" i="62"/>
  <c r="B16" i="62"/>
  <c r="B15" i="62"/>
  <c r="B14" i="62"/>
  <c r="B13" i="62"/>
  <c r="B12" i="62"/>
  <c r="B11" i="62"/>
  <c r="B10" i="62"/>
  <c r="B9" i="62"/>
  <c r="B8" i="62"/>
  <c r="BX31" i="59"/>
  <c r="BW31" i="59"/>
  <c r="BU31" i="59"/>
  <c r="BT31" i="59"/>
  <c r="BS31" i="59"/>
  <c r="BR31" i="59"/>
  <c r="BQ31" i="59"/>
  <c r="BP31" i="59"/>
  <c r="BX8" i="59"/>
  <c r="BW8" i="59"/>
  <c r="BU8" i="59"/>
  <c r="BT8" i="59"/>
  <c r="BS8" i="59"/>
  <c r="BR8" i="59"/>
  <c r="BQ8" i="59"/>
  <c r="BP8" i="59"/>
  <c r="G8" i="59"/>
  <c r="F8" i="59"/>
  <c r="E8" i="59"/>
  <c r="D8" i="59"/>
  <c r="C8" i="59"/>
  <c r="B8" i="59"/>
  <c r="T6" i="151" l="1"/>
  <c r="T6" i="150"/>
  <c r="T6" i="148"/>
  <c r="T6" i="147"/>
  <c r="T6" i="144"/>
  <c r="T6" i="143"/>
  <c r="T6" i="141"/>
  <c r="B33" i="48"/>
  <c r="B32" i="48"/>
  <c r="B31" i="48"/>
  <c r="B30" i="48"/>
  <c r="B29" i="48"/>
  <c r="B28" i="48"/>
  <c r="B26" i="48"/>
  <c r="B25" i="48"/>
  <c r="B24" i="48"/>
  <c r="B23" i="48"/>
  <c r="B22" i="48"/>
  <c r="I19" i="48"/>
  <c r="H19" i="48"/>
  <c r="G19" i="48"/>
  <c r="F19" i="48"/>
  <c r="B19" i="48"/>
  <c r="U11" i="5"/>
  <c r="U38" i="5" s="1"/>
  <c r="T11" i="5"/>
  <c r="T38" i="5" s="1"/>
  <c r="S11" i="5"/>
  <c r="S38" i="5" s="1"/>
  <c r="R11" i="5"/>
  <c r="R38" i="5" s="1"/>
  <c r="Q11" i="5"/>
  <c r="P11" i="5"/>
  <c r="P38" i="5" s="1"/>
  <c r="O11" i="5"/>
  <c r="O38" i="5" s="1"/>
  <c r="N11" i="5"/>
  <c r="N38" i="5" s="1"/>
  <c r="M11" i="5"/>
  <c r="M38" i="5" s="1"/>
  <c r="L11" i="5"/>
  <c r="L38" i="5" s="1"/>
  <c r="K11" i="5"/>
  <c r="J11" i="5"/>
  <c r="J38" i="5" s="1"/>
  <c r="V11" i="5"/>
  <c r="G10" i="45"/>
  <c r="F10" i="45"/>
  <c r="B29" i="43"/>
  <c r="V51" i="5"/>
  <c r="V50" i="5"/>
  <c r="V49" i="5"/>
  <c r="V48" i="5"/>
  <c r="V47" i="5"/>
  <c r="V46" i="5"/>
  <c r="V45" i="5"/>
  <c r="V44" i="5"/>
  <c r="V43" i="5"/>
  <c r="V42" i="5"/>
  <c r="V41" i="5"/>
  <c r="V39" i="5"/>
  <c r="V36" i="5"/>
  <c r="V35" i="5"/>
  <c r="V34" i="5"/>
  <c r="C11" i="15"/>
  <c r="C9" i="15"/>
  <c r="C8" i="15"/>
  <c r="C7" i="15"/>
  <c r="C25" i="112"/>
  <c r="D25" i="112"/>
  <c r="E25" i="112"/>
  <c r="F25" i="112"/>
  <c r="G25" i="112"/>
  <c r="H25" i="112"/>
  <c r="I25" i="112"/>
  <c r="J25" i="112"/>
  <c r="K25" i="112"/>
  <c r="L25" i="112"/>
  <c r="M25" i="112"/>
  <c r="N25" i="112"/>
  <c r="C16" i="112"/>
  <c r="D16" i="112"/>
  <c r="E16" i="112"/>
  <c r="F16" i="112"/>
  <c r="G16" i="112"/>
  <c r="H16" i="112"/>
  <c r="I16" i="112"/>
  <c r="J16" i="112"/>
  <c r="K16" i="112"/>
  <c r="L16" i="112"/>
  <c r="M16" i="112"/>
  <c r="N16" i="112"/>
  <c r="V33" i="7"/>
  <c r="V28" i="7"/>
  <c r="V23" i="7"/>
  <c r="V18" i="7"/>
  <c r="V13" i="7"/>
  <c r="V8" i="7"/>
  <c r="U8" i="7"/>
  <c r="T8" i="7"/>
  <c r="S8" i="7"/>
  <c r="R8" i="7"/>
  <c r="Q8" i="7"/>
  <c r="P8" i="7"/>
  <c r="O8" i="7"/>
  <c r="N8" i="7"/>
  <c r="M8" i="7"/>
  <c r="L8" i="7"/>
  <c r="K8" i="7"/>
  <c r="J8" i="7"/>
  <c r="C6" i="6"/>
  <c r="B6" i="6"/>
  <c r="P6" i="137"/>
  <c r="P6" i="136"/>
  <c r="P6" i="135"/>
  <c r="P6" i="133"/>
  <c r="P6" i="132"/>
  <c r="P6" i="130"/>
  <c r="P6" i="129"/>
  <c r="P6" i="128"/>
  <c r="P6" i="126"/>
  <c r="P6" i="125"/>
  <c r="P6" i="124"/>
  <c r="P6" i="122"/>
  <c r="P6" i="121"/>
  <c r="P6" i="119"/>
  <c r="P6" i="118"/>
  <c r="P6" i="117"/>
  <c r="V50" i="7"/>
  <c r="U62" i="7"/>
  <c r="U58" i="7"/>
  <c r="U54" i="7"/>
  <c r="U50" i="7"/>
  <c r="U46" i="7"/>
  <c r="U42" i="7"/>
  <c r="U33" i="7"/>
  <c r="U28" i="7"/>
  <c r="U23" i="7"/>
  <c r="U18" i="7"/>
  <c r="U13" i="7"/>
  <c r="T27" i="107"/>
  <c r="T6" i="107"/>
  <c r="T27" i="106"/>
  <c r="T6" i="106"/>
  <c r="T27" i="97"/>
  <c r="T27" i="96"/>
  <c r="T6" i="95"/>
  <c r="T27" i="94"/>
  <c r="T27" i="93"/>
  <c r="T6" i="93"/>
  <c r="T27" i="92"/>
  <c r="T6" i="92"/>
  <c r="L17" i="86"/>
  <c r="I43" i="52"/>
  <c r="I39" i="52"/>
  <c r="I35" i="52"/>
  <c r="P40" i="5"/>
  <c r="O40" i="5"/>
  <c r="N40" i="5"/>
  <c r="M40" i="5"/>
  <c r="L40" i="5"/>
  <c r="K40" i="5"/>
  <c r="J40" i="5"/>
  <c r="N25" i="110"/>
  <c r="M25" i="110"/>
  <c r="L25" i="110"/>
  <c r="K25" i="110"/>
  <c r="J25" i="110"/>
  <c r="I25" i="110"/>
  <c r="H25" i="110"/>
  <c r="G25" i="110"/>
  <c r="F25" i="110"/>
  <c r="E25" i="110"/>
  <c r="D25" i="110"/>
  <c r="C25" i="110"/>
  <c r="X6" i="107"/>
  <c r="X27" i="107"/>
  <c r="W27" i="106"/>
  <c r="W6" i="106"/>
  <c r="X27" i="97"/>
  <c r="X27" i="96"/>
  <c r="X6" i="95"/>
  <c r="X27" i="94"/>
  <c r="X27" i="93"/>
  <c r="X6" i="93"/>
  <c r="X27" i="92"/>
  <c r="X6" i="92"/>
  <c r="D6" i="6"/>
  <c r="N8" i="45"/>
  <c r="M8" i="45"/>
  <c r="L8" i="45"/>
  <c r="K8" i="45"/>
  <c r="J8" i="45"/>
  <c r="I8" i="45"/>
  <c r="H8" i="45"/>
  <c r="G8" i="45"/>
  <c r="F8" i="45"/>
  <c r="E8" i="45"/>
  <c r="D8" i="45"/>
  <c r="C8" i="45"/>
  <c r="N8" i="48"/>
  <c r="M8" i="48"/>
  <c r="L8" i="48"/>
  <c r="K8" i="48"/>
  <c r="I8" i="48"/>
  <c r="H8" i="48"/>
  <c r="G8" i="48"/>
  <c r="F8" i="48"/>
  <c r="E8" i="48"/>
  <c r="D8" i="48"/>
  <c r="C8" i="48"/>
  <c r="B8" i="48"/>
  <c r="N8" i="51"/>
  <c r="M8" i="51"/>
  <c r="L8" i="51"/>
  <c r="K8" i="51"/>
  <c r="H8" i="51"/>
  <c r="G8" i="51"/>
  <c r="F8" i="51"/>
  <c r="E8" i="51"/>
  <c r="D8" i="51"/>
  <c r="C8" i="51"/>
  <c r="B8" i="51"/>
  <c r="I8" i="51"/>
  <c r="J8" i="51"/>
  <c r="B10" i="49"/>
  <c r="B33" i="49"/>
  <c r="B32" i="49"/>
  <c r="B31" i="49"/>
  <c r="B30" i="49"/>
  <c r="B29" i="49"/>
  <c r="B28" i="49"/>
  <c r="B27" i="49"/>
  <c r="B26" i="49"/>
  <c r="B25" i="49"/>
  <c r="B24" i="49"/>
  <c r="B23" i="49"/>
  <c r="B22" i="49"/>
  <c r="B21" i="49"/>
  <c r="B20" i="49"/>
  <c r="B19" i="49"/>
  <c r="B19" i="51" s="1"/>
  <c r="B18" i="49"/>
  <c r="B18" i="51" s="1"/>
  <c r="B17" i="49"/>
  <c r="B16" i="49"/>
  <c r="B15" i="49"/>
  <c r="B14" i="49"/>
  <c r="B13" i="49"/>
  <c r="B12" i="49"/>
  <c r="U51" i="5"/>
  <c r="U50" i="5"/>
  <c r="U49" i="5"/>
  <c r="U48" i="5"/>
  <c r="U47" i="5"/>
  <c r="U46" i="5"/>
  <c r="U45" i="5"/>
  <c r="U44" i="5"/>
  <c r="U43" i="5"/>
  <c r="U42" i="5"/>
  <c r="U41" i="5"/>
  <c r="U39" i="5"/>
  <c r="U36" i="5"/>
  <c r="U35" i="5"/>
  <c r="U34" i="5"/>
  <c r="E8" i="53"/>
  <c r="L27" i="45"/>
  <c r="F26" i="45"/>
  <c r="E26" i="45"/>
  <c r="D26" i="45"/>
  <c r="K24" i="45"/>
  <c r="B31" i="44"/>
  <c r="B30" i="44"/>
  <c r="B33" i="44"/>
  <c r="B32" i="44"/>
  <c r="B28" i="44"/>
  <c r="B27" i="44"/>
  <c r="B26" i="44"/>
  <c r="B25" i="44"/>
  <c r="B24" i="44"/>
  <c r="B23" i="44"/>
  <c r="B22" i="44"/>
  <c r="B21" i="44"/>
  <c r="B19" i="44"/>
  <c r="B12" i="44"/>
  <c r="B10" i="44"/>
  <c r="B31" i="43"/>
  <c r="B30" i="43"/>
  <c r="B10" i="43"/>
  <c r="B8" i="43"/>
  <c r="B8" i="45" s="1"/>
  <c r="B33" i="43"/>
  <c r="B32" i="43"/>
  <c r="B28" i="43"/>
  <c r="B27" i="43"/>
  <c r="B26" i="43"/>
  <c r="B25" i="43"/>
  <c r="B24" i="43"/>
  <c r="B23" i="43"/>
  <c r="B22" i="43"/>
  <c r="B21" i="43"/>
  <c r="B19" i="43"/>
  <c r="B12" i="43"/>
  <c r="T6" i="135"/>
  <c r="T6" i="133"/>
  <c r="R6" i="128"/>
  <c r="R6" i="117"/>
  <c r="T6" i="137"/>
  <c r="T6" i="136"/>
  <c r="R6" i="130"/>
  <c r="R6" i="129"/>
  <c r="R6" i="126"/>
  <c r="R6" i="125"/>
  <c r="R6" i="122"/>
  <c r="R6" i="121"/>
  <c r="R6" i="119"/>
  <c r="R6" i="118"/>
  <c r="N6" i="118"/>
  <c r="O6" i="118"/>
  <c r="C6" i="13"/>
  <c r="C7" i="12"/>
  <c r="E7" i="12"/>
  <c r="H6" i="10"/>
  <c r="C34" i="69"/>
  <c r="L34" i="69"/>
  <c r="DH6" i="56"/>
  <c r="DG6" i="56"/>
  <c r="DF6" i="56"/>
  <c r="DE6" i="56"/>
  <c r="DD6" i="56"/>
  <c r="DC6" i="56"/>
  <c r="DB6" i="56"/>
  <c r="DA6" i="56"/>
  <c r="CZ6" i="56"/>
  <c r="CY6" i="56"/>
  <c r="CX6" i="56"/>
  <c r="CW6" i="56"/>
  <c r="CT6" i="56"/>
  <c r="CS6" i="56"/>
  <c r="CR6" i="56"/>
  <c r="CQ6" i="56"/>
  <c r="CP6" i="56"/>
  <c r="CO6" i="56"/>
  <c r="CN6" i="56"/>
  <c r="CM6" i="56"/>
  <c r="CL6" i="56"/>
  <c r="CK6" i="56"/>
  <c r="CJ6" i="56"/>
  <c r="DK6" i="56"/>
  <c r="BR6" i="56"/>
  <c r="BQ6" i="56"/>
  <c r="BP6" i="56"/>
  <c r="BO6" i="56"/>
  <c r="BN6" i="56"/>
  <c r="BM6" i="56"/>
  <c r="BL6" i="56"/>
  <c r="BK6" i="56"/>
  <c r="BJ6" i="56"/>
  <c r="BI6" i="56"/>
  <c r="BH6" i="56"/>
  <c r="BG6" i="56"/>
  <c r="BD6" i="56"/>
  <c r="BC6" i="56"/>
  <c r="BB6" i="56"/>
  <c r="BA6" i="56"/>
  <c r="AZ6" i="56"/>
  <c r="CB6" i="56" s="1"/>
  <c r="AY6" i="56"/>
  <c r="AX6" i="56"/>
  <c r="AW6" i="56"/>
  <c r="AV6" i="56"/>
  <c r="AU6" i="56"/>
  <c r="AT6" i="56"/>
  <c r="AS6" i="56"/>
  <c r="AB6" i="56"/>
  <c r="AA6" i="56"/>
  <c r="Z6" i="56"/>
  <c r="Y6" i="56"/>
  <c r="X6" i="56"/>
  <c r="W6" i="56"/>
  <c r="V6" i="56"/>
  <c r="U6" i="56"/>
  <c r="T6" i="56"/>
  <c r="S6" i="56"/>
  <c r="R6" i="56"/>
  <c r="Q6" i="56"/>
  <c r="N6" i="56"/>
  <c r="M6" i="56"/>
  <c r="L6" i="56"/>
  <c r="K6" i="56"/>
  <c r="J6" i="56"/>
  <c r="I6" i="56"/>
  <c r="H6" i="56"/>
  <c r="G6" i="56"/>
  <c r="F6" i="56"/>
  <c r="E6" i="56"/>
  <c r="AG6" i="56" s="1"/>
  <c r="D6" i="56"/>
  <c r="C6" i="56"/>
  <c r="T62" i="7"/>
  <c r="T58" i="7"/>
  <c r="T54" i="7"/>
  <c r="T50" i="7"/>
  <c r="T46" i="7"/>
  <c r="T42" i="7"/>
  <c r="T33" i="7"/>
  <c r="T28" i="7"/>
  <c r="T23" i="7"/>
  <c r="T18" i="7"/>
  <c r="T13" i="7"/>
  <c r="O6" i="117"/>
  <c r="O6" i="119"/>
  <c r="O6" i="121"/>
  <c r="O6" i="122"/>
  <c r="O6" i="124"/>
  <c r="O6" i="125"/>
  <c r="O6" i="126"/>
  <c r="O6" i="128"/>
  <c r="O6" i="129"/>
  <c r="O6" i="130"/>
  <c r="O6" i="132"/>
  <c r="O6" i="133"/>
  <c r="O6" i="135"/>
  <c r="O6" i="136"/>
  <c r="O6" i="137"/>
  <c r="H43" i="52"/>
  <c r="H39" i="52"/>
  <c r="H35" i="52"/>
  <c r="K17" i="86"/>
  <c r="N25" i="111"/>
  <c r="M25" i="111"/>
  <c r="L25" i="111"/>
  <c r="K25" i="111"/>
  <c r="J25" i="111"/>
  <c r="I25" i="111"/>
  <c r="H25" i="111"/>
  <c r="G25" i="111"/>
  <c r="F25" i="111"/>
  <c r="E25" i="111"/>
  <c r="D25" i="111"/>
  <c r="D6" i="158"/>
  <c r="C6" i="158"/>
  <c r="D6" i="155"/>
  <c r="C6" i="155"/>
  <c r="D6" i="154"/>
  <c r="C6" i="154"/>
  <c r="D6" i="153"/>
  <c r="C6" i="153"/>
  <c r="D6" i="151"/>
  <c r="C6" i="151"/>
  <c r="D6" i="150"/>
  <c r="C6" i="150"/>
  <c r="D6" i="148"/>
  <c r="C6" i="148"/>
  <c r="D6" i="147"/>
  <c r="C6" i="147"/>
  <c r="D6" i="146"/>
  <c r="C6" i="146"/>
  <c r="D6" i="144"/>
  <c r="C6" i="144"/>
  <c r="D6" i="143"/>
  <c r="C6" i="143"/>
  <c r="D6" i="141"/>
  <c r="C6" i="141"/>
  <c r="D6" i="140"/>
  <c r="C6" i="140"/>
  <c r="D6" i="139"/>
  <c r="C6" i="139"/>
  <c r="N6" i="137"/>
  <c r="M6" i="137"/>
  <c r="L6" i="137"/>
  <c r="K6" i="137"/>
  <c r="J6" i="137"/>
  <c r="I6" i="137"/>
  <c r="H6" i="137"/>
  <c r="G6" i="137"/>
  <c r="F6" i="137"/>
  <c r="E6" i="137"/>
  <c r="D6" i="137"/>
  <c r="C6" i="137"/>
  <c r="N6" i="136"/>
  <c r="M6" i="136"/>
  <c r="L6" i="136"/>
  <c r="K6" i="136"/>
  <c r="J6" i="136"/>
  <c r="I6" i="136"/>
  <c r="H6" i="136"/>
  <c r="G6" i="136"/>
  <c r="F6" i="136"/>
  <c r="E6" i="136"/>
  <c r="D6" i="136"/>
  <c r="C6" i="136"/>
  <c r="N6" i="135"/>
  <c r="M6" i="135"/>
  <c r="L6" i="135"/>
  <c r="K6" i="135"/>
  <c r="J6" i="135"/>
  <c r="I6" i="135"/>
  <c r="H6" i="135"/>
  <c r="G6" i="135"/>
  <c r="F6" i="135"/>
  <c r="E6" i="135"/>
  <c r="D6" i="135"/>
  <c r="C6" i="135"/>
  <c r="N6" i="133"/>
  <c r="M6" i="133"/>
  <c r="L6" i="133"/>
  <c r="K6" i="133"/>
  <c r="J6" i="133"/>
  <c r="I6" i="133"/>
  <c r="H6" i="133"/>
  <c r="G6" i="133"/>
  <c r="F6" i="133"/>
  <c r="E6" i="133"/>
  <c r="D6" i="133"/>
  <c r="C6" i="133"/>
  <c r="T6" i="132"/>
  <c r="N6" i="132"/>
  <c r="M6" i="132"/>
  <c r="L6" i="132"/>
  <c r="K6" i="132"/>
  <c r="J6" i="132"/>
  <c r="I6" i="132"/>
  <c r="H6" i="132"/>
  <c r="G6" i="132"/>
  <c r="F6" i="132"/>
  <c r="E6" i="132"/>
  <c r="D6" i="132"/>
  <c r="C6" i="132"/>
  <c r="N6" i="130"/>
  <c r="M6" i="130"/>
  <c r="L6" i="130"/>
  <c r="K6" i="130"/>
  <c r="J6" i="130"/>
  <c r="I6" i="130"/>
  <c r="H6" i="130"/>
  <c r="G6" i="130"/>
  <c r="F6" i="130"/>
  <c r="E6" i="130"/>
  <c r="D6" i="130"/>
  <c r="C6" i="130"/>
  <c r="N6" i="129"/>
  <c r="M6" i="129"/>
  <c r="L6" i="129"/>
  <c r="K6" i="129"/>
  <c r="J6" i="129"/>
  <c r="I6" i="129"/>
  <c r="H6" i="129"/>
  <c r="G6" i="129"/>
  <c r="F6" i="129"/>
  <c r="E6" i="129"/>
  <c r="D6" i="129"/>
  <c r="C6" i="129"/>
  <c r="N6" i="128"/>
  <c r="M6" i="128"/>
  <c r="L6" i="128"/>
  <c r="K6" i="128"/>
  <c r="J6" i="128"/>
  <c r="I6" i="128"/>
  <c r="H6" i="128"/>
  <c r="G6" i="128"/>
  <c r="F6" i="128"/>
  <c r="E6" i="128"/>
  <c r="D6" i="128"/>
  <c r="C6" i="128"/>
  <c r="N6" i="126"/>
  <c r="M6" i="126"/>
  <c r="L6" i="126"/>
  <c r="K6" i="126"/>
  <c r="J6" i="126"/>
  <c r="I6" i="126"/>
  <c r="H6" i="126"/>
  <c r="G6" i="126"/>
  <c r="F6" i="126"/>
  <c r="E6" i="126"/>
  <c r="D6" i="126"/>
  <c r="C6" i="126"/>
  <c r="N6" i="125"/>
  <c r="M6" i="125"/>
  <c r="L6" i="125"/>
  <c r="K6" i="125"/>
  <c r="J6" i="125"/>
  <c r="I6" i="125"/>
  <c r="H6" i="125"/>
  <c r="G6" i="125"/>
  <c r="F6" i="125"/>
  <c r="E6" i="125"/>
  <c r="D6" i="125"/>
  <c r="C6" i="125"/>
  <c r="R6" i="124"/>
  <c r="N6" i="124"/>
  <c r="M6" i="124"/>
  <c r="L6" i="124"/>
  <c r="K6" i="124"/>
  <c r="J6" i="124"/>
  <c r="I6" i="124"/>
  <c r="H6" i="124"/>
  <c r="G6" i="124"/>
  <c r="F6" i="124"/>
  <c r="E6" i="124"/>
  <c r="D6" i="124"/>
  <c r="C6" i="124"/>
  <c r="N6" i="122"/>
  <c r="M6" i="122"/>
  <c r="L6" i="122"/>
  <c r="K6" i="122"/>
  <c r="J6" i="122"/>
  <c r="I6" i="122"/>
  <c r="H6" i="122"/>
  <c r="G6" i="122"/>
  <c r="F6" i="122"/>
  <c r="E6" i="122"/>
  <c r="D6" i="122"/>
  <c r="C6" i="122"/>
  <c r="N6" i="121"/>
  <c r="M6" i="121"/>
  <c r="L6" i="121"/>
  <c r="K6" i="121"/>
  <c r="J6" i="121"/>
  <c r="I6" i="121"/>
  <c r="H6" i="121"/>
  <c r="G6" i="121"/>
  <c r="F6" i="121"/>
  <c r="E6" i="121"/>
  <c r="D6" i="121"/>
  <c r="C6" i="121"/>
  <c r="N6" i="119"/>
  <c r="M6" i="119"/>
  <c r="L6" i="119"/>
  <c r="K6" i="119"/>
  <c r="J6" i="119"/>
  <c r="I6" i="119"/>
  <c r="H6" i="119"/>
  <c r="G6" i="119"/>
  <c r="F6" i="119"/>
  <c r="E6" i="119"/>
  <c r="D6" i="119"/>
  <c r="C6" i="119"/>
  <c r="M6" i="118"/>
  <c r="L6" i="118"/>
  <c r="K6" i="118"/>
  <c r="J6" i="118"/>
  <c r="I6" i="118"/>
  <c r="H6" i="118"/>
  <c r="G6" i="118"/>
  <c r="F6" i="118"/>
  <c r="E6" i="118"/>
  <c r="D6" i="118"/>
  <c r="C6" i="118"/>
  <c r="N6" i="117"/>
  <c r="M6" i="117"/>
  <c r="L6" i="117"/>
  <c r="K6" i="117"/>
  <c r="J6" i="117"/>
  <c r="I6" i="117"/>
  <c r="H6" i="117"/>
  <c r="G6" i="117"/>
  <c r="F6" i="117"/>
  <c r="E6" i="117"/>
  <c r="D6" i="117"/>
  <c r="C6" i="117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51" i="5"/>
  <c r="C50" i="5"/>
  <c r="C49" i="5"/>
  <c r="C48" i="5"/>
  <c r="C47" i="5"/>
  <c r="C46" i="5"/>
  <c r="C45" i="5"/>
  <c r="C44" i="5"/>
  <c r="C43" i="5"/>
  <c r="C42" i="5"/>
  <c r="C41" i="5"/>
  <c r="C39" i="5"/>
  <c r="C36" i="5"/>
  <c r="C35" i="5"/>
  <c r="C34" i="5"/>
  <c r="H39" i="92"/>
  <c r="G39" i="92"/>
  <c r="H38" i="92"/>
  <c r="G38" i="92"/>
  <c r="H37" i="92"/>
  <c r="G37" i="92"/>
  <c r="H36" i="92"/>
  <c r="G36" i="92"/>
  <c r="H35" i="92"/>
  <c r="G35" i="92"/>
  <c r="H34" i="92"/>
  <c r="G34" i="92"/>
  <c r="H33" i="92"/>
  <c r="G33" i="92"/>
  <c r="H32" i="92"/>
  <c r="G32" i="92"/>
  <c r="H31" i="92"/>
  <c r="G31" i="92"/>
  <c r="H30" i="92"/>
  <c r="G30" i="92"/>
  <c r="H29" i="92"/>
  <c r="G29" i="92"/>
  <c r="H28" i="92"/>
  <c r="H27" i="92" s="1"/>
  <c r="G28" i="92"/>
  <c r="G27" i="92" s="1"/>
  <c r="F27" i="92"/>
  <c r="E27" i="92"/>
  <c r="D27" i="92"/>
  <c r="C27" i="92"/>
  <c r="B27" i="92"/>
  <c r="H6" i="92"/>
  <c r="G6" i="92"/>
  <c r="F6" i="92"/>
  <c r="E6" i="92"/>
  <c r="D6" i="92"/>
  <c r="C6" i="92"/>
  <c r="B6" i="92"/>
  <c r="H39" i="91"/>
  <c r="G39" i="91"/>
  <c r="H38" i="91"/>
  <c r="G38" i="91"/>
  <c r="H37" i="91"/>
  <c r="G37" i="91"/>
  <c r="H36" i="91"/>
  <c r="G36" i="91"/>
  <c r="H35" i="91"/>
  <c r="G35" i="91"/>
  <c r="H34" i="91"/>
  <c r="G34" i="91"/>
  <c r="H33" i="91"/>
  <c r="G33" i="91"/>
  <c r="H32" i="91"/>
  <c r="G32" i="91"/>
  <c r="H31" i="91"/>
  <c r="G31" i="91"/>
  <c r="H30" i="91"/>
  <c r="G30" i="91"/>
  <c r="H29" i="91"/>
  <c r="G29" i="91"/>
  <c r="H28" i="91"/>
  <c r="E43" i="52"/>
  <c r="D43" i="52"/>
  <c r="C43" i="52"/>
  <c r="E39" i="52"/>
  <c r="D39" i="52"/>
  <c r="C39" i="52"/>
  <c r="E35" i="52"/>
  <c r="D35" i="52"/>
  <c r="C35" i="52"/>
  <c r="C43" i="113"/>
  <c r="C42" i="113"/>
  <c r="C44" i="113" s="1"/>
  <c r="C39" i="113"/>
  <c r="C40" i="113" s="1"/>
  <c r="C38" i="113"/>
  <c r="C35" i="113"/>
  <c r="C34" i="113"/>
  <c r="C31" i="113"/>
  <c r="C30" i="113"/>
  <c r="C27" i="113"/>
  <c r="C26" i="113"/>
  <c r="C23" i="113"/>
  <c r="C22" i="113"/>
  <c r="C19" i="113"/>
  <c r="C18" i="113"/>
  <c r="C15" i="113"/>
  <c r="C14" i="113"/>
  <c r="C11" i="113"/>
  <c r="C10" i="113"/>
  <c r="C7" i="113"/>
  <c r="C6" i="113"/>
  <c r="B38" i="112"/>
  <c r="B37" i="112"/>
  <c r="B36" i="112"/>
  <c r="B35" i="112"/>
  <c r="N34" i="112"/>
  <c r="M34" i="112"/>
  <c r="L34" i="112"/>
  <c r="K34" i="112"/>
  <c r="J34" i="112"/>
  <c r="I34" i="112"/>
  <c r="H34" i="112"/>
  <c r="G34" i="112"/>
  <c r="F34" i="112"/>
  <c r="E34" i="112"/>
  <c r="D34" i="112"/>
  <c r="C34" i="112"/>
  <c r="B32" i="112"/>
  <c r="B31" i="112"/>
  <c r="B30" i="112"/>
  <c r="B29" i="112"/>
  <c r="B28" i="112"/>
  <c r="B27" i="112"/>
  <c r="B26" i="112"/>
  <c r="B23" i="112"/>
  <c r="B22" i="112"/>
  <c r="B21" i="112"/>
  <c r="B20" i="112"/>
  <c r="B19" i="112"/>
  <c r="B18" i="112"/>
  <c r="B17" i="112"/>
  <c r="B14" i="112"/>
  <c r="B13" i="112"/>
  <c r="B12" i="112"/>
  <c r="B11" i="112"/>
  <c r="B10" i="112"/>
  <c r="B9" i="112"/>
  <c r="B8" i="112" s="1"/>
  <c r="N8" i="112"/>
  <c r="M8" i="112"/>
  <c r="L8" i="112"/>
  <c r="K8" i="112"/>
  <c r="J8" i="112"/>
  <c r="I8" i="112"/>
  <c r="H8" i="112"/>
  <c r="G8" i="112"/>
  <c r="F8" i="112"/>
  <c r="E8" i="112"/>
  <c r="D8" i="112"/>
  <c r="C8" i="112"/>
  <c r="B38" i="111"/>
  <c r="B37" i="111"/>
  <c r="B36" i="111"/>
  <c r="B35" i="111"/>
  <c r="N34" i="111"/>
  <c r="M34" i="111"/>
  <c r="L34" i="111"/>
  <c r="K34" i="111"/>
  <c r="J34" i="111"/>
  <c r="I34" i="111"/>
  <c r="H34" i="111"/>
  <c r="G34" i="111"/>
  <c r="F34" i="111"/>
  <c r="E34" i="111"/>
  <c r="D34" i="111"/>
  <c r="C34" i="111"/>
  <c r="B32" i="111"/>
  <c r="B31" i="111"/>
  <c r="B30" i="111"/>
  <c r="B29" i="111"/>
  <c r="B28" i="111"/>
  <c r="B27" i="111"/>
  <c r="B26" i="111"/>
  <c r="C25" i="111"/>
  <c r="B23" i="111"/>
  <c r="B22" i="111"/>
  <c r="B21" i="111"/>
  <c r="B20" i="111"/>
  <c r="F16" i="111"/>
  <c r="K16" i="111"/>
  <c r="J16" i="111"/>
  <c r="I16" i="111"/>
  <c r="G16" i="111"/>
  <c r="B18" i="111"/>
  <c r="B17" i="111"/>
  <c r="N16" i="111"/>
  <c r="M16" i="111"/>
  <c r="L16" i="111"/>
  <c r="E16" i="111"/>
  <c r="D16" i="111"/>
  <c r="C16" i="111"/>
  <c r="B14" i="111"/>
  <c r="B13" i="111"/>
  <c r="B12" i="111"/>
  <c r="B11" i="111"/>
  <c r="B10" i="111"/>
  <c r="B9" i="111"/>
  <c r="N8" i="111"/>
  <c r="M8" i="111"/>
  <c r="L8" i="111"/>
  <c r="K8" i="111"/>
  <c r="J8" i="111"/>
  <c r="I8" i="111"/>
  <c r="H8" i="111"/>
  <c r="G8" i="111"/>
  <c r="F8" i="111"/>
  <c r="E8" i="111"/>
  <c r="D8" i="111"/>
  <c r="C8" i="111"/>
  <c r="B38" i="110"/>
  <c r="B37" i="110"/>
  <c r="B36" i="110"/>
  <c r="B35" i="110"/>
  <c r="N34" i="110"/>
  <c r="M34" i="110"/>
  <c r="L34" i="110"/>
  <c r="K34" i="110"/>
  <c r="J34" i="110"/>
  <c r="I34" i="110"/>
  <c r="H34" i="110"/>
  <c r="G34" i="110"/>
  <c r="F34" i="110"/>
  <c r="E34" i="110"/>
  <c r="D34" i="110"/>
  <c r="C34" i="110"/>
  <c r="B32" i="110"/>
  <c r="B31" i="110"/>
  <c r="B30" i="110"/>
  <c r="B29" i="110"/>
  <c r="B28" i="110"/>
  <c r="B26" i="110"/>
  <c r="B23" i="110"/>
  <c r="B22" i="110"/>
  <c r="B21" i="110"/>
  <c r="B20" i="110"/>
  <c r="B19" i="110"/>
  <c r="B18" i="110"/>
  <c r="B17" i="110"/>
  <c r="B14" i="110"/>
  <c r="B13" i="110"/>
  <c r="B12" i="110"/>
  <c r="B11" i="110"/>
  <c r="B10" i="110"/>
  <c r="B9" i="110"/>
  <c r="N8" i="110"/>
  <c r="M8" i="110"/>
  <c r="L8" i="110"/>
  <c r="K8" i="110"/>
  <c r="J8" i="110"/>
  <c r="I8" i="110"/>
  <c r="H8" i="110"/>
  <c r="G8" i="110"/>
  <c r="F8" i="110"/>
  <c r="E8" i="110"/>
  <c r="D8" i="110"/>
  <c r="C8" i="110"/>
  <c r="J17" i="86"/>
  <c r="I17" i="86"/>
  <c r="H17" i="86"/>
  <c r="G17" i="86"/>
  <c r="L9" i="69"/>
  <c r="DV36" i="56"/>
  <c r="DU36" i="56"/>
  <c r="DT36" i="56"/>
  <c r="DS36" i="56"/>
  <c r="DR36" i="56"/>
  <c r="DQ36" i="56"/>
  <c r="DP36" i="56"/>
  <c r="DO36" i="56"/>
  <c r="DN36" i="56"/>
  <c r="DM36" i="56"/>
  <c r="DL36" i="56"/>
  <c r="DK36" i="56"/>
  <c r="CV36" i="56"/>
  <c r="CH36" i="56"/>
  <c r="DV35" i="56"/>
  <c r="DU35" i="56"/>
  <c r="DT35" i="56"/>
  <c r="DS35" i="56"/>
  <c r="DR35" i="56"/>
  <c r="DQ35" i="56"/>
  <c r="DP35" i="56"/>
  <c r="DO35" i="56"/>
  <c r="DN35" i="56"/>
  <c r="DM35" i="56"/>
  <c r="DL35" i="56"/>
  <c r="DK35" i="56"/>
  <c r="CV35" i="56"/>
  <c r="CH35" i="56"/>
  <c r="CF35" i="56"/>
  <c r="CE35" i="56"/>
  <c r="CD35" i="56"/>
  <c r="CC35" i="56"/>
  <c r="CB35" i="56"/>
  <c r="CA35" i="56"/>
  <c r="BZ35" i="56"/>
  <c r="BY35" i="56"/>
  <c r="BX35" i="56"/>
  <c r="BW35" i="56"/>
  <c r="BV35" i="56"/>
  <c r="BU35" i="56"/>
  <c r="BF35" i="56"/>
  <c r="AR35" i="56"/>
  <c r="P35" i="56"/>
  <c r="B35" i="56"/>
  <c r="DV34" i="56"/>
  <c r="DU34" i="56"/>
  <c r="DT34" i="56"/>
  <c r="DS34" i="56"/>
  <c r="DR34" i="56"/>
  <c r="DQ34" i="56"/>
  <c r="DP34" i="56"/>
  <c r="DO34" i="56"/>
  <c r="DN34" i="56"/>
  <c r="DM34" i="56"/>
  <c r="DL34" i="56"/>
  <c r="DK34" i="56"/>
  <c r="CV34" i="56"/>
  <c r="CH34" i="56"/>
  <c r="CF34" i="56"/>
  <c r="CE34" i="56"/>
  <c r="CD34" i="56"/>
  <c r="CC34" i="56"/>
  <c r="CB34" i="56"/>
  <c r="CA34" i="56"/>
  <c r="BZ34" i="56"/>
  <c r="BY34" i="56"/>
  <c r="BX34" i="56"/>
  <c r="BW34" i="56"/>
  <c r="BV34" i="56"/>
  <c r="BU34" i="56"/>
  <c r="BF34" i="56"/>
  <c r="AR34" i="56"/>
  <c r="AP34" i="56"/>
  <c r="AO34" i="56"/>
  <c r="AN34" i="56"/>
  <c r="AM34" i="56"/>
  <c r="AL34" i="56"/>
  <c r="AK34" i="56"/>
  <c r="AJ34" i="56"/>
  <c r="AI34" i="56"/>
  <c r="AH34" i="56"/>
  <c r="AG34" i="56"/>
  <c r="AF34" i="56"/>
  <c r="AE34" i="56"/>
  <c r="P34" i="56"/>
  <c r="B34" i="56"/>
  <c r="DV33" i="56"/>
  <c r="DU33" i="56"/>
  <c r="DT33" i="56"/>
  <c r="DS33" i="56"/>
  <c r="DR33" i="56"/>
  <c r="DQ33" i="56"/>
  <c r="DP33" i="56"/>
  <c r="DO33" i="56"/>
  <c r="DN33" i="56"/>
  <c r="DM33" i="56"/>
  <c r="DL33" i="56"/>
  <c r="DK33" i="56"/>
  <c r="CV33" i="56"/>
  <c r="CH33" i="56"/>
  <c r="CF33" i="56"/>
  <c r="CE33" i="56"/>
  <c r="CD33" i="56"/>
  <c r="CC33" i="56"/>
  <c r="CB33" i="56"/>
  <c r="CA33" i="56"/>
  <c r="BZ33" i="56"/>
  <c r="BY33" i="56"/>
  <c r="BX33" i="56"/>
  <c r="BW33" i="56"/>
  <c r="BV33" i="56"/>
  <c r="BU33" i="56"/>
  <c r="BF33" i="56"/>
  <c r="AR33" i="56"/>
  <c r="AP33" i="56"/>
  <c r="AO33" i="56"/>
  <c r="AN33" i="56"/>
  <c r="AM33" i="56"/>
  <c r="AL33" i="56"/>
  <c r="AK33" i="56"/>
  <c r="AJ33" i="56"/>
  <c r="AI33" i="56"/>
  <c r="AH33" i="56"/>
  <c r="AG33" i="56"/>
  <c r="AF33" i="56"/>
  <c r="AE33" i="56"/>
  <c r="P33" i="56"/>
  <c r="B33" i="56"/>
  <c r="DV32" i="56"/>
  <c r="DU32" i="56"/>
  <c r="DT32" i="56"/>
  <c r="DS32" i="56"/>
  <c r="DR32" i="56"/>
  <c r="DQ32" i="56"/>
  <c r="DP32" i="56"/>
  <c r="DO32" i="56"/>
  <c r="DN32" i="56"/>
  <c r="DM32" i="56"/>
  <c r="DL32" i="56"/>
  <c r="DK32" i="56"/>
  <c r="CV32" i="56"/>
  <c r="CH32" i="56"/>
  <c r="CF32" i="56"/>
  <c r="CE32" i="56"/>
  <c r="CD32" i="56"/>
  <c r="CC32" i="56"/>
  <c r="CB32" i="56"/>
  <c r="CA32" i="56"/>
  <c r="BZ32" i="56"/>
  <c r="BY32" i="56"/>
  <c r="BX32" i="56"/>
  <c r="BW32" i="56"/>
  <c r="BV32" i="56"/>
  <c r="BU32" i="56"/>
  <c r="BF32" i="56"/>
  <c r="AR32" i="56"/>
  <c r="AP32" i="56"/>
  <c r="AO32" i="56"/>
  <c r="AN32" i="56"/>
  <c r="AM32" i="56"/>
  <c r="AL32" i="56"/>
  <c r="AK32" i="56"/>
  <c r="AJ32" i="56"/>
  <c r="AI32" i="56"/>
  <c r="AH32" i="56"/>
  <c r="AG32" i="56"/>
  <c r="AF32" i="56"/>
  <c r="AE32" i="56"/>
  <c r="P32" i="56"/>
  <c r="B32" i="56"/>
  <c r="DV31" i="56"/>
  <c r="DU31" i="56"/>
  <c r="DT31" i="56"/>
  <c r="DS31" i="56"/>
  <c r="DR31" i="56"/>
  <c r="DQ31" i="56"/>
  <c r="DP31" i="56"/>
  <c r="DO31" i="56"/>
  <c r="DN31" i="56"/>
  <c r="DM31" i="56"/>
  <c r="DL31" i="56"/>
  <c r="DK31" i="56"/>
  <c r="CV31" i="56"/>
  <c r="CH31" i="56"/>
  <c r="AP31" i="56"/>
  <c r="AO31" i="56"/>
  <c r="AN31" i="56"/>
  <c r="AM31" i="56"/>
  <c r="AL31" i="56"/>
  <c r="AK31" i="56"/>
  <c r="AJ31" i="56"/>
  <c r="AI31" i="56"/>
  <c r="AH31" i="56"/>
  <c r="AG31" i="56"/>
  <c r="AF31" i="56"/>
  <c r="AE31" i="56"/>
  <c r="P31" i="56"/>
  <c r="B31" i="56"/>
  <c r="DV30" i="56"/>
  <c r="DU30" i="56"/>
  <c r="DT30" i="56"/>
  <c r="DS30" i="56"/>
  <c r="DR30" i="56"/>
  <c r="DQ30" i="56"/>
  <c r="DP30" i="56"/>
  <c r="DO30" i="56"/>
  <c r="DN30" i="56"/>
  <c r="DM30" i="56"/>
  <c r="DL30" i="56"/>
  <c r="DK30" i="56"/>
  <c r="CV30" i="56"/>
  <c r="CH30" i="56"/>
  <c r="CF30" i="56"/>
  <c r="CE30" i="56"/>
  <c r="CD30" i="56"/>
  <c r="CC30" i="56"/>
  <c r="CB30" i="56"/>
  <c r="CA30" i="56"/>
  <c r="BZ30" i="56"/>
  <c r="BY30" i="56"/>
  <c r="BX30" i="56"/>
  <c r="BW30" i="56"/>
  <c r="BV30" i="56"/>
  <c r="BU30" i="56"/>
  <c r="BF30" i="56"/>
  <c r="AR30" i="56"/>
  <c r="AP30" i="56"/>
  <c r="AO30" i="56"/>
  <c r="AN30" i="56"/>
  <c r="AM30" i="56"/>
  <c r="AL30" i="56"/>
  <c r="AK30" i="56"/>
  <c r="AJ30" i="56"/>
  <c r="AI30" i="56"/>
  <c r="AH30" i="56"/>
  <c r="AG30" i="56"/>
  <c r="AF30" i="56"/>
  <c r="AE30" i="56"/>
  <c r="P30" i="56"/>
  <c r="B30" i="56"/>
  <c r="DV29" i="56"/>
  <c r="DU29" i="56"/>
  <c r="DT29" i="56"/>
  <c r="DS29" i="56"/>
  <c r="DR29" i="56"/>
  <c r="DQ29" i="56"/>
  <c r="DP29" i="56"/>
  <c r="DO29" i="56"/>
  <c r="DN29" i="56"/>
  <c r="DM29" i="56"/>
  <c r="DL29" i="56"/>
  <c r="DK29" i="56"/>
  <c r="CV29" i="56"/>
  <c r="CH29" i="56"/>
  <c r="CF29" i="56"/>
  <c r="CE29" i="56"/>
  <c r="CD29" i="56"/>
  <c r="CC29" i="56"/>
  <c r="CB29" i="56"/>
  <c r="CA29" i="56"/>
  <c r="BZ29" i="56"/>
  <c r="BY29" i="56"/>
  <c r="BX29" i="56"/>
  <c r="BW29" i="56"/>
  <c r="BV29" i="56"/>
  <c r="BU29" i="56"/>
  <c r="BF29" i="56"/>
  <c r="AR29" i="56"/>
  <c r="AP29" i="56"/>
  <c r="AO29" i="56"/>
  <c r="AN29" i="56"/>
  <c r="AM29" i="56"/>
  <c r="AL29" i="56"/>
  <c r="AK29" i="56"/>
  <c r="AJ29" i="56"/>
  <c r="AI29" i="56"/>
  <c r="AH29" i="56"/>
  <c r="AG29" i="56"/>
  <c r="AF29" i="56"/>
  <c r="AE29" i="56"/>
  <c r="P29" i="56"/>
  <c r="B29" i="56"/>
  <c r="DV28" i="56"/>
  <c r="DU28" i="56"/>
  <c r="DT28" i="56"/>
  <c r="DS28" i="56"/>
  <c r="DR28" i="56"/>
  <c r="DQ28" i="56"/>
  <c r="DP28" i="56"/>
  <c r="DO28" i="56"/>
  <c r="DN28" i="56"/>
  <c r="DM28" i="56"/>
  <c r="DL28" i="56"/>
  <c r="DK28" i="56"/>
  <c r="CV28" i="56"/>
  <c r="CH28" i="56"/>
  <c r="CF28" i="56"/>
  <c r="CE28" i="56"/>
  <c r="CD28" i="56"/>
  <c r="CC28" i="56"/>
  <c r="CB28" i="56"/>
  <c r="CA28" i="56"/>
  <c r="BZ28" i="56"/>
  <c r="BY28" i="56"/>
  <c r="BX28" i="56"/>
  <c r="BW28" i="56"/>
  <c r="BV28" i="56"/>
  <c r="BU28" i="56"/>
  <c r="BF28" i="56"/>
  <c r="AR28" i="56"/>
  <c r="AP28" i="56"/>
  <c r="AO28" i="56"/>
  <c r="AN28" i="56"/>
  <c r="AM28" i="56"/>
  <c r="AL28" i="56"/>
  <c r="AK28" i="56"/>
  <c r="AJ28" i="56"/>
  <c r="AI28" i="56"/>
  <c r="AH28" i="56"/>
  <c r="AG28" i="56"/>
  <c r="AF28" i="56"/>
  <c r="AE28" i="56"/>
  <c r="P28" i="56"/>
  <c r="B28" i="56"/>
  <c r="DV27" i="56"/>
  <c r="DU27" i="56"/>
  <c r="DT27" i="56"/>
  <c r="DS27" i="56"/>
  <c r="DR27" i="56"/>
  <c r="DQ27" i="56"/>
  <c r="DP27" i="56"/>
  <c r="DO27" i="56"/>
  <c r="DN27" i="56"/>
  <c r="DM27" i="56"/>
  <c r="DL27" i="56"/>
  <c r="DK27" i="56"/>
  <c r="CV27" i="56"/>
  <c r="CH27" i="56"/>
  <c r="CF27" i="56"/>
  <c r="CE27" i="56"/>
  <c r="CD27" i="56"/>
  <c r="CC27" i="56"/>
  <c r="CB27" i="56"/>
  <c r="CA27" i="56"/>
  <c r="BZ27" i="56"/>
  <c r="BY27" i="56"/>
  <c r="BX27" i="56"/>
  <c r="BW27" i="56"/>
  <c r="BV27" i="56"/>
  <c r="BU27" i="56"/>
  <c r="BF27" i="56"/>
  <c r="AR27" i="56"/>
  <c r="AP27" i="56"/>
  <c r="AO27" i="56"/>
  <c r="AN27" i="56"/>
  <c r="AM27" i="56"/>
  <c r="AL27" i="56"/>
  <c r="AK27" i="56"/>
  <c r="AJ27" i="56"/>
  <c r="AI27" i="56"/>
  <c r="AH27" i="56"/>
  <c r="AG27" i="56"/>
  <c r="AF27" i="56"/>
  <c r="AE27" i="56"/>
  <c r="P27" i="56"/>
  <c r="B27" i="56"/>
  <c r="DV26" i="56"/>
  <c r="DU26" i="56"/>
  <c r="DT26" i="56"/>
  <c r="DS26" i="56"/>
  <c r="DR26" i="56"/>
  <c r="DQ26" i="56"/>
  <c r="DP26" i="56"/>
  <c r="DO26" i="56"/>
  <c r="DN26" i="56"/>
  <c r="DM26" i="56"/>
  <c r="DL26" i="56"/>
  <c r="DK26" i="56"/>
  <c r="CV26" i="56"/>
  <c r="CH26" i="56"/>
  <c r="CF26" i="56"/>
  <c r="CE26" i="56"/>
  <c r="CD26" i="56"/>
  <c r="CC26" i="56"/>
  <c r="CB26" i="56"/>
  <c r="CA26" i="56"/>
  <c r="BZ26" i="56"/>
  <c r="BY26" i="56"/>
  <c r="BX26" i="56"/>
  <c r="BW26" i="56"/>
  <c r="BV26" i="56"/>
  <c r="BU26" i="56"/>
  <c r="BF26" i="56"/>
  <c r="AR26" i="56"/>
  <c r="AP26" i="56"/>
  <c r="AO26" i="56"/>
  <c r="AN26" i="56"/>
  <c r="AM26" i="56"/>
  <c r="AL26" i="56"/>
  <c r="AK26" i="56"/>
  <c r="AJ26" i="56"/>
  <c r="AI26" i="56"/>
  <c r="AH26" i="56"/>
  <c r="AG26" i="56"/>
  <c r="AF26" i="56"/>
  <c r="AE26" i="56"/>
  <c r="P26" i="56"/>
  <c r="B26" i="56"/>
  <c r="DV25" i="56"/>
  <c r="DU25" i="56"/>
  <c r="DT25" i="56"/>
  <c r="DS25" i="56"/>
  <c r="DR25" i="56"/>
  <c r="DQ25" i="56"/>
  <c r="DP25" i="56"/>
  <c r="DO25" i="56"/>
  <c r="DN25" i="56"/>
  <c r="DM25" i="56"/>
  <c r="DL25" i="56"/>
  <c r="DK25" i="56"/>
  <c r="CV25" i="56"/>
  <c r="CH25" i="56"/>
  <c r="CF25" i="56"/>
  <c r="CE25" i="56"/>
  <c r="CD25" i="56"/>
  <c r="CC25" i="56"/>
  <c r="CB25" i="56"/>
  <c r="CA25" i="56"/>
  <c r="BZ25" i="56"/>
  <c r="BY25" i="56"/>
  <c r="BX25" i="56"/>
  <c r="BW25" i="56"/>
  <c r="BV25" i="56"/>
  <c r="BU25" i="56"/>
  <c r="BF25" i="56"/>
  <c r="AR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P25" i="56"/>
  <c r="B25" i="56"/>
  <c r="DV24" i="56"/>
  <c r="DU24" i="56"/>
  <c r="DT24" i="56"/>
  <c r="DS24" i="56"/>
  <c r="DR24" i="56"/>
  <c r="DQ24" i="56"/>
  <c r="DP24" i="56"/>
  <c r="DO24" i="56"/>
  <c r="DN24" i="56"/>
  <c r="DM24" i="56"/>
  <c r="DL24" i="56"/>
  <c r="DK24" i="56"/>
  <c r="CV24" i="56"/>
  <c r="CH24" i="56"/>
  <c r="CF24" i="56"/>
  <c r="CE24" i="56"/>
  <c r="CD24" i="56"/>
  <c r="CC24" i="56"/>
  <c r="CB24" i="56"/>
  <c r="CA24" i="56"/>
  <c r="BZ24" i="56"/>
  <c r="BY24" i="56"/>
  <c r="BX24" i="56"/>
  <c r="BW24" i="56"/>
  <c r="BV24" i="56"/>
  <c r="BU24" i="56"/>
  <c r="BF24" i="56"/>
  <c r="AR24" i="56"/>
  <c r="AP24" i="56"/>
  <c r="AO24" i="56"/>
  <c r="AN24" i="56"/>
  <c r="AM24" i="56"/>
  <c r="AL24" i="56"/>
  <c r="AK24" i="56"/>
  <c r="AJ24" i="56"/>
  <c r="AI24" i="56"/>
  <c r="AH24" i="56"/>
  <c r="AG24" i="56"/>
  <c r="AF24" i="56"/>
  <c r="AE24" i="56"/>
  <c r="P24" i="56"/>
  <c r="B24" i="56"/>
  <c r="DV23" i="56"/>
  <c r="DU23" i="56"/>
  <c r="DT23" i="56"/>
  <c r="DS23" i="56"/>
  <c r="DR23" i="56"/>
  <c r="DQ23" i="56"/>
  <c r="DP23" i="56"/>
  <c r="DO23" i="56"/>
  <c r="DN23" i="56"/>
  <c r="DM23" i="56"/>
  <c r="DL23" i="56"/>
  <c r="DK23" i="56"/>
  <c r="CV23" i="56"/>
  <c r="CH23" i="56"/>
  <c r="CF23" i="56"/>
  <c r="CE23" i="56"/>
  <c r="CD23" i="56"/>
  <c r="CC23" i="56"/>
  <c r="CB23" i="56"/>
  <c r="CA23" i="56"/>
  <c r="BZ23" i="56"/>
  <c r="BY23" i="56"/>
  <c r="BX23" i="56"/>
  <c r="BW23" i="56"/>
  <c r="BV23" i="56"/>
  <c r="BU23" i="56"/>
  <c r="BF23" i="56"/>
  <c r="AR23" i="56"/>
  <c r="AP23" i="56"/>
  <c r="AO23" i="56"/>
  <c r="AN23" i="56"/>
  <c r="AM23" i="56"/>
  <c r="AL23" i="56"/>
  <c r="AK23" i="56"/>
  <c r="AJ23" i="56"/>
  <c r="AI23" i="56"/>
  <c r="AH23" i="56"/>
  <c r="AG23" i="56"/>
  <c r="AF23" i="56"/>
  <c r="AE23" i="56"/>
  <c r="P23" i="56"/>
  <c r="B23" i="56"/>
  <c r="DV22" i="56"/>
  <c r="DU22" i="56"/>
  <c r="DT22" i="56"/>
  <c r="DS22" i="56"/>
  <c r="DR22" i="56"/>
  <c r="DQ22" i="56"/>
  <c r="DP22" i="56"/>
  <c r="DO22" i="56"/>
  <c r="DN22" i="56"/>
  <c r="DM22" i="56"/>
  <c r="DL22" i="56"/>
  <c r="DK22" i="56"/>
  <c r="CV22" i="56"/>
  <c r="CH22" i="56"/>
  <c r="CF22" i="56"/>
  <c r="CE22" i="56"/>
  <c r="CD22" i="56"/>
  <c r="CC22" i="56"/>
  <c r="CB22" i="56"/>
  <c r="CA22" i="56"/>
  <c r="BZ22" i="56"/>
  <c r="BY22" i="56"/>
  <c r="BX22" i="56"/>
  <c r="BW22" i="56"/>
  <c r="BV22" i="56"/>
  <c r="BU22" i="56"/>
  <c r="BF22" i="56"/>
  <c r="AR22" i="56"/>
  <c r="AP22" i="56"/>
  <c r="AO22" i="56"/>
  <c r="AN22" i="56"/>
  <c r="AM22" i="56"/>
  <c r="AL22" i="56"/>
  <c r="AK22" i="56"/>
  <c r="AJ22" i="56"/>
  <c r="AI22" i="56"/>
  <c r="AH22" i="56"/>
  <c r="AG22" i="56"/>
  <c r="AF22" i="56"/>
  <c r="AE22" i="56"/>
  <c r="P22" i="56"/>
  <c r="B22" i="56"/>
  <c r="DV21" i="56"/>
  <c r="DU21" i="56"/>
  <c r="DT21" i="56"/>
  <c r="DS21" i="56"/>
  <c r="DR21" i="56"/>
  <c r="DQ21" i="56"/>
  <c r="DP21" i="56"/>
  <c r="DO21" i="56"/>
  <c r="DN21" i="56"/>
  <c r="DM21" i="56"/>
  <c r="DL21" i="56"/>
  <c r="DK21" i="56"/>
  <c r="CV21" i="56"/>
  <c r="CH21" i="56"/>
  <c r="CF21" i="56"/>
  <c r="CE21" i="56"/>
  <c r="CD21" i="56"/>
  <c r="CC21" i="56"/>
  <c r="CB21" i="56"/>
  <c r="CA21" i="56"/>
  <c r="BZ21" i="56"/>
  <c r="BY21" i="56"/>
  <c r="BX21" i="56"/>
  <c r="BW21" i="56"/>
  <c r="BV21" i="56"/>
  <c r="BU21" i="56"/>
  <c r="BF21" i="56"/>
  <c r="AR21" i="56"/>
  <c r="AP21" i="56"/>
  <c r="AO21" i="56"/>
  <c r="AN21" i="56"/>
  <c r="AM21" i="56"/>
  <c r="AL21" i="56"/>
  <c r="AK21" i="56"/>
  <c r="AJ21" i="56"/>
  <c r="AI21" i="56"/>
  <c r="AH21" i="56"/>
  <c r="AG21" i="56"/>
  <c r="AF21" i="56"/>
  <c r="AE21" i="56"/>
  <c r="P21" i="56"/>
  <c r="B21" i="56"/>
  <c r="DV20" i="56"/>
  <c r="DU20" i="56"/>
  <c r="DT20" i="56"/>
  <c r="DS20" i="56"/>
  <c r="DR20" i="56"/>
  <c r="DQ20" i="56"/>
  <c r="DP20" i="56"/>
  <c r="DO20" i="56"/>
  <c r="DN20" i="56"/>
  <c r="DM20" i="56"/>
  <c r="DL20" i="56"/>
  <c r="DK20" i="56"/>
  <c r="CV20" i="56"/>
  <c r="CH20" i="56"/>
  <c r="CF20" i="56"/>
  <c r="CE20" i="56"/>
  <c r="CD20" i="56"/>
  <c r="CC20" i="56"/>
  <c r="CB20" i="56"/>
  <c r="CA20" i="56"/>
  <c r="BZ20" i="56"/>
  <c r="BY20" i="56"/>
  <c r="BX20" i="56"/>
  <c r="BW20" i="56"/>
  <c r="BV20" i="56"/>
  <c r="BU20" i="56"/>
  <c r="BF20" i="56"/>
  <c r="AR20" i="56"/>
  <c r="AP20" i="56"/>
  <c r="AO20" i="56"/>
  <c r="AN20" i="56"/>
  <c r="AM20" i="56"/>
  <c r="AL20" i="56"/>
  <c r="AK20" i="56"/>
  <c r="AJ20" i="56"/>
  <c r="AI20" i="56"/>
  <c r="AH20" i="56"/>
  <c r="AG20" i="56"/>
  <c r="AF20" i="56"/>
  <c r="AE20" i="56"/>
  <c r="P20" i="56"/>
  <c r="B20" i="56"/>
  <c r="DV19" i="56"/>
  <c r="DU19" i="56"/>
  <c r="DT19" i="56"/>
  <c r="DS19" i="56"/>
  <c r="DR19" i="56"/>
  <c r="DQ19" i="56"/>
  <c r="DP19" i="56"/>
  <c r="DO19" i="56"/>
  <c r="DN19" i="56"/>
  <c r="DM19" i="56"/>
  <c r="DL19" i="56"/>
  <c r="DK19" i="56"/>
  <c r="CV19" i="56"/>
  <c r="CH19" i="56"/>
  <c r="CF19" i="56"/>
  <c r="CE19" i="56"/>
  <c r="CD19" i="56"/>
  <c r="CC19" i="56"/>
  <c r="CB19" i="56"/>
  <c r="CA19" i="56"/>
  <c r="BZ19" i="56"/>
  <c r="BY19" i="56"/>
  <c r="BX19" i="56"/>
  <c r="BW19" i="56"/>
  <c r="BV19" i="56"/>
  <c r="BU19" i="56"/>
  <c r="BF19" i="56"/>
  <c r="AR19" i="56"/>
  <c r="AP19" i="56"/>
  <c r="AO19" i="56"/>
  <c r="AN19" i="56"/>
  <c r="AM19" i="56"/>
  <c r="AL19" i="56"/>
  <c r="AK19" i="56"/>
  <c r="AJ19" i="56"/>
  <c r="AI19" i="56"/>
  <c r="AH19" i="56"/>
  <c r="AG19" i="56"/>
  <c r="AF19" i="56"/>
  <c r="AE19" i="56"/>
  <c r="P19" i="56"/>
  <c r="B19" i="56"/>
  <c r="DV18" i="56"/>
  <c r="DU18" i="56"/>
  <c r="DT18" i="56"/>
  <c r="DS18" i="56"/>
  <c r="DR18" i="56"/>
  <c r="DQ18" i="56"/>
  <c r="DP18" i="56"/>
  <c r="DO18" i="56"/>
  <c r="DN18" i="56"/>
  <c r="DM18" i="56"/>
  <c r="DL18" i="56"/>
  <c r="DK18" i="56"/>
  <c r="CV18" i="56"/>
  <c r="CH18" i="56"/>
  <c r="CF18" i="56"/>
  <c r="CE18" i="56"/>
  <c r="CD18" i="56"/>
  <c r="CC18" i="56"/>
  <c r="CB18" i="56"/>
  <c r="CA18" i="56"/>
  <c r="BZ18" i="56"/>
  <c r="BY18" i="56"/>
  <c r="BX18" i="56"/>
  <c r="BW18" i="56"/>
  <c r="BV18" i="56"/>
  <c r="BU18" i="56"/>
  <c r="BF18" i="56"/>
  <c r="AR18" i="56"/>
  <c r="AP18" i="56"/>
  <c r="AO18" i="56"/>
  <c r="AN18" i="56"/>
  <c r="AM18" i="56"/>
  <c r="AL18" i="56"/>
  <c r="AK18" i="56"/>
  <c r="AJ18" i="56"/>
  <c r="AI18" i="56"/>
  <c r="AH18" i="56"/>
  <c r="AG18" i="56"/>
  <c r="AF18" i="56"/>
  <c r="AE18" i="56"/>
  <c r="P18" i="56"/>
  <c r="B18" i="56"/>
  <c r="DV17" i="56"/>
  <c r="DU17" i="56"/>
  <c r="DT17" i="56"/>
  <c r="DS17" i="56"/>
  <c r="DR17" i="56"/>
  <c r="DQ17" i="56"/>
  <c r="DP17" i="56"/>
  <c r="DO17" i="56"/>
  <c r="DN17" i="56"/>
  <c r="DM17" i="56"/>
  <c r="DL17" i="56"/>
  <c r="DK17" i="56"/>
  <c r="CV17" i="56"/>
  <c r="CH17" i="56"/>
  <c r="CF17" i="56"/>
  <c r="CE17" i="56"/>
  <c r="CD17" i="56"/>
  <c r="CC17" i="56"/>
  <c r="CB17" i="56"/>
  <c r="CA17" i="56"/>
  <c r="BZ17" i="56"/>
  <c r="BY17" i="56"/>
  <c r="BX17" i="56"/>
  <c r="BW17" i="56"/>
  <c r="BV17" i="56"/>
  <c r="BU17" i="56"/>
  <c r="BF17" i="56"/>
  <c r="AR17" i="56"/>
  <c r="AP17" i="56"/>
  <c r="AO17" i="56"/>
  <c r="AN17" i="56"/>
  <c r="AM17" i="56"/>
  <c r="AL17" i="56"/>
  <c r="AK17" i="56"/>
  <c r="AJ17" i="56"/>
  <c r="AI17" i="56"/>
  <c r="AH17" i="56"/>
  <c r="AG17" i="56"/>
  <c r="AF17" i="56"/>
  <c r="AE17" i="56"/>
  <c r="P17" i="56"/>
  <c r="B17" i="56"/>
  <c r="DV16" i="56"/>
  <c r="DU16" i="56"/>
  <c r="DT16" i="56"/>
  <c r="DS16" i="56"/>
  <c r="DR16" i="56"/>
  <c r="DQ16" i="56"/>
  <c r="DP16" i="56"/>
  <c r="DO16" i="56"/>
  <c r="DN16" i="56"/>
  <c r="DM16" i="56"/>
  <c r="DL16" i="56"/>
  <c r="DK16" i="56"/>
  <c r="CV16" i="56"/>
  <c r="CH16" i="56"/>
  <c r="CF16" i="56"/>
  <c r="CE16" i="56"/>
  <c r="CD16" i="56"/>
  <c r="CC16" i="56"/>
  <c r="CB16" i="56"/>
  <c r="CA16" i="56"/>
  <c r="BZ16" i="56"/>
  <c r="BY16" i="56"/>
  <c r="BX16" i="56"/>
  <c r="BW16" i="56"/>
  <c r="BV16" i="56"/>
  <c r="BU16" i="56"/>
  <c r="BF16" i="56"/>
  <c r="AR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P16" i="56"/>
  <c r="B16" i="56"/>
  <c r="DV15" i="56"/>
  <c r="DU15" i="56"/>
  <c r="DT15" i="56"/>
  <c r="DS15" i="56"/>
  <c r="DR15" i="56"/>
  <c r="DQ15" i="56"/>
  <c r="DP15" i="56"/>
  <c r="DO15" i="56"/>
  <c r="DN15" i="56"/>
  <c r="DM15" i="56"/>
  <c r="DL15" i="56"/>
  <c r="DK15" i="56"/>
  <c r="CV15" i="56"/>
  <c r="CH15" i="56"/>
  <c r="CF15" i="56"/>
  <c r="CE15" i="56"/>
  <c r="CD15" i="56"/>
  <c r="CC15" i="56"/>
  <c r="CB15" i="56"/>
  <c r="CA15" i="56"/>
  <c r="BZ15" i="56"/>
  <c r="BY15" i="56"/>
  <c r="BX15" i="56"/>
  <c r="BW15" i="56"/>
  <c r="BV15" i="56"/>
  <c r="BU15" i="56"/>
  <c r="BF15" i="56"/>
  <c r="AR15" i="56"/>
  <c r="AP15" i="56"/>
  <c r="AO15" i="56"/>
  <c r="AN15" i="56"/>
  <c r="AM15" i="56"/>
  <c r="AL15" i="56"/>
  <c r="AK15" i="56"/>
  <c r="AJ15" i="56"/>
  <c r="AI15" i="56"/>
  <c r="AH15" i="56"/>
  <c r="AG15" i="56"/>
  <c r="AF15" i="56"/>
  <c r="AE15" i="56"/>
  <c r="P15" i="56"/>
  <c r="B15" i="56"/>
  <c r="DV14" i="56"/>
  <c r="DU14" i="56"/>
  <c r="DT14" i="56"/>
  <c r="DS14" i="56"/>
  <c r="DR14" i="56"/>
  <c r="DQ14" i="56"/>
  <c r="DP14" i="56"/>
  <c r="DO14" i="56"/>
  <c r="DN14" i="56"/>
  <c r="DM14" i="56"/>
  <c r="DL14" i="56"/>
  <c r="DK14" i="56"/>
  <c r="CV14" i="56"/>
  <c r="CH14" i="56"/>
  <c r="CF14" i="56"/>
  <c r="CE14" i="56"/>
  <c r="CD14" i="56"/>
  <c r="CC14" i="56"/>
  <c r="CB14" i="56"/>
  <c r="CA14" i="56"/>
  <c r="BZ14" i="56"/>
  <c r="BY14" i="56"/>
  <c r="BX14" i="56"/>
  <c r="BW14" i="56"/>
  <c r="BV14" i="56"/>
  <c r="BU14" i="56"/>
  <c r="BF14" i="56"/>
  <c r="AR14" i="56"/>
  <c r="AP14" i="56"/>
  <c r="AO14" i="56"/>
  <c r="AN14" i="56"/>
  <c r="AM14" i="56"/>
  <c r="AL14" i="56"/>
  <c r="AK14" i="56"/>
  <c r="AJ14" i="56"/>
  <c r="AI14" i="56"/>
  <c r="AH14" i="56"/>
  <c r="AG14" i="56"/>
  <c r="AF14" i="56"/>
  <c r="AE14" i="56"/>
  <c r="P14" i="56"/>
  <c r="B14" i="56"/>
  <c r="DV13" i="56"/>
  <c r="DU13" i="56"/>
  <c r="DT13" i="56"/>
  <c r="DS13" i="56"/>
  <c r="DR13" i="56"/>
  <c r="DQ13" i="56"/>
  <c r="DP13" i="56"/>
  <c r="DO13" i="56"/>
  <c r="DN13" i="56"/>
  <c r="DM13" i="56"/>
  <c r="DL13" i="56"/>
  <c r="DK13" i="56"/>
  <c r="CV13" i="56"/>
  <c r="CH13" i="56"/>
  <c r="CF13" i="56"/>
  <c r="CE13" i="56"/>
  <c r="CD13" i="56"/>
  <c r="CC13" i="56"/>
  <c r="CB13" i="56"/>
  <c r="CA13" i="56"/>
  <c r="BZ13" i="56"/>
  <c r="BY13" i="56"/>
  <c r="BX13" i="56"/>
  <c r="BW13" i="56"/>
  <c r="BV13" i="56"/>
  <c r="BU13" i="56"/>
  <c r="BF13" i="56"/>
  <c r="AR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P13" i="56"/>
  <c r="B13" i="56"/>
  <c r="DV12" i="56"/>
  <c r="DU12" i="56"/>
  <c r="DT12" i="56"/>
  <c r="DS12" i="56"/>
  <c r="DR12" i="56"/>
  <c r="DQ12" i="56"/>
  <c r="DP12" i="56"/>
  <c r="DO12" i="56"/>
  <c r="DN12" i="56"/>
  <c r="DM12" i="56"/>
  <c r="DL12" i="56"/>
  <c r="DK12" i="56"/>
  <c r="CV12" i="56"/>
  <c r="CH12" i="56"/>
  <c r="CF12" i="56"/>
  <c r="CE12" i="56"/>
  <c r="CD12" i="56"/>
  <c r="CC12" i="56"/>
  <c r="CB12" i="56"/>
  <c r="CA12" i="56"/>
  <c r="BZ12" i="56"/>
  <c r="BY12" i="56"/>
  <c r="BX12" i="56"/>
  <c r="BW12" i="56"/>
  <c r="BV12" i="56"/>
  <c r="BU12" i="56"/>
  <c r="BF12" i="56"/>
  <c r="AR12" i="56"/>
  <c r="AP12" i="56"/>
  <c r="AO12" i="56"/>
  <c r="AN12" i="56"/>
  <c r="AM12" i="56"/>
  <c r="AL12" i="56"/>
  <c r="AK12" i="56"/>
  <c r="AJ12" i="56"/>
  <c r="AI12" i="56"/>
  <c r="AH12" i="56"/>
  <c r="AG12" i="56"/>
  <c r="AF12" i="56"/>
  <c r="AE12" i="56"/>
  <c r="P12" i="56"/>
  <c r="B12" i="56"/>
  <c r="DV11" i="56"/>
  <c r="DU11" i="56"/>
  <c r="DT11" i="56"/>
  <c r="DS11" i="56"/>
  <c r="DR11" i="56"/>
  <c r="DQ11" i="56"/>
  <c r="DP11" i="56"/>
  <c r="DO11" i="56"/>
  <c r="DN11" i="56"/>
  <c r="DM11" i="56"/>
  <c r="DL11" i="56"/>
  <c r="DK11" i="56"/>
  <c r="CV11" i="56"/>
  <c r="CH11" i="56"/>
  <c r="CF11" i="56"/>
  <c r="CE11" i="56"/>
  <c r="CD11" i="56"/>
  <c r="CC11" i="56"/>
  <c r="CB11" i="56"/>
  <c r="CA11" i="56"/>
  <c r="BZ11" i="56"/>
  <c r="BY11" i="56"/>
  <c r="BX11" i="56"/>
  <c r="BW11" i="56"/>
  <c r="BV11" i="56"/>
  <c r="BU11" i="56"/>
  <c r="BF11" i="56"/>
  <c r="AR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P11" i="56"/>
  <c r="B11" i="56"/>
  <c r="DV10" i="56"/>
  <c r="DU10" i="56"/>
  <c r="DT10" i="56"/>
  <c r="DS10" i="56"/>
  <c r="DR10" i="56"/>
  <c r="DQ10" i="56"/>
  <c r="DP10" i="56"/>
  <c r="DO10" i="56"/>
  <c r="DN10" i="56"/>
  <c r="DM10" i="56"/>
  <c r="DL10" i="56"/>
  <c r="DK10" i="56"/>
  <c r="CV10" i="56"/>
  <c r="CH10" i="56"/>
  <c r="CF10" i="56"/>
  <c r="CE10" i="56"/>
  <c r="CD10" i="56"/>
  <c r="CC10" i="56"/>
  <c r="CB10" i="56"/>
  <c r="CA10" i="56"/>
  <c r="BZ10" i="56"/>
  <c r="BY10" i="56"/>
  <c r="BX10" i="56"/>
  <c r="BW10" i="56"/>
  <c r="BV10" i="56"/>
  <c r="BU10" i="56"/>
  <c r="BF10" i="56"/>
  <c r="AR10" i="56"/>
  <c r="AP10" i="56"/>
  <c r="AO10" i="56"/>
  <c r="AN10" i="56"/>
  <c r="AM10" i="56"/>
  <c r="AL10" i="56"/>
  <c r="AK10" i="56"/>
  <c r="AJ10" i="56"/>
  <c r="AI10" i="56"/>
  <c r="AH10" i="56"/>
  <c r="AG10" i="56"/>
  <c r="AF10" i="56"/>
  <c r="AE10" i="56"/>
  <c r="P10" i="56"/>
  <c r="B10" i="56"/>
  <c r="DV9" i="56"/>
  <c r="DU9" i="56"/>
  <c r="DT9" i="56"/>
  <c r="DS9" i="56"/>
  <c r="DR9" i="56"/>
  <c r="DQ9" i="56"/>
  <c r="DP9" i="56"/>
  <c r="DO9" i="56"/>
  <c r="DN9" i="56"/>
  <c r="DM9" i="56"/>
  <c r="DL9" i="56"/>
  <c r="DK9" i="56"/>
  <c r="CV9" i="56"/>
  <c r="CH9" i="56"/>
  <c r="CF9" i="56"/>
  <c r="CE9" i="56"/>
  <c r="CD9" i="56"/>
  <c r="CC9" i="56"/>
  <c r="CB9" i="56"/>
  <c r="CA9" i="56"/>
  <c r="BZ9" i="56"/>
  <c r="BY9" i="56"/>
  <c r="BX9" i="56"/>
  <c r="BW9" i="56"/>
  <c r="BV9" i="56"/>
  <c r="BU9" i="56"/>
  <c r="BF9" i="56"/>
  <c r="AR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P9" i="56"/>
  <c r="B9" i="56"/>
  <c r="DV8" i="56"/>
  <c r="DU8" i="56"/>
  <c r="DT8" i="56"/>
  <c r="DS8" i="56"/>
  <c r="DR8" i="56"/>
  <c r="DQ8" i="56"/>
  <c r="DP8" i="56"/>
  <c r="DO8" i="56"/>
  <c r="DN8" i="56"/>
  <c r="DM8" i="56"/>
  <c r="DL8" i="56"/>
  <c r="DK8" i="56"/>
  <c r="CV8" i="56"/>
  <c r="CH8" i="56"/>
  <c r="CF8" i="56"/>
  <c r="CE8" i="56"/>
  <c r="CD8" i="56"/>
  <c r="CC8" i="56"/>
  <c r="CB8" i="56"/>
  <c r="CA8" i="56"/>
  <c r="BZ8" i="56"/>
  <c r="BY8" i="56"/>
  <c r="BX8" i="56"/>
  <c r="BW8" i="56"/>
  <c r="BV8" i="56"/>
  <c r="BU8" i="56"/>
  <c r="BF8" i="56"/>
  <c r="AR8" i="56"/>
  <c r="AP8" i="56"/>
  <c r="AO8" i="56"/>
  <c r="AN8" i="56"/>
  <c r="AM8" i="56"/>
  <c r="AL8" i="56"/>
  <c r="AK8" i="56"/>
  <c r="AJ8" i="56"/>
  <c r="AI8" i="56"/>
  <c r="AH8" i="56"/>
  <c r="AG8" i="56"/>
  <c r="AF8" i="56"/>
  <c r="AE8" i="56"/>
  <c r="P8" i="56"/>
  <c r="B8" i="56"/>
  <c r="DT6" i="56"/>
  <c r="G37" i="55"/>
  <c r="D37" i="55"/>
  <c r="G36" i="55"/>
  <c r="D36" i="55"/>
  <c r="G35" i="55"/>
  <c r="D35" i="55"/>
  <c r="G34" i="55"/>
  <c r="D34" i="55"/>
  <c r="G33" i="55"/>
  <c r="D33" i="55"/>
  <c r="G32" i="55"/>
  <c r="D32" i="55"/>
  <c r="G31" i="55"/>
  <c r="D31" i="55"/>
  <c r="G30" i="55"/>
  <c r="D30" i="55"/>
  <c r="G29" i="55"/>
  <c r="D29" i="55"/>
  <c r="G28" i="55"/>
  <c r="D28" i="55"/>
  <c r="G27" i="55"/>
  <c r="D27" i="55"/>
  <c r="G26" i="55"/>
  <c r="D26" i="55"/>
  <c r="G25" i="55"/>
  <c r="D25" i="55"/>
  <c r="G24" i="55"/>
  <c r="D24" i="55"/>
  <c r="G23" i="55"/>
  <c r="D23" i="55"/>
  <c r="G22" i="55"/>
  <c r="D22" i="55"/>
  <c r="G21" i="55"/>
  <c r="D21" i="55"/>
  <c r="G20" i="55"/>
  <c r="D20" i="55"/>
  <c r="G19" i="55"/>
  <c r="D19" i="55"/>
  <c r="G18" i="55"/>
  <c r="D18" i="55"/>
  <c r="G17" i="55"/>
  <c r="D17" i="55"/>
  <c r="G16" i="55"/>
  <c r="D16" i="55"/>
  <c r="G15" i="55"/>
  <c r="D15" i="55"/>
  <c r="G14" i="55"/>
  <c r="D14" i="55"/>
  <c r="G13" i="55"/>
  <c r="D13" i="55"/>
  <c r="G12" i="55"/>
  <c r="D12" i="55"/>
  <c r="G11" i="55"/>
  <c r="D11" i="55"/>
  <c r="G10" i="55"/>
  <c r="D10" i="55"/>
  <c r="F8" i="55"/>
  <c r="E8" i="55"/>
  <c r="C8" i="55"/>
  <c r="B8" i="55"/>
  <c r="G37" i="54"/>
  <c r="D37" i="54"/>
  <c r="G36" i="54"/>
  <c r="D36" i="54"/>
  <c r="G35" i="54"/>
  <c r="D35" i="54"/>
  <c r="G34" i="54"/>
  <c r="D34" i="54"/>
  <c r="G32" i="54"/>
  <c r="D32" i="54"/>
  <c r="G31" i="54"/>
  <c r="D31" i="54"/>
  <c r="G30" i="54"/>
  <c r="D30" i="54"/>
  <c r="G29" i="54"/>
  <c r="D29" i="54"/>
  <c r="G28" i="54"/>
  <c r="D28" i="54"/>
  <c r="G27" i="54"/>
  <c r="D27" i="54"/>
  <c r="G26" i="54"/>
  <c r="D26" i="54"/>
  <c r="G25" i="54"/>
  <c r="D25" i="54"/>
  <c r="G24" i="54"/>
  <c r="D24" i="54"/>
  <c r="G23" i="54"/>
  <c r="D23" i="54"/>
  <c r="G22" i="54"/>
  <c r="D22" i="54"/>
  <c r="G21" i="54"/>
  <c r="D21" i="54"/>
  <c r="G20" i="54"/>
  <c r="D20" i="54"/>
  <c r="G19" i="54"/>
  <c r="D19" i="54"/>
  <c r="G18" i="54"/>
  <c r="D18" i="54"/>
  <c r="G17" i="54"/>
  <c r="D17" i="54"/>
  <c r="G16" i="54"/>
  <c r="D16" i="54"/>
  <c r="G15" i="54"/>
  <c r="D15" i="54"/>
  <c r="G14" i="54"/>
  <c r="D14" i="54"/>
  <c r="G13" i="54"/>
  <c r="D13" i="54"/>
  <c r="G12" i="54"/>
  <c r="D12" i="54"/>
  <c r="G11" i="54"/>
  <c r="D11" i="54"/>
  <c r="G10" i="54"/>
  <c r="D10" i="54"/>
  <c r="F8" i="54"/>
  <c r="E8" i="54"/>
  <c r="C8" i="54"/>
  <c r="B8" i="54"/>
  <c r="G36" i="53"/>
  <c r="D36" i="53"/>
  <c r="G34" i="53"/>
  <c r="D34" i="53"/>
  <c r="G32" i="53"/>
  <c r="D32" i="53"/>
  <c r="G31" i="53"/>
  <c r="D31" i="53"/>
  <c r="G30" i="53"/>
  <c r="D30" i="53"/>
  <c r="G29" i="53"/>
  <c r="D29" i="53"/>
  <c r="G28" i="53"/>
  <c r="D28" i="53"/>
  <c r="G27" i="53"/>
  <c r="D27" i="53"/>
  <c r="G26" i="53"/>
  <c r="D26" i="53"/>
  <c r="G25" i="53"/>
  <c r="D25" i="53"/>
  <c r="G24" i="53"/>
  <c r="D24" i="53"/>
  <c r="G23" i="53"/>
  <c r="D23" i="53"/>
  <c r="G22" i="53"/>
  <c r="D22" i="53"/>
  <c r="G21" i="53"/>
  <c r="D21" i="53"/>
  <c r="G20" i="53"/>
  <c r="D20" i="53"/>
  <c r="G19" i="53"/>
  <c r="D19" i="53"/>
  <c r="G18" i="53"/>
  <c r="D18" i="53"/>
  <c r="G17" i="53"/>
  <c r="D17" i="53"/>
  <c r="G16" i="53"/>
  <c r="D16" i="53"/>
  <c r="G15" i="53"/>
  <c r="D15" i="53"/>
  <c r="G14" i="53"/>
  <c r="D14" i="53"/>
  <c r="G13" i="53"/>
  <c r="G12" i="53"/>
  <c r="D12" i="53"/>
  <c r="G11" i="53"/>
  <c r="D11" i="53"/>
  <c r="G10" i="53"/>
  <c r="D10" i="53"/>
  <c r="F8" i="53"/>
  <c r="G43" i="52"/>
  <c r="F43" i="52"/>
  <c r="G39" i="52"/>
  <c r="F39" i="52"/>
  <c r="G35" i="52"/>
  <c r="F35" i="52"/>
  <c r="E33" i="45"/>
  <c r="D33" i="45"/>
  <c r="G31" i="45"/>
  <c r="N29" i="45"/>
  <c r="M29" i="45"/>
  <c r="M28" i="45"/>
  <c r="M26" i="45"/>
  <c r="M24" i="45"/>
  <c r="D24" i="45"/>
  <c r="M22" i="45"/>
  <c r="E21" i="45"/>
  <c r="M21" i="45"/>
  <c r="K21" i="45"/>
  <c r="I36" i="42"/>
  <c r="N35" i="42"/>
  <c r="M35" i="42"/>
  <c r="H35" i="42"/>
  <c r="M34" i="42"/>
  <c r="L34" i="42"/>
  <c r="F34" i="42"/>
  <c r="J33" i="42"/>
  <c r="D33" i="42"/>
  <c r="D32" i="42"/>
  <c r="L31" i="42"/>
  <c r="H31" i="42"/>
  <c r="D31" i="42"/>
  <c r="N30" i="42"/>
  <c r="M30" i="42"/>
  <c r="J30" i="42"/>
  <c r="I30" i="42"/>
  <c r="H30" i="42"/>
  <c r="D30" i="42"/>
  <c r="N29" i="42"/>
  <c r="M29" i="42"/>
  <c r="F29" i="42"/>
  <c r="M28" i="42"/>
  <c r="G28" i="42"/>
  <c r="L27" i="42"/>
  <c r="F27" i="42"/>
  <c r="J26" i="42"/>
  <c r="I26" i="42"/>
  <c r="E26" i="42"/>
  <c r="I25" i="42"/>
  <c r="F25" i="42"/>
  <c r="M24" i="42"/>
  <c r="H24" i="42"/>
  <c r="G23" i="42"/>
  <c r="F23" i="42"/>
  <c r="D23" i="42"/>
  <c r="G22" i="42"/>
  <c r="F22" i="42"/>
  <c r="N21" i="42"/>
  <c r="L21" i="42"/>
  <c r="H21" i="42"/>
  <c r="F21" i="42"/>
  <c r="E21" i="42"/>
  <c r="L20" i="42"/>
  <c r="K20" i="42"/>
  <c r="E20" i="42"/>
  <c r="I19" i="42"/>
  <c r="G19" i="42"/>
  <c r="D19" i="42"/>
  <c r="M17" i="42"/>
  <c r="L17" i="42"/>
  <c r="L16" i="42"/>
  <c r="E16" i="42"/>
  <c r="M15" i="42"/>
  <c r="L15" i="42"/>
  <c r="K15" i="42"/>
  <c r="H15" i="42"/>
  <c r="J14" i="42"/>
  <c r="G14" i="42"/>
  <c r="E14" i="42"/>
  <c r="J13" i="42"/>
  <c r="I13" i="42"/>
  <c r="K12" i="42"/>
  <c r="H12" i="42"/>
  <c r="M11" i="42"/>
  <c r="H11" i="42"/>
  <c r="F11" i="42"/>
  <c r="G10" i="42"/>
  <c r="B28" i="40"/>
  <c r="C22" i="42"/>
  <c r="B10" i="40"/>
  <c r="B18" i="38"/>
  <c r="B15" i="38"/>
  <c r="B11" i="38"/>
  <c r="B10" i="38"/>
  <c r="N36" i="39"/>
  <c r="K36" i="39"/>
  <c r="H36" i="39"/>
  <c r="M35" i="39"/>
  <c r="K35" i="39"/>
  <c r="J35" i="39"/>
  <c r="H35" i="39"/>
  <c r="G35" i="39"/>
  <c r="N34" i="39"/>
  <c r="H34" i="39"/>
  <c r="H33" i="39"/>
  <c r="G32" i="39"/>
  <c r="H29" i="39"/>
  <c r="I28" i="39"/>
  <c r="L26" i="39"/>
  <c r="L25" i="39"/>
  <c r="M24" i="39"/>
  <c r="L24" i="39"/>
  <c r="L23" i="39"/>
  <c r="F23" i="39"/>
  <c r="L22" i="39"/>
  <c r="F21" i="39"/>
  <c r="L20" i="39"/>
  <c r="K20" i="39"/>
  <c r="H20" i="39"/>
  <c r="F20" i="39"/>
  <c r="F19" i="39"/>
  <c r="K18" i="39"/>
  <c r="H18" i="39"/>
  <c r="G18" i="39"/>
  <c r="L17" i="39"/>
  <c r="G17" i="39"/>
  <c r="C17" i="39"/>
  <c r="M16" i="39"/>
  <c r="I16" i="39"/>
  <c r="G16" i="39"/>
  <c r="E16" i="39"/>
  <c r="C15" i="39"/>
  <c r="C14" i="39"/>
  <c r="K13" i="39"/>
  <c r="C13" i="39"/>
  <c r="I12" i="39"/>
  <c r="C12" i="39"/>
  <c r="L11" i="39"/>
  <c r="I11" i="39"/>
  <c r="C11" i="39"/>
  <c r="L10" i="39"/>
  <c r="I9" i="39"/>
  <c r="F9" i="39"/>
  <c r="E9" i="39"/>
  <c r="C9" i="39"/>
  <c r="B15" i="35"/>
  <c r="L33" i="36"/>
  <c r="N32" i="36"/>
  <c r="M32" i="36"/>
  <c r="G32" i="36"/>
  <c r="E32" i="36"/>
  <c r="M31" i="36"/>
  <c r="H31" i="36"/>
  <c r="G31" i="36"/>
  <c r="E30" i="36"/>
  <c r="M29" i="36"/>
  <c r="H29" i="36"/>
  <c r="F29" i="36"/>
  <c r="E29" i="36"/>
  <c r="L27" i="36"/>
  <c r="K27" i="36"/>
  <c r="E27" i="36"/>
  <c r="N26" i="36"/>
  <c r="L26" i="36"/>
  <c r="I26" i="36"/>
  <c r="D26" i="36"/>
  <c r="J25" i="36"/>
  <c r="M24" i="36"/>
  <c r="L24" i="36"/>
  <c r="H24" i="36"/>
  <c r="F24" i="36"/>
  <c r="L23" i="36"/>
  <c r="D23" i="36"/>
  <c r="I22" i="36"/>
  <c r="H22" i="36"/>
  <c r="G22" i="36"/>
  <c r="M19" i="36"/>
  <c r="D32" i="33"/>
  <c r="L26" i="33"/>
  <c r="L23" i="33"/>
  <c r="D22" i="33"/>
  <c r="B21" i="32"/>
  <c r="H19" i="33"/>
  <c r="D18" i="33"/>
  <c r="L8" i="32"/>
  <c r="H8" i="32"/>
  <c r="L33" i="33"/>
  <c r="F32" i="33"/>
  <c r="J31" i="33"/>
  <c r="E31" i="33"/>
  <c r="K30" i="33"/>
  <c r="F30" i="33"/>
  <c r="D30" i="33"/>
  <c r="C30" i="33"/>
  <c r="L29" i="33"/>
  <c r="J29" i="33"/>
  <c r="K28" i="33"/>
  <c r="J28" i="33"/>
  <c r="D28" i="33"/>
  <c r="K27" i="33"/>
  <c r="J27" i="33"/>
  <c r="E27" i="33"/>
  <c r="K26" i="33"/>
  <c r="J26" i="33"/>
  <c r="L25" i="33"/>
  <c r="J25" i="33"/>
  <c r="F25" i="33"/>
  <c r="E25" i="33"/>
  <c r="D25" i="33"/>
  <c r="L24" i="33"/>
  <c r="K24" i="33"/>
  <c r="J24" i="33"/>
  <c r="D23" i="33"/>
  <c r="F22" i="33"/>
  <c r="E22" i="33"/>
  <c r="F21" i="33"/>
  <c r="E21" i="33"/>
  <c r="L19" i="33"/>
  <c r="K19" i="33"/>
  <c r="E19" i="33"/>
  <c r="D19" i="33"/>
  <c r="L18" i="33"/>
  <c r="L12" i="33"/>
  <c r="K12" i="33"/>
  <c r="J12" i="33"/>
  <c r="F12" i="33"/>
  <c r="H32" i="30"/>
  <c r="B32" i="29"/>
  <c r="L31" i="30"/>
  <c r="H31" i="30"/>
  <c r="H30" i="30"/>
  <c r="H29" i="30"/>
  <c r="L28" i="30"/>
  <c r="H28" i="30"/>
  <c r="D28" i="30"/>
  <c r="H24" i="30"/>
  <c r="H22" i="30"/>
  <c r="L21" i="30"/>
  <c r="H21" i="30"/>
  <c r="H18" i="30"/>
  <c r="L17" i="30"/>
  <c r="H17" i="30"/>
  <c r="H14" i="30"/>
  <c r="H11" i="30"/>
  <c r="H10" i="30"/>
  <c r="H8" i="29"/>
  <c r="E8" i="29"/>
  <c r="D32" i="30"/>
  <c r="N31" i="30"/>
  <c r="D31" i="30"/>
  <c r="N30" i="30"/>
  <c r="J30" i="30"/>
  <c r="F30" i="30"/>
  <c r="J29" i="30"/>
  <c r="N28" i="30"/>
  <c r="J27" i="30"/>
  <c r="H27" i="30"/>
  <c r="C26" i="30"/>
  <c r="I25" i="30"/>
  <c r="H25" i="30"/>
  <c r="C25" i="30"/>
  <c r="E24" i="30"/>
  <c r="K23" i="30"/>
  <c r="G21" i="30"/>
  <c r="H20" i="30"/>
  <c r="M19" i="30"/>
  <c r="K19" i="30"/>
  <c r="J19" i="30"/>
  <c r="I19" i="30"/>
  <c r="E19" i="30"/>
  <c r="M18" i="30"/>
  <c r="K18" i="30"/>
  <c r="G17" i="30"/>
  <c r="C17" i="30"/>
  <c r="I16" i="30"/>
  <c r="E16" i="30"/>
  <c r="C16" i="30"/>
  <c r="I15" i="30"/>
  <c r="E15" i="30"/>
  <c r="N14" i="30"/>
  <c r="C14" i="30"/>
  <c r="I13" i="30"/>
  <c r="I12" i="30"/>
  <c r="E12" i="30"/>
  <c r="K11" i="30"/>
  <c r="G11" i="30"/>
  <c r="G10" i="30"/>
  <c r="D10" i="30"/>
  <c r="K8" i="28"/>
  <c r="J9" i="30"/>
  <c r="E8" i="28"/>
  <c r="D35" i="27"/>
  <c r="H30" i="27"/>
  <c r="L28" i="27"/>
  <c r="H28" i="27"/>
  <c r="H26" i="27"/>
  <c r="H24" i="27"/>
  <c r="D23" i="27"/>
  <c r="H22" i="27"/>
  <c r="L20" i="27"/>
  <c r="H20" i="27"/>
  <c r="L17" i="27"/>
  <c r="H17" i="27"/>
  <c r="L13" i="27"/>
  <c r="D12" i="27"/>
  <c r="H11" i="27"/>
  <c r="K8" i="26"/>
  <c r="E8" i="26"/>
  <c r="D8" i="26"/>
  <c r="L37" i="27"/>
  <c r="K37" i="27"/>
  <c r="I37" i="27"/>
  <c r="F37" i="27"/>
  <c r="E37" i="27"/>
  <c r="L36" i="27"/>
  <c r="E36" i="27"/>
  <c r="D36" i="27"/>
  <c r="L34" i="27"/>
  <c r="I34" i="27"/>
  <c r="F34" i="27"/>
  <c r="L33" i="27"/>
  <c r="I33" i="27"/>
  <c r="B33" i="25"/>
  <c r="F32" i="27"/>
  <c r="B32" i="25"/>
  <c r="L31" i="27"/>
  <c r="E31" i="27"/>
  <c r="N30" i="27"/>
  <c r="F30" i="27"/>
  <c r="H29" i="27"/>
  <c r="F29" i="27"/>
  <c r="K28" i="27"/>
  <c r="I28" i="27"/>
  <c r="C28" i="27"/>
  <c r="L27" i="27"/>
  <c r="I27" i="27"/>
  <c r="F27" i="27"/>
  <c r="F26" i="27"/>
  <c r="B26" i="25"/>
  <c r="L25" i="27"/>
  <c r="F25" i="27"/>
  <c r="L23" i="27"/>
  <c r="I23" i="27"/>
  <c r="L22" i="27"/>
  <c r="F22" i="27"/>
  <c r="C22" i="27"/>
  <c r="I21" i="27"/>
  <c r="I20" i="27"/>
  <c r="C20" i="27"/>
  <c r="K19" i="27"/>
  <c r="L18" i="27"/>
  <c r="F18" i="27"/>
  <c r="F17" i="27"/>
  <c r="E17" i="27"/>
  <c r="B17" i="25"/>
  <c r="L16" i="27"/>
  <c r="F16" i="27"/>
  <c r="H15" i="27"/>
  <c r="F15" i="27"/>
  <c r="C15" i="27"/>
  <c r="N14" i="27"/>
  <c r="J13" i="27"/>
  <c r="N12" i="27"/>
  <c r="L12" i="27"/>
  <c r="F12" i="27"/>
  <c r="H10" i="27"/>
  <c r="F10" i="27"/>
  <c r="K8" i="25"/>
  <c r="J8" i="25"/>
  <c r="D9" i="27"/>
  <c r="C9" i="27"/>
  <c r="L37" i="24"/>
  <c r="D37" i="24"/>
  <c r="D36" i="24"/>
  <c r="H33" i="24"/>
  <c r="H31" i="24"/>
  <c r="H30" i="24"/>
  <c r="H27" i="24"/>
  <c r="L25" i="24"/>
  <c r="H24" i="24"/>
  <c r="H23" i="24"/>
  <c r="B19" i="23"/>
  <c r="H18" i="24"/>
  <c r="H17" i="24"/>
  <c r="H14" i="24"/>
  <c r="H13" i="24"/>
  <c r="B13" i="23"/>
  <c r="L12" i="24"/>
  <c r="H11" i="24"/>
  <c r="K8" i="23"/>
  <c r="J8" i="23"/>
  <c r="F8" i="23"/>
  <c r="D8" i="23"/>
  <c r="H37" i="24"/>
  <c r="N36" i="24"/>
  <c r="K36" i="24"/>
  <c r="L35" i="24"/>
  <c r="F35" i="24"/>
  <c r="D35" i="24"/>
  <c r="L34" i="24"/>
  <c r="H34" i="24"/>
  <c r="D34" i="24"/>
  <c r="N33" i="24"/>
  <c r="J33" i="24"/>
  <c r="E33" i="24"/>
  <c r="L32" i="24"/>
  <c r="J32" i="24"/>
  <c r="F32" i="24"/>
  <c r="D32" i="24"/>
  <c r="K31" i="24"/>
  <c r="J31" i="24"/>
  <c r="D31" i="24"/>
  <c r="L30" i="24"/>
  <c r="K30" i="24"/>
  <c r="J30" i="24"/>
  <c r="D30" i="24"/>
  <c r="D29" i="24"/>
  <c r="N28" i="24"/>
  <c r="F28" i="24"/>
  <c r="K27" i="24"/>
  <c r="J27" i="24"/>
  <c r="E27" i="24"/>
  <c r="L26" i="24"/>
  <c r="H26" i="24"/>
  <c r="N25" i="24"/>
  <c r="K25" i="24"/>
  <c r="E25" i="24"/>
  <c r="D24" i="24"/>
  <c r="L23" i="24"/>
  <c r="J23" i="24"/>
  <c r="E23" i="24"/>
  <c r="L22" i="24"/>
  <c r="F22" i="24"/>
  <c r="D22" i="24"/>
  <c r="L21" i="24"/>
  <c r="J21" i="24"/>
  <c r="E21" i="24"/>
  <c r="D21" i="24"/>
  <c r="K20" i="24"/>
  <c r="D20" i="24"/>
  <c r="J19" i="24"/>
  <c r="H19" i="24"/>
  <c r="F19" i="24"/>
  <c r="K18" i="24"/>
  <c r="E18" i="24"/>
  <c r="N17" i="24"/>
  <c r="L17" i="24"/>
  <c r="J17" i="24"/>
  <c r="F17" i="24"/>
  <c r="E17" i="24"/>
  <c r="D17" i="24"/>
  <c r="N16" i="24"/>
  <c r="L16" i="24"/>
  <c r="K16" i="24"/>
  <c r="H16" i="24"/>
  <c r="E16" i="24"/>
  <c r="D16" i="24"/>
  <c r="N15" i="24"/>
  <c r="L15" i="24"/>
  <c r="K15" i="24"/>
  <c r="E15" i="24"/>
  <c r="D15" i="24"/>
  <c r="K14" i="24"/>
  <c r="F14" i="24"/>
  <c r="J12" i="24"/>
  <c r="H12" i="24"/>
  <c r="E12" i="24"/>
  <c r="B12" i="22"/>
  <c r="N11" i="24"/>
  <c r="N10" i="24"/>
  <c r="J10" i="24"/>
  <c r="K9" i="24"/>
  <c r="J9" i="24"/>
  <c r="G9" i="24"/>
  <c r="E8" i="22"/>
  <c r="D9" i="24"/>
  <c r="F35" i="21"/>
  <c r="H34" i="21"/>
  <c r="N33" i="21"/>
  <c r="H33" i="21"/>
  <c r="H28" i="21"/>
  <c r="L26" i="21"/>
  <c r="H26" i="21"/>
  <c r="N20" i="21"/>
  <c r="K8" i="20"/>
  <c r="F8" i="20"/>
  <c r="K37" i="21"/>
  <c r="J37" i="21"/>
  <c r="H37" i="21"/>
  <c r="E37" i="21"/>
  <c r="D37" i="21"/>
  <c r="N36" i="21"/>
  <c r="K36" i="21"/>
  <c r="J36" i="21"/>
  <c r="H35" i="21"/>
  <c r="J34" i="21"/>
  <c r="F33" i="21"/>
  <c r="N32" i="21"/>
  <c r="H31" i="21"/>
  <c r="G30" i="21"/>
  <c r="M29" i="21"/>
  <c r="G29" i="21"/>
  <c r="C29" i="21"/>
  <c r="N28" i="21"/>
  <c r="M28" i="21"/>
  <c r="C27" i="21"/>
  <c r="M26" i="21"/>
  <c r="I25" i="21"/>
  <c r="H25" i="21"/>
  <c r="C25" i="21"/>
  <c r="I24" i="21"/>
  <c r="G23" i="21"/>
  <c r="M22" i="21"/>
  <c r="I22" i="21"/>
  <c r="H22" i="21"/>
  <c r="G22" i="21"/>
  <c r="C22" i="21"/>
  <c r="G21" i="21"/>
  <c r="C21" i="21"/>
  <c r="M20" i="21"/>
  <c r="I20" i="21"/>
  <c r="G20" i="21"/>
  <c r="C20" i="21"/>
  <c r="M19" i="21"/>
  <c r="G19" i="21"/>
  <c r="M18" i="21"/>
  <c r="H18" i="21"/>
  <c r="G18" i="21"/>
  <c r="H17" i="21"/>
  <c r="N16" i="21"/>
  <c r="M15" i="21"/>
  <c r="N14" i="21"/>
  <c r="I14" i="21"/>
  <c r="G14" i="21"/>
  <c r="I13" i="21"/>
  <c r="C13" i="21"/>
  <c r="G12" i="21"/>
  <c r="M11" i="21"/>
  <c r="G11" i="21"/>
  <c r="C11" i="21"/>
  <c r="N10" i="21"/>
  <c r="M10" i="21"/>
  <c r="G10" i="21"/>
  <c r="M9" i="21"/>
  <c r="K8" i="19"/>
  <c r="H8" i="19"/>
  <c r="D37" i="18"/>
  <c r="J35" i="18"/>
  <c r="H34" i="18"/>
  <c r="D34" i="18"/>
  <c r="H33" i="18"/>
  <c r="D30" i="18"/>
  <c r="J29" i="18"/>
  <c r="I29" i="18"/>
  <c r="K26" i="18"/>
  <c r="K24" i="18"/>
  <c r="E24" i="18"/>
  <c r="E23" i="18"/>
  <c r="K21" i="18"/>
  <c r="E21" i="18"/>
  <c r="E17" i="18"/>
  <c r="C17" i="18"/>
  <c r="C16" i="18"/>
  <c r="C14" i="18"/>
  <c r="D13" i="18"/>
  <c r="M11" i="18"/>
  <c r="K11" i="18"/>
  <c r="I8" i="17"/>
  <c r="G37" i="18"/>
  <c r="G36" i="18"/>
  <c r="M30" i="18"/>
  <c r="I30" i="18"/>
  <c r="D26" i="18"/>
  <c r="D24" i="18"/>
  <c r="N19" i="18"/>
  <c r="D17" i="18"/>
  <c r="J14" i="18"/>
  <c r="J12" i="18"/>
  <c r="H10" i="18"/>
  <c r="D10" i="18"/>
  <c r="D8" i="16"/>
  <c r="C29" i="15"/>
  <c r="C27" i="15"/>
  <c r="C25" i="15"/>
  <c r="C23" i="15"/>
  <c r="C21" i="15"/>
  <c r="C13" i="15"/>
  <c r="C12" i="15"/>
  <c r="V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V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V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V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V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I8" i="7"/>
  <c r="H8" i="7"/>
  <c r="G8" i="7"/>
  <c r="F8" i="7"/>
  <c r="E8" i="7"/>
  <c r="D8" i="7"/>
  <c r="C8" i="7"/>
  <c r="Q38" i="5"/>
  <c r="K38" i="5"/>
  <c r="I11" i="5"/>
  <c r="I38" i="5" s="1"/>
  <c r="H11" i="5"/>
  <c r="H38" i="5" s="1"/>
  <c r="G11" i="5"/>
  <c r="G38" i="5" s="1"/>
  <c r="F11" i="5"/>
  <c r="F38" i="5" s="1"/>
  <c r="E11" i="5"/>
  <c r="E38" i="5" s="1"/>
  <c r="D11" i="5"/>
  <c r="D38" i="5" s="1"/>
  <c r="C11" i="5"/>
  <c r="C38" i="5" s="1"/>
  <c r="H16" i="111"/>
  <c r="D8" i="53"/>
  <c r="D28" i="45"/>
  <c r="B19" i="111"/>
  <c r="F21" i="45"/>
  <c r="K26" i="45"/>
  <c r="E31" i="45"/>
  <c r="N21" i="45"/>
  <c r="F24" i="45"/>
  <c r="E25" i="45"/>
  <c r="F19" i="45"/>
  <c r="F29" i="45"/>
  <c r="C28" i="45"/>
  <c r="F31" i="45"/>
  <c r="C30" i="45"/>
  <c r="C21" i="45"/>
  <c r="F28" i="45"/>
  <c r="G21" i="45"/>
  <c r="D25" i="45"/>
  <c r="N23" i="45"/>
  <c r="G19" i="45"/>
  <c r="L23" i="45"/>
  <c r="C25" i="45"/>
  <c r="N28" i="45"/>
  <c r="N33" i="45"/>
  <c r="M23" i="45"/>
  <c r="M33" i="45"/>
  <c r="H19" i="45"/>
  <c r="H21" i="45"/>
  <c r="C32" i="45"/>
  <c r="N22" i="45"/>
  <c r="L26" i="45"/>
  <c r="N30" i="45"/>
  <c r="D29" i="45"/>
  <c r="C31" i="45"/>
  <c r="I19" i="45"/>
  <c r="L22" i="45"/>
  <c r="G28" i="45"/>
  <c r="E30" i="45"/>
  <c r="D21" i="45"/>
  <c r="M30" i="45"/>
  <c r="M27" i="45"/>
  <c r="H24" i="45"/>
  <c r="C33" i="45"/>
  <c r="D31" i="45"/>
  <c r="D30" i="45"/>
  <c r="N32" i="45"/>
  <c r="E29" i="45"/>
  <c r="N26" i="45"/>
  <c r="D32" i="45"/>
  <c r="N25" i="45"/>
  <c r="C26" i="45"/>
  <c r="M32" i="45"/>
  <c r="F30" i="45"/>
  <c r="G24" i="45"/>
  <c r="J21" i="45"/>
  <c r="L21" i="45"/>
  <c r="E32" i="45"/>
  <c r="I21" i="45"/>
  <c r="E24" i="45"/>
  <c r="E28" i="45"/>
  <c r="L24" i="45"/>
  <c r="BZ6" i="56"/>
  <c r="BT27" i="56"/>
  <c r="E12" i="42"/>
  <c r="I13" i="18"/>
  <c r="J13" i="18"/>
  <c r="F13" i="18"/>
  <c r="G20" i="42"/>
  <c r="E32" i="42"/>
  <c r="G18" i="42"/>
  <c r="N18" i="39"/>
  <c r="C34" i="39"/>
  <c r="M26" i="36"/>
  <c r="N13" i="42"/>
  <c r="I14" i="42"/>
  <c r="I26" i="30"/>
  <c r="M22" i="36"/>
  <c r="J35" i="42"/>
  <c r="I12" i="42"/>
  <c r="D10" i="42"/>
  <c r="C36" i="42"/>
  <c r="C12" i="42"/>
  <c r="N21" i="30"/>
  <c r="F18" i="39"/>
  <c r="N37" i="39"/>
  <c r="F13" i="42"/>
  <c r="C34" i="42"/>
  <c r="C10" i="27"/>
  <c r="G23" i="39"/>
  <c r="H17" i="42"/>
  <c r="M12" i="30"/>
  <c r="I19" i="39"/>
  <c r="C18" i="42"/>
  <c r="D15" i="42"/>
  <c r="H10" i="42"/>
  <c r="F17" i="42"/>
  <c r="N17" i="30"/>
  <c r="E33" i="33"/>
  <c r="H29" i="42"/>
  <c r="H37" i="42"/>
  <c r="C27" i="30"/>
  <c r="G33" i="36"/>
  <c r="N32" i="42"/>
  <c r="N9" i="42"/>
  <c r="K21" i="42"/>
  <c r="I18" i="42"/>
  <c r="E9" i="42"/>
  <c r="M9" i="42"/>
  <c r="J18" i="42"/>
  <c r="E19" i="42"/>
  <c r="N29" i="24"/>
  <c r="G33" i="39"/>
  <c r="M30" i="30"/>
  <c r="D21" i="42"/>
  <c r="H9" i="42"/>
  <c r="G26" i="39"/>
  <c r="E18" i="42"/>
  <c r="G28" i="30"/>
  <c r="N27" i="36"/>
  <c r="K14" i="42"/>
  <c r="N29" i="30"/>
  <c r="N9" i="39"/>
  <c r="L30" i="36"/>
  <c r="C15" i="30"/>
  <c r="M25" i="30"/>
  <c r="I29" i="42"/>
  <c r="J31" i="42"/>
  <c r="C30" i="39"/>
  <c r="J16" i="42"/>
  <c r="I27" i="33"/>
  <c r="G36" i="42"/>
  <c r="C20" i="30"/>
  <c r="C23" i="42"/>
  <c r="K13" i="42"/>
  <c r="C27" i="27"/>
  <c r="M23" i="39"/>
  <c r="N14" i="42"/>
  <c r="C17" i="42"/>
  <c r="J19" i="42"/>
  <c r="G29" i="27"/>
  <c r="C31" i="39"/>
  <c r="K30" i="42"/>
  <c r="H31" i="39"/>
  <c r="F32" i="42"/>
  <c r="N17" i="42"/>
  <c r="C32" i="33"/>
  <c r="F19" i="42"/>
  <c r="F12" i="42"/>
  <c r="K18" i="42"/>
  <c r="I15" i="42"/>
  <c r="G36" i="27"/>
  <c r="N33" i="42"/>
  <c r="N9" i="30"/>
  <c r="K21" i="30"/>
  <c r="F18" i="42"/>
  <c r="N18" i="42"/>
  <c r="H18" i="42"/>
  <c r="C11" i="30"/>
  <c r="E36" i="42"/>
  <c r="J10" i="42"/>
  <c r="D17" i="42"/>
  <c r="C9" i="30"/>
  <c r="I31" i="39"/>
  <c r="I35" i="27"/>
  <c r="G26" i="36"/>
  <c r="I17" i="42"/>
  <c r="B30" i="37"/>
  <c r="L36" i="42"/>
  <c r="M9" i="39"/>
  <c r="G27" i="39"/>
  <c r="J24" i="42"/>
  <c r="K28" i="42"/>
  <c r="M10" i="39"/>
  <c r="M28" i="33"/>
  <c r="F10" i="42"/>
  <c r="K19" i="42"/>
  <c r="G13" i="42"/>
  <c r="G30" i="39"/>
  <c r="H30" i="39"/>
  <c r="G31" i="30"/>
  <c r="M11" i="39"/>
  <c r="M18" i="39"/>
  <c r="C14" i="21"/>
  <c r="C21" i="27"/>
  <c r="I37" i="39"/>
  <c r="G29" i="42"/>
  <c r="C26" i="24"/>
  <c r="C24" i="39"/>
  <c r="F15" i="42"/>
  <c r="N36" i="42"/>
  <c r="E35" i="42"/>
  <c r="F14" i="39"/>
  <c r="M14" i="39"/>
  <c r="M28" i="36"/>
  <c r="B19" i="40"/>
  <c r="I15" i="39"/>
  <c r="C32" i="42"/>
  <c r="K37" i="42"/>
  <c r="L15" i="39"/>
  <c r="N16" i="39"/>
  <c r="I23" i="42"/>
  <c r="C19" i="30"/>
  <c r="C21" i="30"/>
  <c r="H28" i="42"/>
  <c r="I21" i="30"/>
  <c r="M28" i="39"/>
  <c r="M28" i="30"/>
  <c r="L9" i="39"/>
  <c r="N19" i="33"/>
  <c r="C19" i="42"/>
  <c r="I23" i="30"/>
  <c r="H22" i="39"/>
  <c r="C24" i="21"/>
  <c r="I34" i="39"/>
  <c r="M14" i="42"/>
  <c r="M22" i="42"/>
  <c r="I11" i="42"/>
  <c r="I16" i="42"/>
  <c r="M30" i="36"/>
  <c r="I35" i="39"/>
  <c r="L29" i="42"/>
  <c r="I31" i="42"/>
  <c r="M23" i="30"/>
  <c r="I25" i="39"/>
  <c r="I35" i="42"/>
  <c r="N20" i="42"/>
  <c r="H26" i="42"/>
  <c r="L20" i="24"/>
  <c r="C22" i="39"/>
  <c r="D32" i="36"/>
  <c r="G22" i="30"/>
  <c r="M12" i="42"/>
  <c r="G29" i="30"/>
  <c r="C25" i="42"/>
  <c r="F36" i="42"/>
  <c r="M34" i="24"/>
  <c r="C33" i="39"/>
  <c r="L24" i="27"/>
  <c r="G14" i="39"/>
  <c r="L32" i="36"/>
  <c r="M18" i="42"/>
  <c r="I33" i="39"/>
  <c r="G30" i="36"/>
  <c r="F29" i="39"/>
  <c r="M19" i="42"/>
  <c r="H12" i="30"/>
  <c r="G14" i="30"/>
  <c r="I30" i="39"/>
  <c r="I32" i="39"/>
  <c r="G34" i="39"/>
  <c r="C35" i="39"/>
  <c r="F36" i="39"/>
  <c r="J17" i="42"/>
  <c r="K25" i="42"/>
  <c r="E29" i="42"/>
  <c r="C24" i="27"/>
  <c r="K34" i="42"/>
  <c r="G17" i="24"/>
  <c r="C37" i="24"/>
  <c r="G26" i="33"/>
  <c r="I29" i="39"/>
  <c r="J9" i="42"/>
  <c r="H21" i="39"/>
  <c r="E23" i="42"/>
  <c r="M24" i="30"/>
  <c r="D29" i="39"/>
  <c r="C16" i="39"/>
  <c r="M20" i="39"/>
  <c r="N12" i="39"/>
  <c r="C30" i="30"/>
  <c r="K11" i="39"/>
  <c r="G12" i="39"/>
  <c r="C23" i="30"/>
  <c r="L10" i="42"/>
  <c r="N29" i="33"/>
  <c r="L13" i="39"/>
  <c r="E10" i="42"/>
  <c r="J25" i="42"/>
  <c r="M25" i="27"/>
  <c r="M26" i="33"/>
  <c r="G19" i="39"/>
  <c r="M21" i="30"/>
  <c r="I24" i="39"/>
  <c r="I27" i="39"/>
  <c r="L26" i="27"/>
  <c r="M30" i="39"/>
  <c r="M23" i="42"/>
  <c r="N24" i="33"/>
  <c r="I25" i="33"/>
  <c r="G13" i="27"/>
  <c r="J23" i="33"/>
  <c r="N32" i="30"/>
  <c r="G21" i="39"/>
  <c r="E24" i="42"/>
  <c r="F33" i="42"/>
  <c r="M10" i="42"/>
  <c r="N25" i="42"/>
  <c r="F20" i="42"/>
  <c r="D11" i="42"/>
  <c r="J22" i="39"/>
  <c r="D9" i="42"/>
  <c r="N32" i="24"/>
  <c r="C20" i="42"/>
  <c r="I36" i="27"/>
  <c r="N22" i="30"/>
  <c r="L35" i="42"/>
  <c r="I9" i="42"/>
  <c r="M29" i="39"/>
  <c r="D28" i="39"/>
  <c r="M15" i="30"/>
  <c r="B15" i="37"/>
  <c r="M25" i="39"/>
  <c r="D24" i="42"/>
  <c r="M17" i="24"/>
  <c r="F32" i="36"/>
  <c r="E15" i="42"/>
  <c r="M15" i="39"/>
  <c r="G29" i="39"/>
  <c r="I20" i="42"/>
  <c r="N24" i="42"/>
  <c r="C37" i="27"/>
  <c r="B31" i="37"/>
  <c r="I14" i="39"/>
  <c r="E21" i="39"/>
  <c r="D10" i="39"/>
  <c r="J10" i="39"/>
  <c r="F11" i="39"/>
  <c r="B12" i="38"/>
  <c r="J19" i="36"/>
  <c r="F22" i="36"/>
  <c r="L29" i="36"/>
  <c r="I22" i="42"/>
  <c r="G26" i="42"/>
  <c r="N11" i="39"/>
  <c r="M13" i="21"/>
  <c r="N11" i="27"/>
  <c r="C36" i="39"/>
  <c r="B36" i="38"/>
  <c r="I20" i="39"/>
  <c r="M21" i="39"/>
  <c r="H28" i="39"/>
  <c r="C27" i="42"/>
  <c r="I10" i="42"/>
  <c r="K32" i="42"/>
  <c r="B29" i="35"/>
  <c r="E8" i="40"/>
  <c r="H37" i="27"/>
  <c r="F25" i="36"/>
  <c r="J26" i="36"/>
  <c r="H19" i="42"/>
  <c r="H23" i="30"/>
  <c r="H13" i="42"/>
  <c r="C30" i="27"/>
  <c r="F18" i="24"/>
  <c r="C11" i="27"/>
  <c r="C34" i="27"/>
  <c r="B16" i="38"/>
  <c r="N12" i="30"/>
  <c r="D12" i="42"/>
  <c r="C11" i="42"/>
  <c r="L22" i="42"/>
  <c r="C9" i="42"/>
  <c r="J15" i="42"/>
  <c r="L19" i="42"/>
  <c r="M11" i="30"/>
  <c r="L31" i="36"/>
  <c r="M9" i="30"/>
  <c r="B29" i="37"/>
  <c r="M26" i="27"/>
  <c r="L12" i="42"/>
  <c r="C14" i="24"/>
  <c r="G23" i="27"/>
  <c r="M28" i="27"/>
  <c r="C28" i="30"/>
  <c r="F31" i="36"/>
  <c r="C24" i="42"/>
  <c r="M20" i="27"/>
  <c r="K14" i="39"/>
  <c r="L9" i="42"/>
  <c r="G17" i="27"/>
  <c r="C18" i="30"/>
  <c r="M31" i="30"/>
  <c r="N24" i="36"/>
  <c r="G25" i="39"/>
  <c r="M27" i="30"/>
  <c r="N28" i="33"/>
  <c r="M30" i="33"/>
  <c r="J14" i="39"/>
  <c r="E35" i="39"/>
  <c r="G36" i="39"/>
  <c r="B22" i="40"/>
  <c r="F16" i="42"/>
  <c r="J21" i="42"/>
  <c r="K22" i="42"/>
  <c r="K26" i="42"/>
  <c r="B11" i="40"/>
  <c r="N11" i="42"/>
  <c r="I24" i="42"/>
  <c r="G34" i="42"/>
  <c r="G18" i="30"/>
  <c r="N28" i="36"/>
  <c r="L14" i="39"/>
  <c r="J30" i="39"/>
  <c r="M32" i="39"/>
  <c r="K37" i="39"/>
  <c r="G11" i="42"/>
  <c r="N23" i="42"/>
  <c r="L25" i="42"/>
  <c r="D37" i="42"/>
  <c r="F27" i="39"/>
  <c r="B27" i="37"/>
  <c r="J25" i="30"/>
  <c r="G30" i="33"/>
  <c r="K21" i="39"/>
  <c r="G8" i="37"/>
  <c r="G24" i="42"/>
  <c r="G30" i="42"/>
  <c r="K31" i="42"/>
  <c r="E33" i="42"/>
  <c r="D8" i="35"/>
  <c r="J11" i="42"/>
  <c r="I23" i="33"/>
  <c r="C33" i="33"/>
  <c r="C8" i="28"/>
  <c r="C10" i="30"/>
  <c r="N8" i="32"/>
  <c r="N22" i="33"/>
  <c r="N28" i="39"/>
  <c r="B22" i="37"/>
  <c r="B21" i="37"/>
  <c r="H16" i="30"/>
  <c r="I31" i="27"/>
  <c r="G15" i="30"/>
  <c r="C30" i="42"/>
  <c r="I34" i="42"/>
  <c r="C22" i="24"/>
  <c r="I27" i="42"/>
  <c r="C19" i="39"/>
  <c r="E37" i="39"/>
  <c r="M28" i="24"/>
  <c r="F35" i="42"/>
  <c r="I29" i="24"/>
  <c r="B36" i="40"/>
  <c r="B34" i="41"/>
  <c r="I30" i="21"/>
  <c r="M15" i="24"/>
  <c r="C19" i="27"/>
  <c r="M32" i="27"/>
  <c r="B22" i="38"/>
  <c r="H35" i="24"/>
  <c r="B27" i="34"/>
  <c r="G37" i="39"/>
  <c r="I15" i="27"/>
  <c r="I17" i="30"/>
  <c r="N22" i="36"/>
  <c r="I25" i="36"/>
  <c r="B20" i="37"/>
  <c r="F37" i="42"/>
  <c r="M37" i="42"/>
  <c r="I24" i="27"/>
  <c r="F16" i="39"/>
  <c r="I28" i="24"/>
  <c r="M22" i="30"/>
  <c r="K15" i="39"/>
  <c r="E23" i="39"/>
  <c r="E31" i="39"/>
  <c r="M31" i="39"/>
  <c r="D29" i="27"/>
  <c r="H32" i="39"/>
  <c r="I26" i="27"/>
  <c r="C35" i="27"/>
  <c r="G25" i="36"/>
  <c r="H10" i="39"/>
  <c r="J20" i="39"/>
  <c r="K30" i="39"/>
  <c r="B24" i="40"/>
  <c r="I32" i="42"/>
  <c r="D36" i="42"/>
  <c r="B36" i="31"/>
  <c r="F19" i="36"/>
  <c r="I10" i="39"/>
  <c r="N16" i="27"/>
  <c r="M27" i="27"/>
  <c r="J23" i="36"/>
  <c r="E30" i="39"/>
  <c r="N35" i="39"/>
  <c r="DJ36" i="56"/>
  <c r="BV6" i="56"/>
  <c r="BT26" i="56"/>
  <c r="BT29" i="56"/>
  <c r="N10" i="30"/>
  <c r="G33" i="27"/>
  <c r="D29" i="42"/>
  <c r="C28" i="36"/>
  <c r="B28" i="35"/>
  <c r="M16" i="42"/>
  <c r="C28" i="42"/>
  <c r="B29" i="41"/>
  <c r="M8" i="26"/>
  <c r="C25" i="27"/>
  <c r="C23" i="21"/>
  <c r="C31" i="42"/>
  <c r="I18" i="27"/>
  <c r="I8" i="26"/>
  <c r="M24" i="27"/>
  <c r="B21" i="40"/>
  <c r="G31" i="24"/>
  <c r="I23" i="21"/>
  <c r="C13" i="42"/>
  <c r="G19" i="33"/>
  <c r="F23" i="33"/>
  <c r="C29" i="33"/>
  <c r="C14" i="42"/>
  <c r="B12" i="41"/>
  <c r="N12" i="42"/>
  <c r="F26" i="39"/>
  <c r="C29" i="42"/>
  <c r="B13" i="40"/>
  <c r="N9" i="24"/>
  <c r="N26" i="30"/>
  <c r="H26" i="33"/>
  <c r="G24" i="39"/>
  <c r="B24" i="38"/>
  <c r="C25" i="39"/>
  <c r="C37" i="21"/>
  <c r="C33" i="24"/>
  <c r="C18" i="27"/>
  <c r="I29" i="33"/>
  <c r="D27" i="39"/>
  <c r="B9" i="41"/>
  <c r="F6" i="9"/>
  <c r="N34" i="21"/>
  <c r="M37" i="21"/>
  <c r="G9" i="39"/>
  <c r="F13" i="39"/>
  <c r="G30" i="24"/>
  <c r="I31" i="21"/>
  <c r="I34" i="21"/>
  <c r="I31" i="24"/>
  <c r="B19" i="35"/>
  <c r="J32" i="42"/>
  <c r="G13" i="21"/>
  <c r="C26" i="21"/>
  <c r="I26" i="21"/>
  <c r="G33" i="42"/>
  <c r="H16" i="27"/>
  <c r="I31" i="30"/>
  <c r="M21" i="33"/>
  <c r="B14" i="35"/>
  <c r="B16" i="35"/>
  <c r="K29" i="36"/>
  <c r="C15" i="42"/>
  <c r="N21" i="24"/>
  <c r="M31" i="27"/>
  <c r="N34" i="27"/>
  <c r="F32" i="30"/>
  <c r="J26" i="39"/>
  <c r="D27" i="42"/>
  <c r="E34" i="42"/>
  <c r="C18" i="24"/>
  <c r="J8" i="35"/>
  <c r="B14" i="38"/>
  <c r="C26" i="39"/>
  <c r="K26" i="39"/>
  <c r="J32" i="36"/>
  <c r="M33" i="36"/>
  <c r="G37" i="42"/>
  <c r="H6" i="9"/>
  <c r="M15" i="27"/>
  <c r="N11" i="30"/>
  <c r="I22" i="30"/>
  <c r="I22" i="33"/>
  <c r="E23" i="33"/>
  <c r="L8" i="35"/>
  <c r="E23" i="36"/>
  <c r="K32" i="36"/>
  <c r="C35" i="42"/>
  <c r="C32" i="36"/>
  <c r="K24" i="39"/>
  <c r="I26" i="39"/>
  <c r="H33" i="42"/>
  <c r="C31" i="30"/>
  <c r="G27" i="36"/>
  <c r="D13" i="39"/>
  <c r="I22" i="27"/>
  <c r="E28" i="36"/>
  <c r="G13" i="39"/>
  <c r="C20" i="39"/>
  <c r="M33" i="42"/>
  <c r="C36" i="113"/>
  <c r="B37" i="38"/>
  <c r="H37" i="39"/>
  <c r="K23" i="42"/>
  <c r="C33" i="42"/>
  <c r="B33" i="41"/>
  <c r="G12" i="42"/>
  <c r="D19" i="39"/>
  <c r="G36" i="21"/>
  <c r="N18" i="21"/>
  <c r="E24" i="27"/>
  <c r="J31" i="39"/>
  <c r="N32" i="39"/>
  <c r="B32" i="38"/>
  <c r="F16" i="30"/>
  <c r="C21" i="39"/>
  <c r="E13" i="18"/>
  <c r="I11" i="27"/>
  <c r="G24" i="27"/>
  <c r="C28" i="39"/>
  <c r="C8" i="37"/>
  <c r="B28" i="37"/>
  <c r="F33" i="39"/>
  <c r="J34" i="39"/>
  <c r="F15" i="39"/>
  <c r="I25" i="27"/>
  <c r="G21" i="42"/>
  <c r="N27" i="39"/>
  <c r="B12" i="40"/>
  <c r="C15" i="24"/>
  <c r="C8" i="25"/>
  <c r="M19" i="24"/>
  <c r="I12" i="21"/>
  <c r="E26" i="27"/>
  <c r="F28" i="42"/>
  <c r="E31" i="42"/>
  <c r="B31" i="41"/>
  <c r="C12" i="27"/>
  <c r="C32" i="27"/>
  <c r="N25" i="30"/>
  <c r="B23" i="38"/>
  <c r="C23" i="39"/>
  <c r="N8" i="26"/>
  <c r="B17" i="38"/>
  <c r="B35" i="41"/>
  <c r="M34" i="39"/>
  <c r="C11" i="24"/>
  <c r="H21" i="24"/>
  <c r="N19" i="39"/>
  <c r="B19" i="37"/>
  <c r="N18" i="18"/>
  <c r="I26" i="24"/>
  <c r="B25" i="31"/>
  <c r="N12" i="33"/>
  <c r="D25" i="42"/>
  <c r="C19" i="33"/>
  <c r="C21" i="33"/>
  <c r="N29" i="36"/>
  <c r="J36" i="42"/>
  <c r="N26" i="24"/>
  <c r="B20" i="38"/>
  <c r="J36" i="18"/>
  <c r="C10" i="24"/>
  <c r="M21" i="27"/>
  <c r="M8" i="28"/>
  <c r="C8" i="31"/>
  <c r="B17" i="41"/>
  <c r="E17" i="42"/>
  <c r="M13" i="30"/>
  <c r="M23" i="33"/>
  <c r="J32" i="39"/>
  <c r="M8" i="40"/>
  <c r="J12" i="30"/>
  <c r="F13" i="30"/>
  <c r="M27" i="36"/>
  <c r="N23" i="24"/>
  <c r="N27" i="27"/>
  <c r="N23" i="33"/>
  <c r="E32" i="21"/>
  <c r="J13" i="24"/>
  <c r="M35" i="24"/>
  <c r="H36" i="24"/>
  <c r="N31" i="27"/>
  <c r="B16" i="32"/>
  <c r="M27" i="33"/>
  <c r="L16" i="39"/>
  <c r="K9" i="42"/>
  <c r="M31" i="42"/>
  <c r="N13" i="24"/>
  <c r="N8" i="28"/>
  <c r="B27" i="31"/>
  <c r="I31" i="36"/>
  <c r="I21" i="39"/>
  <c r="C32" i="39"/>
  <c r="N22" i="42"/>
  <c r="F28" i="33"/>
  <c r="F30" i="36"/>
  <c r="L37" i="39"/>
  <c r="B37" i="40"/>
  <c r="D34" i="42"/>
  <c r="C6" i="9"/>
  <c r="M30" i="27"/>
  <c r="K23" i="33"/>
  <c r="N27" i="33"/>
  <c r="I30" i="33"/>
  <c r="I23" i="36"/>
  <c r="N14" i="39"/>
  <c r="C8" i="40"/>
  <c r="B32" i="41"/>
  <c r="M36" i="42"/>
  <c r="I14" i="27"/>
  <c r="C22" i="33"/>
  <c r="J30" i="33"/>
  <c r="D11" i="39"/>
  <c r="J8" i="40"/>
  <c r="M27" i="42"/>
  <c r="K29" i="33"/>
  <c r="E8" i="32"/>
  <c r="H8" i="25"/>
  <c r="B25" i="26"/>
  <c r="C8" i="20"/>
  <c r="N33" i="18"/>
  <c r="M8" i="23"/>
  <c r="G19" i="24"/>
  <c r="G8" i="23"/>
  <c r="N8" i="23"/>
  <c r="N19" i="24"/>
  <c r="F13" i="27"/>
  <c r="N8" i="25"/>
  <c r="N13" i="27"/>
  <c r="B17" i="31"/>
  <c r="F8" i="31"/>
  <c r="N8" i="31"/>
  <c r="E8" i="38"/>
  <c r="J25" i="39"/>
  <c r="E26" i="39"/>
  <c r="M26" i="39"/>
  <c r="C29" i="27"/>
  <c r="B18" i="20"/>
  <c r="D8" i="38"/>
  <c r="J8" i="26"/>
  <c r="B14" i="40"/>
  <c r="C19" i="21"/>
  <c r="B37" i="41"/>
  <c r="M10" i="24"/>
  <c r="I28" i="42"/>
  <c r="H9" i="24"/>
  <c r="I8" i="28"/>
  <c r="I20" i="30"/>
  <c r="B30" i="28"/>
  <c r="G12" i="33"/>
  <c r="B12" i="32"/>
  <c r="G8" i="32"/>
  <c r="L22" i="33"/>
  <c r="B22" i="32"/>
  <c r="N25" i="33"/>
  <c r="D24" i="36"/>
  <c r="B24" i="35"/>
  <c r="H8" i="35"/>
  <c r="D25" i="36"/>
  <c r="B25" i="35"/>
  <c r="B7" i="12"/>
  <c r="I31" i="33"/>
  <c r="M17" i="30"/>
  <c r="M8" i="29"/>
  <c r="B19" i="32"/>
  <c r="C25" i="24"/>
  <c r="B9" i="31"/>
  <c r="B23" i="29"/>
  <c r="N26" i="21"/>
  <c r="I8" i="23"/>
  <c r="B16" i="41"/>
  <c r="G16" i="42"/>
  <c r="L23" i="42"/>
  <c r="B23" i="41"/>
  <c r="H36" i="42"/>
  <c r="B36" i="41"/>
  <c r="C6" i="10"/>
  <c r="E19" i="18"/>
  <c r="D8" i="32"/>
  <c r="I17" i="18"/>
  <c r="I21" i="21"/>
  <c r="C36" i="27"/>
  <c r="F8" i="25"/>
  <c r="G23" i="30"/>
  <c r="B18" i="29"/>
  <c r="I8" i="29"/>
  <c r="G24" i="33"/>
  <c r="B36" i="23"/>
  <c r="B19" i="38"/>
  <c r="I22" i="24"/>
  <c r="I18" i="30"/>
  <c r="N9" i="21"/>
  <c r="I18" i="21"/>
  <c r="M22" i="24"/>
  <c r="G37" i="27"/>
  <c r="G12" i="27"/>
  <c r="C13" i="27"/>
  <c r="C8" i="26"/>
  <c r="C17" i="27"/>
  <c r="B34" i="38"/>
  <c r="F34" i="39"/>
  <c r="G9" i="42"/>
  <c r="G8" i="41"/>
  <c r="K8" i="41"/>
  <c r="K10" i="42"/>
  <c r="G15" i="42"/>
  <c r="B15" i="41"/>
  <c r="D22" i="42"/>
  <c r="B22" i="41"/>
  <c r="F33" i="27"/>
  <c r="G30" i="27"/>
  <c r="B33" i="29"/>
  <c r="G33" i="33"/>
  <c r="G18" i="24"/>
  <c r="M19" i="33"/>
  <c r="M8" i="32"/>
  <c r="F24" i="42"/>
  <c r="B24" i="41"/>
  <c r="E28" i="42"/>
  <c r="F15" i="24"/>
  <c r="G15" i="24"/>
  <c r="C29" i="24"/>
  <c r="C34" i="24"/>
  <c r="I9" i="27"/>
  <c r="I27" i="30"/>
  <c r="B27" i="29"/>
  <c r="F9" i="42"/>
  <c r="N28" i="42"/>
  <c r="N8" i="40"/>
  <c r="H8" i="23"/>
  <c r="G6" i="10"/>
  <c r="M8" i="25"/>
  <c r="B25" i="40"/>
  <c r="B23" i="23"/>
  <c r="F8" i="41"/>
  <c r="B9" i="40"/>
  <c r="N8" i="22"/>
  <c r="C12" i="24"/>
  <c r="B30" i="41"/>
  <c r="E29" i="30"/>
  <c r="E6" i="9"/>
  <c r="G6" i="9"/>
  <c r="C36" i="21"/>
  <c r="H8" i="20"/>
  <c r="H9" i="21"/>
  <c r="J10" i="21"/>
  <c r="J8" i="20"/>
  <c r="C8" i="23"/>
  <c r="B21" i="23"/>
  <c r="I19" i="33"/>
  <c r="E8" i="35"/>
  <c r="D24" i="39"/>
  <c r="F25" i="39"/>
  <c r="L19" i="39"/>
  <c r="N20" i="39"/>
  <c r="N8" i="38"/>
  <c r="B21" i="38"/>
  <c r="B29" i="38"/>
  <c r="G8" i="38"/>
  <c r="B27" i="40"/>
  <c r="D13" i="42"/>
  <c r="D8" i="41"/>
  <c r="K27" i="18"/>
  <c r="N30" i="18"/>
  <c r="F21" i="27"/>
  <c r="H35" i="27"/>
  <c r="I24" i="30"/>
  <c r="B24" i="28"/>
  <c r="J28" i="30"/>
  <c r="C35" i="18"/>
  <c r="N27" i="24"/>
  <c r="B23" i="40"/>
  <c r="H23" i="42"/>
  <c r="D22" i="21"/>
  <c r="N18" i="24"/>
  <c r="K28" i="24"/>
  <c r="N19" i="30"/>
  <c r="C18" i="33"/>
  <c r="L22" i="36"/>
  <c r="C33" i="36"/>
  <c r="L12" i="39"/>
  <c r="D14" i="18"/>
  <c r="N31" i="18"/>
  <c r="B35" i="23"/>
  <c r="J12" i="27"/>
  <c r="B29" i="28"/>
  <c r="K29" i="30"/>
  <c r="E28" i="33"/>
  <c r="J28" i="36"/>
  <c r="H19" i="39"/>
  <c r="F8" i="38"/>
  <c r="I8" i="38"/>
  <c r="M37" i="39"/>
  <c r="B15" i="40"/>
  <c r="L33" i="42"/>
  <c r="D18" i="42"/>
  <c r="F8" i="22"/>
  <c r="I12" i="24"/>
  <c r="N24" i="24"/>
  <c r="I34" i="24"/>
  <c r="B17" i="28"/>
  <c r="K26" i="30"/>
  <c r="B9" i="32"/>
  <c r="I23" i="39"/>
  <c r="B33" i="38"/>
  <c r="E11" i="42"/>
  <c r="H15" i="24"/>
  <c r="G9" i="27"/>
  <c r="E34" i="27"/>
  <c r="J27" i="39"/>
  <c r="E22" i="42"/>
  <c r="L28" i="42"/>
  <c r="N14" i="24"/>
  <c r="C16" i="27"/>
  <c r="G14" i="24"/>
  <c r="G21" i="24"/>
  <c r="G34" i="24"/>
  <c r="H25" i="27"/>
  <c r="G31" i="27"/>
  <c r="C22" i="30"/>
  <c r="E27" i="30"/>
  <c r="I28" i="30"/>
  <c r="D29" i="30"/>
  <c r="L29" i="39"/>
  <c r="M13" i="42"/>
  <c r="K16" i="42"/>
  <c r="F8" i="28"/>
  <c r="M20" i="30"/>
  <c r="E31" i="36"/>
  <c r="D12" i="39"/>
  <c r="J27" i="42"/>
  <c r="F27" i="36"/>
  <c r="I28" i="36"/>
  <c r="G28" i="39"/>
  <c r="B17" i="40"/>
  <c r="N27" i="42"/>
  <c r="K29" i="42"/>
  <c r="I13" i="27"/>
  <c r="I17" i="27"/>
  <c r="C26" i="27"/>
  <c r="M12" i="33"/>
  <c r="K29" i="39"/>
  <c r="L24" i="42"/>
  <c r="K36" i="42"/>
  <c r="N37" i="42"/>
  <c r="J11" i="30"/>
  <c r="B26" i="40"/>
  <c r="J23" i="42"/>
  <c r="H8" i="40"/>
  <c r="E29" i="21"/>
  <c r="G16" i="30"/>
  <c r="B16" i="28"/>
  <c r="N33" i="39"/>
  <c r="B33" i="37"/>
  <c r="B27" i="41"/>
  <c r="F10" i="39"/>
  <c r="B24" i="37"/>
  <c r="C26" i="42"/>
  <c r="J8" i="17"/>
  <c r="B11" i="37"/>
  <c r="B21" i="31"/>
  <c r="B6" i="10"/>
  <c r="F30" i="18"/>
  <c r="C17" i="24"/>
  <c r="I10" i="27"/>
  <c r="B10" i="26"/>
  <c r="G17" i="42"/>
  <c r="G8" i="40"/>
  <c r="L8" i="40"/>
  <c r="B18" i="40"/>
  <c r="F8" i="40"/>
  <c r="C8" i="41"/>
  <c r="B25" i="38"/>
  <c r="D6" i="9"/>
  <c r="N8" i="37"/>
  <c r="B21" i="41"/>
  <c r="F19" i="27"/>
  <c r="B32" i="40"/>
  <c r="B19" i="34"/>
  <c r="B30" i="40"/>
  <c r="I36" i="39"/>
  <c r="C32" i="24"/>
  <c r="D18" i="27"/>
  <c r="B18" i="25"/>
  <c r="F9" i="27"/>
  <c r="F8" i="26"/>
  <c r="N9" i="27"/>
  <c r="L8" i="26"/>
  <c r="B19" i="26"/>
  <c r="F8" i="35"/>
  <c r="N8" i="35"/>
  <c r="L8" i="37"/>
  <c r="D37" i="39"/>
  <c r="B37" i="37"/>
  <c r="H8" i="38"/>
  <c r="B9" i="38"/>
  <c r="H9" i="39"/>
  <c r="M17" i="39"/>
  <c r="M8" i="38"/>
  <c r="I18" i="39"/>
  <c r="G31" i="39"/>
  <c r="B31" i="38"/>
  <c r="E8" i="41"/>
  <c r="L11" i="42"/>
  <c r="B11" i="41"/>
  <c r="B12" i="34"/>
  <c r="D8" i="34"/>
  <c r="I13" i="39"/>
  <c r="B13" i="37"/>
  <c r="J8" i="29"/>
  <c r="K8" i="31"/>
  <c r="K22" i="33"/>
  <c r="H28" i="33"/>
  <c r="B28" i="32"/>
  <c r="B30" i="32"/>
  <c r="B29" i="34"/>
  <c r="C29" i="36"/>
  <c r="C18" i="39"/>
  <c r="C8" i="38"/>
  <c r="E6" i="13"/>
  <c r="I8" i="34"/>
  <c r="B9" i="35"/>
  <c r="C8" i="32"/>
  <c r="C12" i="21"/>
  <c r="C8" i="19"/>
  <c r="G37" i="21"/>
  <c r="B13" i="31"/>
  <c r="K8" i="29"/>
  <c r="I8" i="20"/>
  <c r="B13" i="41"/>
  <c r="B15" i="22"/>
  <c r="B12" i="26"/>
  <c r="G8" i="31"/>
  <c r="K8" i="38"/>
  <c r="B34" i="40"/>
  <c r="B22" i="26"/>
  <c r="F26" i="36"/>
  <c r="J22" i="36"/>
  <c r="C8" i="34"/>
  <c r="C25" i="36"/>
  <c r="H8" i="41"/>
  <c r="H25" i="42"/>
  <c r="B25" i="41"/>
  <c r="B12" i="37"/>
  <c r="J9" i="39"/>
  <c r="B9" i="37"/>
  <c r="M12" i="39"/>
  <c r="B20" i="41"/>
  <c r="J8" i="41"/>
  <c r="J20" i="42"/>
  <c r="H8" i="37"/>
  <c r="J8" i="38"/>
  <c r="L8" i="41"/>
  <c r="B28" i="34"/>
  <c r="D23" i="21"/>
  <c r="C24" i="30"/>
  <c r="B24" i="29"/>
  <c r="C8" i="29"/>
  <c r="B10" i="34"/>
  <c r="I8" i="37"/>
  <c r="F8" i="37"/>
  <c r="D6" i="10"/>
  <c r="G8" i="19"/>
  <c r="B26" i="38"/>
  <c r="B25" i="37"/>
  <c r="B35" i="37"/>
  <c r="F8" i="19"/>
  <c r="F10" i="21"/>
  <c r="L20" i="21"/>
  <c r="M24" i="21"/>
  <c r="C33" i="27"/>
  <c r="B33" i="26"/>
  <c r="E10" i="30"/>
  <c r="B10" i="28"/>
  <c r="L12" i="30"/>
  <c r="L8" i="28"/>
  <c r="H13" i="30"/>
  <c r="B13" i="28"/>
  <c r="H8" i="28"/>
  <c r="F8" i="32"/>
  <c r="F33" i="33"/>
  <c r="I8" i="40"/>
  <c r="B33" i="40"/>
  <c r="B6" i="13"/>
  <c r="G19" i="36"/>
  <c r="B33" i="34"/>
  <c r="B30" i="38"/>
  <c r="L18" i="42"/>
  <c r="B18" i="41"/>
  <c r="N8" i="41"/>
  <c r="B19" i="41"/>
  <c r="M21" i="42"/>
  <c r="M8" i="41"/>
  <c r="C27" i="39"/>
  <c r="L8" i="38"/>
  <c r="N19" i="42"/>
  <c r="J12" i="21"/>
  <c r="J8" i="19"/>
  <c r="F13" i="24"/>
  <c r="B18" i="31"/>
  <c r="B21" i="25"/>
  <c r="G8" i="26"/>
  <c r="B33" i="35"/>
  <c r="I19" i="24"/>
  <c r="B24" i="31"/>
  <c r="B32" i="32"/>
  <c r="B23" i="31"/>
  <c r="B29" i="32"/>
  <c r="N8" i="20"/>
  <c r="B31" i="40"/>
  <c r="B14" i="28"/>
  <c r="E30" i="33"/>
  <c r="C25" i="18"/>
  <c r="G15" i="21"/>
  <c r="G24" i="21"/>
  <c r="F14" i="27"/>
  <c r="B14" i="26"/>
  <c r="K30" i="27"/>
  <c r="F29" i="18"/>
  <c r="C28" i="21"/>
  <c r="J28" i="21"/>
  <c r="N22" i="24"/>
  <c r="E20" i="30"/>
  <c r="B20" i="29"/>
  <c r="J8" i="32"/>
  <c r="B17" i="37"/>
  <c r="H17" i="39"/>
  <c r="F6" i="13"/>
  <c r="D6" i="13"/>
  <c r="F15" i="21"/>
  <c r="N17" i="21"/>
  <c r="L15" i="27"/>
  <c r="B15" i="25"/>
  <c r="G32" i="30"/>
  <c r="B14" i="29"/>
  <c r="I14" i="30"/>
  <c r="L8" i="29"/>
  <c r="E18" i="33"/>
  <c r="B18" i="32"/>
  <c r="C31" i="18"/>
  <c r="L30" i="18"/>
  <c r="G31" i="18"/>
  <c r="D9" i="21"/>
  <c r="B30" i="22"/>
  <c r="F30" i="24"/>
  <c r="L13" i="24"/>
  <c r="L8" i="23"/>
  <c r="L18" i="24"/>
  <c r="B25" i="23"/>
  <c r="C27" i="24"/>
  <c r="B27" i="23"/>
  <c r="G13" i="30"/>
  <c r="K18" i="18"/>
  <c r="K20" i="18"/>
  <c r="L14" i="21"/>
  <c r="D18" i="21"/>
  <c r="I17" i="24"/>
  <c r="E8" i="23"/>
  <c r="B21" i="28"/>
  <c r="E21" i="30"/>
  <c r="D20" i="42"/>
  <c r="B20" i="40"/>
  <c r="N8" i="17"/>
  <c r="J11" i="18"/>
  <c r="H23" i="18"/>
  <c r="N25" i="18"/>
  <c r="D33" i="18"/>
  <c r="I8" i="19"/>
  <c r="N25" i="21"/>
  <c r="L29" i="21"/>
  <c r="G13" i="24"/>
  <c r="L8" i="25"/>
  <c r="B14" i="25"/>
  <c r="C14" i="27"/>
  <c r="H8" i="26"/>
  <c r="H9" i="27"/>
  <c r="B29" i="29"/>
  <c r="D31" i="33"/>
  <c r="B31" i="32"/>
  <c r="H33" i="36"/>
  <c r="F7" i="12"/>
  <c r="N27" i="18"/>
  <c r="M29" i="18"/>
  <c r="L8" i="19"/>
  <c r="L9" i="21"/>
  <c r="I11" i="21"/>
  <c r="I8" i="32"/>
  <c r="H14" i="39"/>
  <c r="I33" i="42"/>
  <c r="E11" i="18"/>
  <c r="I14" i="18"/>
  <c r="I25" i="18"/>
  <c r="J30" i="18"/>
  <c r="H14" i="21"/>
  <c r="C16" i="21"/>
  <c r="L17" i="21"/>
  <c r="I19" i="21"/>
  <c r="M21" i="21"/>
  <c r="H24" i="21"/>
  <c r="N24" i="21"/>
  <c r="L35" i="21"/>
  <c r="N19" i="36"/>
  <c r="M13" i="39"/>
  <c r="E24" i="39"/>
  <c r="D14" i="42"/>
  <c r="B14" i="41"/>
  <c r="C19" i="18"/>
  <c r="E26" i="18"/>
  <c r="N8" i="19"/>
  <c r="B24" i="20"/>
  <c r="J11" i="24"/>
  <c r="E24" i="24"/>
  <c r="B11" i="25"/>
  <c r="M12" i="27"/>
  <c r="N27" i="30"/>
  <c r="F22" i="39"/>
  <c r="B16" i="40"/>
  <c r="G35" i="42"/>
  <c r="B35" i="40"/>
  <c r="F24" i="24"/>
  <c r="M26" i="24"/>
  <c r="F36" i="24"/>
  <c r="B22" i="25"/>
  <c r="D30" i="27"/>
  <c r="B36" i="26"/>
  <c r="B19" i="28"/>
  <c r="F27" i="33"/>
  <c r="L32" i="33"/>
  <c r="K25" i="36"/>
  <c r="B26" i="37"/>
  <c r="N17" i="39"/>
  <c r="B35" i="22"/>
  <c r="M12" i="24"/>
  <c r="C19" i="24"/>
  <c r="M27" i="24"/>
  <c r="M32" i="24"/>
  <c r="B27" i="25"/>
  <c r="B30" i="25"/>
  <c r="B23" i="26"/>
  <c r="L32" i="27"/>
  <c r="D8" i="31"/>
  <c r="L8" i="31"/>
  <c r="H8" i="31"/>
  <c r="C19" i="36"/>
  <c r="N30" i="39"/>
  <c r="N15" i="42"/>
  <c r="K8" i="40"/>
  <c r="E6" i="10"/>
  <c r="E9" i="24"/>
  <c r="H10" i="24"/>
  <c r="N12" i="24"/>
  <c r="B17" i="23"/>
  <c r="J26" i="24"/>
  <c r="K34" i="24"/>
  <c r="B28" i="28"/>
  <c r="G20" i="30"/>
  <c r="M26" i="30"/>
  <c r="K28" i="30"/>
  <c r="E31" i="30"/>
  <c r="K8" i="32"/>
  <c r="B13" i="35"/>
  <c r="B37" i="35"/>
  <c r="N25" i="39"/>
  <c r="C16" i="42"/>
  <c r="B34" i="22"/>
  <c r="F9" i="24"/>
  <c r="J16" i="24"/>
  <c r="H20" i="24"/>
  <c r="L24" i="24"/>
  <c r="B16" i="25"/>
  <c r="L14" i="27"/>
  <c r="J22" i="27"/>
  <c r="K16" i="30"/>
  <c r="B37" i="32"/>
  <c r="B21" i="35"/>
  <c r="G20" i="39"/>
  <c r="B28" i="38"/>
  <c r="B28" i="39" s="1"/>
  <c r="B10" i="41"/>
  <c r="D7" i="12"/>
  <c r="D6" i="14" s="1"/>
  <c r="F11" i="30"/>
  <c r="D21" i="30"/>
  <c r="I32" i="30"/>
  <c r="I8" i="31"/>
  <c r="B20" i="31"/>
  <c r="B9" i="34"/>
  <c r="B18" i="37"/>
  <c r="B23" i="37"/>
  <c r="E28" i="30"/>
  <c r="B10" i="31"/>
  <c r="N21" i="33"/>
  <c r="N30" i="33"/>
  <c r="M8" i="35"/>
  <c r="B20" i="35"/>
  <c r="G24" i="36"/>
  <c r="B36" i="35"/>
  <c r="J37" i="42"/>
  <c r="F6" i="10"/>
  <c r="G8" i="29"/>
  <c r="G12" i="30"/>
  <c r="M14" i="30"/>
  <c r="L27" i="30"/>
  <c r="F28" i="30"/>
  <c r="M32" i="30"/>
  <c r="G21" i="33"/>
  <c r="B33" i="32"/>
  <c r="F23" i="36"/>
  <c r="C37" i="42"/>
  <c r="F14" i="30"/>
  <c r="J8" i="34"/>
  <c r="B10" i="35"/>
  <c r="K22" i="36"/>
  <c r="F17" i="39"/>
  <c r="L34" i="39"/>
  <c r="J36" i="39"/>
  <c r="B29" i="40"/>
  <c r="I8" i="41"/>
  <c r="N31" i="42"/>
  <c r="B6" i="9"/>
  <c r="E6" i="6"/>
  <c r="C10" i="15"/>
  <c r="B29" i="44"/>
  <c r="G29" i="45"/>
  <c r="H8" i="16"/>
  <c r="B22" i="16"/>
  <c r="D8" i="17"/>
  <c r="D20" i="18"/>
  <c r="J21" i="18"/>
  <c r="G30" i="18"/>
  <c r="L32" i="18"/>
  <c r="E22" i="18"/>
  <c r="K22" i="18"/>
  <c r="D25" i="18"/>
  <c r="N29" i="18"/>
  <c r="C29" i="18"/>
  <c r="D12" i="18"/>
  <c r="E15" i="18"/>
  <c r="L21" i="18"/>
  <c r="E27" i="18"/>
  <c r="M34" i="18"/>
  <c r="M20" i="18"/>
  <c r="E16" i="18"/>
  <c r="J33" i="18"/>
  <c r="H36" i="18"/>
  <c r="N10" i="18"/>
  <c r="H11" i="18"/>
  <c r="J17" i="18"/>
  <c r="I21" i="18"/>
  <c r="H25" i="18"/>
  <c r="H28" i="18"/>
  <c r="N28" i="18"/>
  <c r="B10" i="23"/>
  <c r="K13" i="27"/>
  <c r="I19" i="27"/>
  <c r="N21" i="27"/>
  <c r="N22" i="27"/>
  <c r="F28" i="27"/>
  <c r="I32" i="27"/>
  <c r="D20" i="27"/>
  <c r="D21" i="27"/>
  <c r="J33" i="27"/>
  <c r="M37" i="27"/>
  <c r="M10" i="30"/>
  <c r="G14" i="27"/>
  <c r="I29" i="27"/>
  <c r="H31" i="27"/>
  <c r="D8" i="20"/>
  <c r="I12" i="27"/>
  <c r="J26" i="27"/>
  <c r="G16" i="27"/>
  <c r="I16" i="27"/>
  <c r="N20" i="27"/>
  <c r="G22" i="27"/>
  <c r="B29" i="26"/>
  <c r="J31" i="27"/>
  <c r="H33" i="27"/>
  <c r="N33" i="27"/>
  <c r="K27" i="39"/>
  <c r="I8" i="35"/>
  <c r="E19" i="36"/>
  <c r="N31" i="36"/>
  <c r="E13" i="39"/>
  <c r="F24" i="39"/>
  <c r="M36" i="39"/>
  <c r="E8" i="34"/>
  <c r="N26" i="39"/>
  <c r="D35" i="39"/>
  <c r="D8" i="55"/>
  <c r="K8" i="35"/>
  <c r="C23" i="36"/>
  <c r="L33" i="39"/>
  <c r="K30" i="36"/>
  <c r="D33" i="36"/>
  <c r="E15" i="39"/>
  <c r="N31" i="39"/>
  <c r="C24" i="36"/>
  <c r="B18" i="35"/>
  <c r="C29" i="39"/>
  <c r="D29" i="18"/>
  <c r="DP6" i="56" l="1"/>
  <c r="AJ6" i="56"/>
  <c r="AO6" i="56"/>
  <c r="AD11" i="56"/>
  <c r="AM6" i="56"/>
  <c r="BT9" i="56"/>
  <c r="BU6" i="56"/>
  <c r="AI6" i="56"/>
  <c r="BT19" i="56"/>
  <c r="DQ6" i="56"/>
  <c r="BT21" i="56"/>
  <c r="AD13" i="56"/>
  <c r="G8" i="55"/>
  <c r="B29" i="39"/>
  <c r="D6" i="112"/>
  <c r="N6" i="112"/>
  <c r="B16" i="112"/>
  <c r="H6" i="110"/>
  <c r="I6" i="110"/>
  <c r="B6" i="14"/>
  <c r="E6" i="14"/>
  <c r="H6" i="11"/>
  <c r="AD19" i="56"/>
  <c r="AD25" i="56"/>
  <c r="AD29" i="56"/>
  <c r="AD31" i="56"/>
  <c r="BT35" i="56"/>
  <c r="L6" i="112"/>
  <c r="B18" i="39"/>
  <c r="AD33" i="56"/>
  <c r="C12" i="113"/>
  <c r="AD27" i="56"/>
  <c r="AD18" i="56"/>
  <c r="C28" i="113"/>
  <c r="E8" i="42"/>
  <c r="DN6" i="56"/>
  <c r="CF6" i="56"/>
  <c r="BT34" i="56"/>
  <c r="AE6" i="56"/>
  <c r="B30" i="39"/>
  <c r="J6" i="110"/>
  <c r="N6" i="110"/>
  <c r="B15" i="51"/>
  <c r="B9" i="42"/>
  <c r="C8" i="113"/>
  <c r="J8" i="42"/>
  <c r="B30" i="45"/>
  <c r="B10" i="51"/>
  <c r="B26" i="45"/>
  <c r="B33" i="45"/>
  <c r="B28" i="45"/>
  <c r="B23" i="51"/>
  <c r="F6" i="6"/>
  <c r="B29" i="42"/>
  <c r="H8" i="27"/>
  <c r="B11" i="42"/>
  <c r="B21" i="45"/>
  <c r="B25" i="45"/>
  <c r="B24" i="30"/>
  <c r="H8" i="39"/>
  <c r="B25" i="112"/>
  <c r="C32" i="113"/>
  <c r="B25" i="110"/>
  <c r="B6" i="11"/>
  <c r="D6" i="11"/>
  <c r="B9" i="39"/>
  <c r="C17" i="15"/>
  <c r="K6" i="111"/>
  <c r="B22" i="45"/>
  <c r="B32" i="45"/>
  <c r="D8" i="36"/>
  <c r="I8" i="39"/>
  <c r="DJ8" i="56"/>
  <c r="DJ13" i="56"/>
  <c r="DJ14" i="56"/>
  <c r="DJ16" i="56"/>
  <c r="DJ17" i="56"/>
  <c r="DJ23" i="56"/>
  <c r="DJ28" i="56"/>
  <c r="L6" i="110"/>
  <c r="G6" i="111"/>
  <c r="C16" i="113"/>
  <c r="K8" i="30"/>
  <c r="B13" i="51"/>
  <c r="B21" i="51"/>
  <c r="B25" i="51"/>
  <c r="B22" i="51"/>
  <c r="B31" i="51"/>
  <c r="F6" i="112"/>
  <c r="C6" i="112"/>
  <c r="G6" i="112"/>
  <c r="H6" i="111"/>
  <c r="N6" i="111"/>
  <c r="C6" i="110"/>
  <c r="G6" i="110"/>
  <c r="B34" i="110"/>
  <c r="B32" i="51"/>
  <c r="B28" i="51"/>
  <c r="B14" i="51"/>
  <c r="B33" i="51"/>
  <c r="B26" i="51"/>
  <c r="B24" i="51"/>
  <c r="B30" i="51"/>
  <c r="B35" i="42"/>
  <c r="B31" i="42"/>
  <c r="B31" i="45"/>
  <c r="B22" i="42"/>
  <c r="B29" i="51"/>
  <c r="B24" i="45"/>
  <c r="B23" i="45"/>
  <c r="B27" i="45"/>
  <c r="B25" i="42"/>
  <c r="N8" i="42"/>
  <c r="E8" i="36"/>
  <c r="H8" i="30"/>
  <c r="N8" i="24"/>
  <c r="C18" i="15"/>
  <c r="E6" i="11"/>
  <c r="F6" i="11"/>
  <c r="B23" i="39"/>
  <c r="DJ10" i="56"/>
  <c r="DJ18" i="56"/>
  <c r="DJ32" i="56"/>
  <c r="DJ34" i="56"/>
  <c r="DJ31" i="56"/>
  <c r="DJ33" i="56"/>
  <c r="BW6" i="56"/>
  <c r="AF6" i="56"/>
  <c r="AP6" i="56"/>
  <c r="D8" i="25"/>
  <c r="D8" i="27" s="1"/>
  <c r="C8" i="30"/>
  <c r="B29" i="36"/>
  <c r="G8" i="39"/>
  <c r="C9" i="18"/>
  <c r="C10" i="18"/>
  <c r="C12" i="18"/>
  <c r="M14" i="18"/>
  <c r="M16" i="18"/>
  <c r="M17" i="18"/>
  <c r="M18" i="18"/>
  <c r="M21" i="18"/>
  <c r="M22" i="18"/>
  <c r="M23" i="18"/>
  <c r="M24" i="18"/>
  <c r="M26" i="18"/>
  <c r="M27" i="18"/>
  <c r="M28" i="18"/>
  <c r="F36" i="18"/>
  <c r="F37" i="18"/>
  <c r="F10" i="18"/>
  <c r="H8" i="33"/>
  <c r="B34" i="42"/>
  <c r="D19" i="24"/>
  <c r="K29" i="18"/>
  <c r="F24" i="21"/>
  <c r="J25" i="24"/>
  <c r="J29" i="24"/>
  <c r="J20" i="30"/>
  <c r="J31" i="30"/>
  <c r="J32" i="30"/>
  <c r="J18" i="33"/>
  <c r="J21" i="33"/>
  <c r="J32" i="33"/>
  <c r="J33" i="33"/>
  <c r="J24" i="36"/>
  <c r="J29" i="36"/>
  <c r="J31" i="36"/>
  <c r="J18" i="39"/>
  <c r="J21" i="39"/>
  <c r="N8" i="33"/>
  <c r="H9" i="30"/>
  <c r="D21" i="33"/>
  <c r="I9" i="18"/>
  <c r="I10" i="18"/>
  <c r="I11" i="18"/>
  <c r="I12" i="18"/>
  <c r="G15" i="18"/>
  <c r="G16" i="18"/>
  <c r="G17" i="18"/>
  <c r="G19" i="18"/>
  <c r="G20" i="18"/>
  <c r="G21" i="18"/>
  <c r="G24" i="18"/>
  <c r="G25" i="18"/>
  <c r="G27" i="18"/>
  <c r="G28" i="18"/>
  <c r="L31" i="18"/>
  <c r="L33" i="18"/>
  <c r="L34" i="18"/>
  <c r="H35" i="18"/>
  <c r="L36" i="18"/>
  <c r="L37" i="18"/>
  <c r="L12" i="18"/>
  <c r="I21" i="42"/>
  <c r="B19" i="36"/>
  <c r="L8" i="16"/>
  <c r="D11" i="24"/>
  <c r="D12" i="24"/>
  <c r="D14" i="24"/>
  <c r="D23" i="24"/>
  <c r="D27" i="24"/>
  <c r="D11" i="27"/>
  <c r="D14" i="27"/>
  <c r="D15" i="27"/>
  <c r="D26" i="27"/>
  <c r="D33" i="27"/>
  <c r="D12" i="30"/>
  <c r="D30" i="30"/>
  <c r="D24" i="33"/>
  <c r="D26" i="33"/>
  <c r="D27" i="33"/>
  <c r="D19" i="36"/>
  <c r="D31" i="36"/>
  <c r="B15" i="39"/>
  <c r="G6" i="6"/>
  <c r="B23" i="16"/>
  <c r="G23" i="18"/>
  <c r="B31" i="16"/>
  <c r="B35" i="16"/>
  <c r="F8" i="17"/>
  <c r="B11" i="17"/>
  <c r="B16" i="17"/>
  <c r="F17" i="18"/>
  <c r="D10" i="21"/>
  <c r="D11" i="21"/>
  <c r="D12" i="21"/>
  <c r="D15" i="21"/>
  <c r="D20" i="21"/>
  <c r="J25" i="21"/>
  <c r="D26" i="21"/>
  <c r="D29" i="21"/>
  <c r="D31" i="21"/>
  <c r="B9" i="20"/>
  <c r="B32" i="28"/>
  <c r="B32" i="30" s="1"/>
  <c r="B33" i="42"/>
  <c r="B30" i="31"/>
  <c r="B30" i="33" s="1"/>
  <c r="B28" i="31"/>
  <c r="B28" i="33" s="1"/>
  <c r="C10" i="42"/>
  <c r="B32" i="42"/>
  <c r="C8" i="42"/>
  <c r="B24" i="39"/>
  <c r="E9" i="18"/>
  <c r="K9" i="18"/>
  <c r="K10" i="18"/>
  <c r="H14" i="42"/>
  <c r="F30" i="42"/>
  <c r="C8" i="39"/>
  <c r="E8" i="20"/>
  <c r="G25" i="42"/>
  <c r="M25" i="42"/>
  <c r="G31" i="42"/>
  <c r="H27" i="91"/>
  <c r="B13" i="42"/>
  <c r="B21" i="42"/>
  <c r="N26" i="42"/>
  <c r="G27" i="91"/>
  <c r="L14" i="18"/>
  <c r="F15" i="18"/>
  <c r="L15" i="18"/>
  <c r="L16" i="18"/>
  <c r="B17" i="17"/>
  <c r="L17" i="18"/>
  <c r="F18" i="18"/>
  <c r="F20" i="18"/>
  <c r="F21" i="18"/>
  <c r="F22" i="18"/>
  <c r="F24" i="18"/>
  <c r="L24" i="18"/>
  <c r="F25" i="18"/>
  <c r="L25" i="18"/>
  <c r="F26" i="18"/>
  <c r="L26" i="18"/>
  <c r="F27" i="18"/>
  <c r="B30" i="17"/>
  <c r="K31" i="18"/>
  <c r="E8" i="17"/>
  <c r="B34" i="17"/>
  <c r="K35" i="18"/>
  <c r="B36" i="17"/>
  <c r="E37" i="18"/>
  <c r="K37" i="18"/>
  <c r="B10" i="19"/>
  <c r="B13" i="19"/>
  <c r="B15" i="19"/>
  <c r="B17" i="19"/>
  <c r="B18" i="19"/>
  <c r="B18" i="21" s="1"/>
  <c r="B19" i="19"/>
  <c r="B20" i="19"/>
  <c r="B21" i="19"/>
  <c r="B24" i="19"/>
  <c r="B24" i="21" s="1"/>
  <c r="B27" i="19"/>
  <c r="B34" i="19"/>
  <c r="B15" i="20"/>
  <c r="B17" i="20"/>
  <c r="B19" i="20"/>
  <c r="B20" i="20"/>
  <c r="B23" i="20"/>
  <c r="B26" i="20"/>
  <c r="B28" i="20"/>
  <c r="B31" i="20"/>
  <c r="B10" i="22"/>
  <c r="B11" i="22"/>
  <c r="B20" i="22"/>
  <c r="B31" i="22"/>
  <c r="B9" i="23"/>
  <c r="B15" i="23"/>
  <c r="B15" i="24" s="1"/>
  <c r="B16" i="23"/>
  <c r="B20" i="23"/>
  <c r="B29" i="23"/>
  <c r="B32" i="23"/>
  <c r="B33" i="23"/>
  <c r="B34" i="23"/>
  <c r="B34" i="24" s="1"/>
  <c r="B37" i="23"/>
  <c r="B10" i="25"/>
  <c r="B10" i="27" s="1"/>
  <c r="B12" i="25"/>
  <c r="B12" i="27" s="1"/>
  <c r="B20" i="25"/>
  <c r="B25" i="25"/>
  <c r="B25" i="27" s="1"/>
  <c r="B28" i="25"/>
  <c r="B35" i="25"/>
  <c r="B13" i="26"/>
  <c r="B17" i="26"/>
  <c r="B17" i="27" s="1"/>
  <c r="B21" i="26"/>
  <c r="B21" i="27" s="1"/>
  <c r="B24" i="26"/>
  <c r="B28" i="26"/>
  <c r="B30" i="26"/>
  <c r="B30" i="27" s="1"/>
  <c r="B31" i="26"/>
  <c r="B34" i="26"/>
  <c r="B35" i="26"/>
  <c r="B37" i="26"/>
  <c r="B23" i="28"/>
  <c r="B23" i="30" s="1"/>
  <c r="B25" i="28"/>
  <c r="B31" i="29"/>
  <c r="B11" i="31"/>
  <c r="B26" i="31"/>
  <c r="B35" i="31"/>
  <c r="B23" i="32"/>
  <c r="B25" i="32"/>
  <c r="B25" i="33" s="1"/>
  <c r="B26" i="32"/>
  <c r="B27" i="32"/>
  <c r="B27" i="33" s="1"/>
  <c r="J22" i="42"/>
  <c r="J34" i="42"/>
  <c r="B34" i="112"/>
  <c r="I6" i="112"/>
  <c r="B16" i="111"/>
  <c r="F6" i="111"/>
  <c r="C6" i="111"/>
  <c r="I6" i="111"/>
  <c r="F6" i="110"/>
  <c r="B37" i="42"/>
  <c r="D9" i="39"/>
  <c r="J12" i="39"/>
  <c r="D15" i="39"/>
  <c r="J15" i="39"/>
  <c r="D16" i="39"/>
  <c r="D17" i="39"/>
  <c r="D18" i="39"/>
  <c r="D20" i="39"/>
  <c r="J24" i="39"/>
  <c r="D25" i="39"/>
  <c r="D26" i="39"/>
  <c r="D31" i="39"/>
  <c r="D32" i="39"/>
  <c r="G8" i="17"/>
  <c r="K18" i="21"/>
  <c r="E21" i="21"/>
  <c r="E24" i="21"/>
  <c r="K25" i="21"/>
  <c r="K30" i="21"/>
  <c r="K33" i="21"/>
  <c r="E34" i="21"/>
  <c r="K10" i="24"/>
  <c r="K11" i="24"/>
  <c r="K12" i="24"/>
  <c r="K17" i="24"/>
  <c r="K21" i="24"/>
  <c r="E22" i="24"/>
  <c r="K22" i="24"/>
  <c r="K26" i="24"/>
  <c r="K29" i="24"/>
  <c r="E31" i="24"/>
  <c r="K35" i="24"/>
  <c r="E10" i="27"/>
  <c r="K10" i="27"/>
  <c r="K17" i="27"/>
  <c r="E20" i="27"/>
  <c r="K24" i="27"/>
  <c r="K26" i="27"/>
  <c r="K32" i="27"/>
  <c r="E33" i="27"/>
  <c r="E11" i="30"/>
  <c r="K12" i="30"/>
  <c r="E14" i="30"/>
  <c r="K14" i="30"/>
  <c r="K15" i="30"/>
  <c r="K20" i="30"/>
  <c r="E26" i="30"/>
  <c r="E30" i="30"/>
  <c r="K21" i="33"/>
  <c r="E24" i="33"/>
  <c r="K31" i="33"/>
  <c r="K32" i="33"/>
  <c r="B12" i="35"/>
  <c r="K23" i="36"/>
  <c r="K31" i="36"/>
  <c r="B32" i="35"/>
  <c r="B34" i="35"/>
  <c r="F8" i="42"/>
  <c r="B33" i="27"/>
  <c r="E8" i="30"/>
  <c r="B10" i="42"/>
  <c r="E20" i="21"/>
  <c r="K8" i="16"/>
  <c r="F16" i="18"/>
  <c r="I37" i="42"/>
  <c r="E8" i="24"/>
  <c r="B36" i="16"/>
  <c r="B35" i="24"/>
  <c r="B9" i="26"/>
  <c r="B37" i="25"/>
  <c r="B15" i="16"/>
  <c r="E28" i="27"/>
  <c r="B31" i="23"/>
  <c r="M13" i="18"/>
  <c r="H8" i="17"/>
  <c r="H8" i="18" s="1"/>
  <c r="B10" i="24"/>
  <c r="B20" i="16"/>
  <c r="B19" i="31"/>
  <c r="B19" i="33" s="1"/>
  <c r="D15" i="18"/>
  <c r="J15" i="18"/>
  <c r="D16" i="18"/>
  <c r="D19" i="18"/>
  <c r="J22" i="18"/>
  <c r="D23" i="18"/>
  <c r="D28" i="18"/>
  <c r="C32" i="18"/>
  <c r="I35" i="18"/>
  <c r="C36" i="18"/>
  <c r="I36" i="18"/>
  <c r="C37" i="18"/>
  <c r="H11" i="39"/>
  <c r="H12" i="39"/>
  <c r="H13" i="39"/>
  <c r="H15" i="39"/>
  <c r="N15" i="39"/>
  <c r="H16" i="39"/>
  <c r="E27" i="42"/>
  <c r="K27" i="42"/>
  <c r="K33" i="42"/>
  <c r="J8" i="36"/>
  <c r="E23" i="21"/>
  <c r="B17" i="22"/>
  <c r="B17" i="24" s="1"/>
  <c r="B10" i="16"/>
  <c r="E36" i="18"/>
  <c r="D8" i="33"/>
  <c r="B11" i="39"/>
  <c r="K8" i="22"/>
  <c r="K8" i="24" s="1"/>
  <c r="B24" i="32"/>
  <c r="B24" i="33" s="1"/>
  <c r="J21" i="21"/>
  <c r="J26" i="21"/>
  <c r="D30" i="21"/>
  <c r="J31" i="21"/>
  <c r="D33" i="21"/>
  <c r="B37" i="16"/>
  <c r="B10" i="17"/>
  <c r="H12" i="18"/>
  <c r="B14" i="17"/>
  <c r="B15" i="17"/>
  <c r="H17" i="18"/>
  <c r="B18" i="17"/>
  <c r="B19" i="17"/>
  <c r="H20" i="18"/>
  <c r="B21" i="17"/>
  <c r="H22" i="18"/>
  <c r="B23" i="17"/>
  <c r="B23" i="18" s="1"/>
  <c r="B24" i="17"/>
  <c r="B25" i="17"/>
  <c r="B27" i="17"/>
  <c r="M8" i="17"/>
  <c r="B31" i="17"/>
  <c r="B32" i="17"/>
  <c r="B33" i="17"/>
  <c r="M33" i="18"/>
  <c r="G34" i="18"/>
  <c r="B35" i="17"/>
  <c r="B14" i="30"/>
  <c r="B19" i="39"/>
  <c r="J8" i="27"/>
  <c r="B13" i="16"/>
  <c r="L8" i="17"/>
  <c r="L18" i="18"/>
  <c r="F19" i="18"/>
  <c r="L27" i="18"/>
  <c r="E30" i="18"/>
  <c r="K30" i="18"/>
  <c r="E31" i="18"/>
  <c r="E32" i="18"/>
  <c r="K32" i="18"/>
  <c r="E33" i="18"/>
  <c r="E34" i="18"/>
  <c r="E33" i="21"/>
  <c r="B37" i="17"/>
  <c r="B9" i="19"/>
  <c r="B28" i="19"/>
  <c r="B32" i="19"/>
  <c r="B10" i="20"/>
  <c r="B11" i="20"/>
  <c r="F12" i="21"/>
  <c r="B14" i="20"/>
  <c r="B16" i="20"/>
  <c r="L16" i="21"/>
  <c r="F19" i="21"/>
  <c r="F20" i="21"/>
  <c r="B21" i="20"/>
  <c r="B21" i="21" s="1"/>
  <c r="L21" i="21"/>
  <c r="L23" i="21"/>
  <c r="L24" i="21"/>
  <c r="B25" i="20"/>
  <c r="L25" i="21"/>
  <c r="F27" i="21"/>
  <c r="B29" i="20"/>
  <c r="B30" i="20"/>
  <c r="F31" i="21"/>
  <c r="L33" i="21"/>
  <c r="F34" i="21"/>
  <c r="B35" i="20"/>
  <c r="B36" i="20"/>
  <c r="L36" i="21"/>
  <c r="F37" i="21"/>
  <c r="L37" i="21"/>
  <c r="B16" i="22"/>
  <c r="B21" i="22"/>
  <c r="B21" i="24" s="1"/>
  <c r="B23" i="22"/>
  <c r="B23" i="24" s="1"/>
  <c r="B24" i="22"/>
  <c r="L9" i="24"/>
  <c r="F10" i="24"/>
  <c r="F11" i="24"/>
  <c r="L11" i="24"/>
  <c r="F12" i="24"/>
  <c r="B14" i="23"/>
  <c r="B18" i="23"/>
  <c r="L19" i="24"/>
  <c r="F20" i="24"/>
  <c r="F21" i="24"/>
  <c r="F25" i="24"/>
  <c r="B26" i="23"/>
  <c r="F27" i="24"/>
  <c r="L28" i="24"/>
  <c r="F29" i="24"/>
  <c r="L29" i="24"/>
  <c r="F31" i="24"/>
  <c r="L33" i="24"/>
  <c r="F34" i="24"/>
  <c r="L36" i="24"/>
  <c r="F37" i="24"/>
  <c r="B9" i="25"/>
  <c r="B13" i="25"/>
  <c r="B24" i="25"/>
  <c r="B31" i="25"/>
  <c r="L9" i="27"/>
  <c r="L10" i="27"/>
  <c r="F11" i="27"/>
  <c r="L11" i="27"/>
  <c r="L19" i="27"/>
  <c r="F20" i="27"/>
  <c r="F23" i="27"/>
  <c r="F24" i="27"/>
  <c r="B26" i="26"/>
  <c r="B26" i="27" s="1"/>
  <c r="L29" i="27"/>
  <c r="L30" i="27"/>
  <c r="B32" i="26"/>
  <c r="B32" i="27" s="1"/>
  <c r="F35" i="27"/>
  <c r="L35" i="27"/>
  <c r="F36" i="27"/>
  <c r="B22" i="28"/>
  <c r="F10" i="30"/>
  <c r="B11" i="29"/>
  <c r="F12" i="30"/>
  <c r="L13" i="30"/>
  <c r="B26" i="29"/>
  <c r="L32" i="30"/>
  <c r="F18" i="33"/>
  <c r="F19" i="33"/>
  <c r="L27" i="33"/>
  <c r="F29" i="33"/>
  <c r="L31" i="33"/>
  <c r="B17" i="16"/>
  <c r="B17" i="18" s="1"/>
  <c r="J8" i="16"/>
  <c r="J8" i="18" s="1"/>
  <c r="B21" i="16"/>
  <c r="B24" i="16"/>
  <c r="B25" i="16"/>
  <c r="B26" i="16"/>
  <c r="B27" i="16"/>
  <c r="B29" i="16"/>
  <c r="B30" i="16"/>
  <c r="B30" i="18" s="1"/>
  <c r="L13" i="18"/>
  <c r="G9" i="18"/>
  <c r="G10" i="18"/>
  <c r="M10" i="18"/>
  <c r="G11" i="18"/>
  <c r="B12" i="16"/>
  <c r="M12" i="18"/>
  <c r="K14" i="18"/>
  <c r="J34" i="18"/>
  <c r="D35" i="18"/>
  <c r="D36" i="18"/>
  <c r="J37" i="18"/>
  <c r="J11" i="21"/>
  <c r="J13" i="21"/>
  <c r="D14" i="21"/>
  <c r="D17" i="21"/>
  <c r="J19" i="21"/>
  <c r="J16" i="39"/>
  <c r="M8" i="19"/>
  <c r="G8" i="16"/>
  <c r="G12" i="18"/>
  <c r="B22" i="19"/>
  <c r="E8" i="16"/>
  <c r="H18" i="18"/>
  <c r="B27" i="20"/>
  <c r="D27" i="18"/>
  <c r="B23" i="19"/>
  <c r="F21" i="21"/>
  <c r="F9" i="21"/>
  <c r="N13" i="18"/>
  <c r="B12" i="17"/>
  <c r="G9" i="21"/>
  <c r="B31" i="39"/>
  <c r="B29" i="19"/>
  <c r="F16" i="24"/>
  <c r="H21" i="18"/>
  <c r="B22" i="22"/>
  <c r="B32" i="22"/>
  <c r="D21" i="18"/>
  <c r="G28" i="21"/>
  <c r="H14" i="18"/>
  <c r="H15" i="18"/>
  <c r="N15" i="18"/>
  <c r="B13" i="32"/>
  <c r="B14" i="32"/>
  <c r="B23" i="33"/>
  <c r="B20" i="17"/>
  <c r="B34" i="20"/>
  <c r="H9" i="18"/>
  <c r="F26" i="30"/>
  <c r="H16" i="18"/>
  <c r="H19" i="18"/>
  <c r="N21" i="18"/>
  <c r="N22" i="18"/>
  <c r="N24" i="18"/>
  <c r="H26" i="18"/>
  <c r="B22" i="20"/>
  <c r="B26" i="22"/>
  <c r="B18" i="26"/>
  <c r="B18" i="27" s="1"/>
  <c r="B27" i="26"/>
  <c r="B27" i="27" s="1"/>
  <c r="B37" i="28"/>
  <c r="B21" i="29"/>
  <c r="B21" i="30" s="1"/>
  <c r="B30" i="29"/>
  <c r="B30" i="30" s="1"/>
  <c r="B9" i="17"/>
  <c r="B11" i="16"/>
  <c r="B11" i="18" s="1"/>
  <c r="B29" i="25"/>
  <c r="B29" i="27" s="1"/>
  <c r="L10" i="18"/>
  <c r="F11" i="18"/>
  <c r="L11" i="18"/>
  <c r="F12" i="18"/>
  <c r="F30" i="21"/>
  <c r="L30" i="21"/>
  <c r="L31" i="21"/>
  <c r="L32" i="21"/>
  <c r="B19" i="42"/>
  <c r="B28" i="36"/>
  <c r="B12" i="39"/>
  <c r="B13" i="17"/>
  <c r="B12" i="23"/>
  <c r="B12" i="24" s="1"/>
  <c r="B11" i="19"/>
  <c r="N9" i="18"/>
  <c r="N12" i="18"/>
  <c r="F14" i="18"/>
  <c r="F29" i="21"/>
  <c r="C23" i="18"/>
  <c r="J13" i="39"/>
  <c r="J19" i="39"/>
  <c r="D22" i="39"/>
  <c r="D30" i="39"/>
  <c r="J33" i="39"/>
  <c r="D34" i="39"/>
  <c r="D36" i="39"/>
  <c r="J10" i="18"/>
  <c r="D22" i="18"/>
  <c r="J24" i="18"/>
  <c r="I32" i="18"/>
  <c r="C33" i="18"/>
  <c r="C34" i="18"/>
  <c r="F34" i="18"/>
  <c r="K34" i="18"/>
  <c r="E35" i="18"/>
  <c r="K36" i="18"/>
  <c r="K8" i="17"/>
  <c r="N26" i="33"/>
  <c r="H32" i="33"/>
  <c r="N33" i="33"/>
  <c r="H25" i="36"/>
  <c r="H28" i="36"/>
  <c r="H30" i="36"/>
  <c r="N30" i="36"/>
  <c r="F37" i="39"/>
  <c r="J33" i="21"/>
  <c r="D35" i="21"/>
  <c r="D13" i="24"/>
  <c r="J18" i="24"/>
  <c r="D26" i="24"/>
  <c r="B15" i="28"/>
  <c r="I12" i="33"/>
  <c r="C28" i="33"/>
  <c r="I28" i="33"/>
  <c r="C31" i="33"/>
  <c r="I33" i="33"/>
  <c r="C22" i="36"/>
  <c r="I24" i="36"/>
  <c r="C26" i="36"/>
  <c r="I27" i="36"/>
  <c r="B30" i="35"/>
  <c r="B33" i="19"/>
  <c r="K9" i="21"/>
  <c r="K11" i="21"/>
  <c r="E12" i="21"/>
  <c r="E14" i="21"/>
  <c r="K14" i="21"/>
  <c r="E15" i="21"/>
  <c r="E18" i="21"/>
  <c r="E27" i="21"/>
  <c r="K29" i="21"/>
  <c r="E30" i="21"/>
  <c r="K32" i="21"/>
  <c r="K13" i="24"/>
  <c r="K37" i="24"/>
  <c r="AD10" i="56"/>
  <c r="AD26" i="56"/>
  <c r="AD28" i="56"/>
  <c r="AD30" i="56"/>
  <c r="BT30" i="56"/>
  <c r="DU6" i="56"/>
  <c r="DJ12" i="56"/>
  <c r="DJ15" i="56"/>
  <c r="DJ19" i="56"/>
  <c r="DJ21" i="56"/>
  <c r="DJ22" i="56"/>
  <c r="DJ24" i="56"/>
  <c r="DJ25" i="56"/>
  <c r="DJ26" i="56"/>
  <c r="DJ27" i="56"/>
  <c r="DJ29" i="56"/>
  <c r="P6" i="56"/>
  <c r="BT12" i="56"/>
  <c r="AK6" i="56"/>
  <c r="AD8" i="56"/>
  <c r="AD16" i="56"/>
  <c r="AD20" i="56"/>
  <c r="AD32" i="56"/>
  <c r="DV6" i="56"/>
  <c r="B6" i="56"/>
  <c r="CV6" i="56"/>
  <c r="DL6" i="56"/>
  <c r="BT10" i="56"/>
  <c r="BT11" i="56"/>
  <c r="BT14" i="56"/>
  <c r="BT16" i="56"/>
  <c r="BT17" i="56"/>
  <c r="BT20" i="56"/>
  <c r="BT22" i="56"/>
  <c r="BT23" i="56"/>
  <c r="BT25" i="56"/>
  <c r="BT28" i="56"/>
  <c r="BX6" i="56"/>
  <c r="DM6" i="56"/>
  <c r="DS6" i="56"/>
  <c r="DJ11" i="56"/>
  <c r="DJ35" i="56"/>
  <c r="AR6" i="56"/>
  <c r="BY6" i="56"/>
  <c r="CE6" i="56"/>
  <c r="CH6" i="56"/>
  <c r="D8" i="54"/>
  <c r="G8" i="54"/>
  <c r="G8" i="53"/>
  <c r="I8" i="42"/>
  <c r="C8" i="21"/>
  <c r="B35" i="19"/>
  <c r="D33" i="24"/>
  <c r="B33" i="22"/>
  <c r="D10" i="24"/>
  <c r="B11" i="23"/>
  <c r="J22" i="24"/>
  <c r="J24" i="24"/>
  <c r="D25" i="24"/>
  <c r="J35" i="24"/>
  <c r="J36" i="24"/>
  <c r="J37" i="24"/>
  <c r="D10" i="27"/>
  <c r="J14" i="27"/>
  <c r="J23" i="27"/>
  <c r="J29" i="27"/>
  <c r="J35" i="27"/>
  <c r="J37" i="27"/>
  <c r="D20" i="30"/>
  <c r="B20" i="28"/>
  <c r="B20" i="30" s="1"/>
  <c r="D13" i="30"/>
  <c r="J13" i="30"/>
  <c r="D14" i="30"/>
  <c r="D15" i="30"/>
  <c r="B16" i="29"/>
  <c r="B16" i="30" s="1"/>
  <c r="D16" i="30"/>
  <c r="D17" i="30"/>
  <c r="D22" i="30"/>
  <c r="J22" i="30"/>
  <c r="J23" i="30"/>
  <c r="J24" i="30"/>
  <c r="D25" i="30"/>
  <c r="B25" i="29"/>
  <c r="K34" i="21"/>
  <c r="E10" i="24"/>
  <c r="E11" i="24"/>
  <c r="E13" i="24"/>
  <c r="E14" i="24"/>
  <c r="K19" i="24"/>
  <c r="E20" i="24"/>
  <c r="K23" i="24"/>
  <c r="K24" i="24"/>
  <c r="E26" i="24"/>
  <c r="E28" i="24"/>
  <c r="E30" i="24"/>
  <c r="K32" i="24"/>
  <c r="E34" i="24"/>
  <c r="E36" i="24"/>
  <c r="E37" i="24"/>
  <c r="E9" i="27"/>
  <c r="K9" i="27"/>
  <c r="K11" i="27"/>
  <c r="E12" i="27"/>
  <c r="K12" i="27"/>
  <c r="E13" i="27"/>
  <c r="E14" i="27"/>
  <c r="K15" i="27"/>
  <c r="E16" i="27"/>
  <c r="K16" i="27"/>
  <c r="E18" i="27"/>
  <c r="E23" i="27"/>
  <c r="K23" i="27"/>
  <c r="E25" i="27"/>
  <c r="E27" i="27"/>
  <c r="E29" i="27"/>
  <c r="E30" i="27"/>
  <c r="E32" i="27"/>
  <c r="K35" i="27"/>
  <c r="K36" i="27"/>
  <c r="E9" i="30"/>
  <c r="K9" i="30"/>
  <c r="K10" i="30"/>
  <c r="E13" i="30"/>
  <c r="K13" i="30"/>
  <c r="E17" i="30"/>
  <c r="K17" i="30"/>
  <c r="E18" i="30"/>
  <c r="E22" i="30"/>
  <c r="E23" i="30"/>
  <c r="E25" i="30"/>
  <c r="K27" i="30"/>
  <c r="E32" i="30"/>
  <c r="B16" i="42"/>
  <c r="I8" i="21"/>
  <c r="J8" i="21"/>
  <c r="F8" i="33"/>
  <c r="I37" i="18"/>
  <c r="H29" i="18"/>
  <c r="J16" i="21"/>
  <c r="J17" i="21"/>
  <c r="J18" i="21"/>
  <c r="D19" i="21"/>
  <c r="B10" i="29"/>
  <c r="B10" i="30" s="1"/>
  <c r="B12" i="29"/>
  <c r="B15" i="29"/>
  <c r="B17" i="29"/>
  <c r="B17" i="30" s="1"/>
  <c r="J11" i="39"/>
  <c r="J16" i="18"/>
  <c r="D18" i="18"/>
  <c r="J18" i="18"/>
  <c r="J19" i="18"/>
  <c r="J20" i="18"/>
  <c r="J23" i="18"/>
  <c r="J25" i="18"/>
  <c r="J26" i="18"/>
  <c r="C30" i="18"/>
  <c r="E9" i="21"/>
  <c r="E10" i="21"/>
  <c r="K10" i="21"/>
  <c r="K12" i="21"/>
  <c r="K13" i="21"/>
  <c r="K15" i="21"/>
  <c r="E16" i="21"/>
  <c r="K16" i="21"/>
  <c r="E17" i="21"/>
  <c r="K17" i="21"/>
  <c r="E19" i="21"/>
  <c r="K20" i="21"/>
  <c r="K21" i="21"/>
  <c r="E22" i="21"/>
  <c r="D14" i="39"/>
  <c r="N10" i="42"/>
  <c r="H16" i="42"/>
  <c r="N16" i="42"/>
  <c r="E25" i="42"/>
  <c r="K25" i="18"/>
  <c r="E28" i="18"/>
  <c r="F13" i="21"/>
  <c r="F14" i="21"/>
  <c r="F23" i="21"/>
  <c r="F25" i="21"/>
  <c r="F26" i="21"/>
  <c r="F28" i="21"/>
  <c r="L28" i="21"/>
  <c r="H18" i="33"/>
  <c r="N18" i="33"/>
  <c r="H22" i="33"/>
  <c r="H23" i="33"/>
  <c r="H24" i="33"/>
  <c r="H27" i="33"/>
  <c r="H29" i="33"/>
  <c r="F26" i="42"/>
  <c r="L26" i="42"/>
  <c r="E37" i="42"/>
  <c r="D9" i="18"/>
  <c r="J9" i="18"/>
  <c r="D11" i="18"/>
  <c r="D31" i="18"/>
  <c r="J31" i="18"/>
  <c r="J32" i="21"/>
  <c r="B24" i="23"/>
  <c r="B28" i="23"/>
  <c r="I26" i="33"/>
  <c r="C27" i="33"/>
  <c r="H31" i="33"/>
  <c r="N31" i="33"/>
  <c r="D21" i="39"/>
  <c r="D33" i="39"/>
  <c r="J12" i="42"/>
  <c r="G27" i="42"/>
  <c r="L32" i="42"/>
  <c r="E13" i="42"/>
  <c r="H22" i="42"/>
  <c r="B10" i="37"/>
  <c r="B10" i="39" s="1"/>
  <c r="B14" i="37"/>
  <c r="B14" i="39" s="1"/>
  <c r="B32" i="37"/>
  <c r="B32" i="39" s="1"/>
  <c r="L35" i="39"/>
  <c r="L36" i="39"/>
  <c r="F14" i="42"/>
  <c r="L14" i="42"/>
  <c r="H34" i="42"/>
  <c r="N34" i="42"/>
  <c r="B11" i="26"/>
  <c r="B11" i="27" s="1"/>
  <c r="E11" i="39"/>
  <c r="E12" i="39"/>
  <c r="K12" i="39"/>
  <c r="B13" i="38"/>
  <c r="B13" i="39" s="1"/>
  <c r="E14" i="39"/>
  <c r="E17" i="39"/>
  <c r="E18" i="39"/>
  <c r="E20" i="39"/>
  <c r="E22" i="39"/>
  <c r="K22" i="39"/>
  <c r="E27" i="39"/>
  <c r="E28" i="39"/>
  <c r="E29" i="39"/>
  <c r="E32" i="39"/>
  <c r="B26" i="28"/>
  <c r="B31" i="28"/>
  <c r="C9" i="24"/>
  <c r="C13" i="24"/>
  <c r="I13" i="24"/>
  <c r="B26" i="39"/>
  <c r="M31" i="21"/>
  <c r="G8" i="20"/>
  <c r="G8" i="21" s="1"/>
  <c r="M32" i="21"/>
  <c r="G33" i="21"/>
  <c r="M34" i="21"/>
  <c r="M9" i="27"/>
  <c r="B23" i="35"/>
  <c r="K24" i="36"/>
  <c r="E25" i="36"/>
  <c r="E26" i="36"/>
  <c r="K26" i="36"/>
  <c r="N15" i="21"/>
  <c r="H19" i="21"/>
  <c r="H23" i="21"/>
  <c r="B34" i="31"/>
  <c r="B10" i="32"/>
  <c r="B11" i="32"/>
  <c r="G18" i="33"/>
  <c r="M18" i="33"/>
  <c r="M22" i="33"/>
  <c r="G29" i="33"/>
  <c r="M29" i="33"/>
  <c r="M31" i="33"/>
  <c r="G32" i="33"/>
  <c r="K13" i="18"/>
  <c r="J30" i="21"/>
  <c r="I16" i="24"/>
  <c r="C20" i="24"/>
  <c r="I23" i="24"/>
  <c r="I25" i="24"/>
  <c r="I27" i="24"/>
  <c r="C30" i="24"/>
  <c r="C31" i="24"/>
  <c r="J9" i="27"/>
  <c r="D13" i="27"/>
  <c r="J15" i="27"/>
  <c r="D16" i="27"/>
  <c r="J17" i="27"/>
  <c r="D19" i="27"/>
  <c r="J19" i="27"/>
  <c r="D22" i="27"/>
  <c r="J24" i="27"/>
  <c r="D27" i="27"/>
  <c r="D28" i="27"/>
  <c r="D31" i="27"/>
  <c r="D34" i="27"/>
  <c r="J34" i="27"/>
  <c r="C18" i="18"/>
  <c r="C20" i="18"/>
  <c r="C22" i="18"/>
  <c r="C24" i="18"/>
  <c r="I24" i="18"/>
  <c r="H30" i="18"/>
  <c r="C31" i="36"/>
  <c r="K32" i="39"/>
  <c r="E33" i="39"/>
  <c r="K33" i="39"/>
  <c r="E34" i="39"/>
  <c r="K34" i="39"/>
  <c r="E36" i="39"/>
  <c r="L9" i="30"/>
  <c r="L10" i="30"/>
  <c r="F18" i="30"/>
  <c r="F19" i="30"/>
  <c r="D27" i="36"/>
  <c r="J27" i="36"/>
  <c r="D28" i="36"/>
  <c r="C16" i="15"/>
  <c r="F6" i="14"/>
  <c r="H27" i="21"/>
  <c r="J21" i="27"/>
  <c r="N8" i="21"/>
  <c r="B25" i="39"/>
  <c r="C12" i="30"/>
  <c r="B12" i="28"/>
  <c r="M33" i="33"/>
  <c r="H8" i="21"/>
  <c r="I20" i="24"/>
  <c r="C21" i="24"/>
  <c r="I21" i="24"/>
  <c r="C35" i="24"/>
  <c r="I35" i="24"/>
  <c r="C36" i="24"/>
  <c r="I36" i="24"/>
  <c r="J36" i="27"/>
  <c r="D37" i="27"/>
  <c r="D29" i="33"/>
  <c r="B29" i="31"/>
  <c r="B29" i="33" s="1"/>
  <c r="B31" i="31"/>
  <c r="B31" i="33" s="1"/>
  <c r="B14" i="42"/>
  <c r="I8" i="33"/>
  <c r="K8" i="33"/>
  <c r="F21" i="30"/>
  <c r="F22" i="30"/>
  <c r="B22" i="29"/>
  <c r="F23" i="30"/>
  <c r="F24" i="30"/>
  <c r="L29" i="30"/>
  <c r="B18" i="33"/>
  <c r="G19" i="30"/>
  <c r="G8" i="28"/>
  <c r="G8" i="30" s="1"/>
  <c r="B30" i="34"/>
  <c r="B14" i="16"/>
  <c r="I19" i="18"/>
  <c r="I20" i="18"/>
  <c r="C21" i="18"/>
  <c r="C28" i="24"/>
  <c r="J16" i="27"/>
  <c r="D17" i="27"/>
  <c r="G10" i="27"/>
  <c r="M10" i="27"/>
  <c r="M11" i="27"/>
  <c r="M13" i="27"/>
  <c r="M17" i="27"/>
  <c r="M18" i="27"/>
  <c r="G19" i="27"/>
  <c r="M19" i="27"/>
  <c r="G20" i="27"/>
  <c r="M23" i="27"/>
  <c r="G25" i="27"/>
  <c r="G26" i="27"/>
  <c r="G27" i="27"/>
  <c r="M29" i="27"/>
  <c r="G32" i="27"/>
  <c r="G34" i="27"/>
  <c r="M34" i="27"/>
  <c r="G35" i="27"/>
  <c r="M35" i="27"/>
  <c r="M36" i="27"/>
  <c r="B9" i="28"/>
  <c r="L11" i="30"/>
  <c r="L14" i="30"/>
  <c r="F15" i="30"/>
  <c r="L15" i="30"/>
  <c r="L16" i="30"/>
  <c r="C29" i="30"/>
  <c r="I29" i="30"/>
  <c r="B31" i="34"/>
  <c r="H19" i="36"/>
  <c r="H26" i="36"/>
  <c r="G29" i="36"/>
  <c r="B27" i="35"/>
  <c r="B27" i="36" s="1"/>
  <c r="B31" i="35"/>
  <c r="B16" i="37"/>
  <c r="B16" i="39" s="1"/>
  <c r="I23" i="18"/>
  <c r="H16" i="21"/>
  <c r="G34" i="21"/>
  <c r="F11" i="21"/>
  <c r="I18" i="24"/>
  <c r="G10" i="24"/>
  <c r="G11" i="24"/>
  <c r="M11" i="24"/>
  <c r="M13" i="24"/>
  <c r="M14" i="24"/>
  <c r="G22" i="24"/>
  <c r="M23" i="24"/>
  <c r="G24" i="24"/>
  <c r="G26" i="24"/>
  <c r="G28" i="24"/>
  <c r="B30" i="23"/>
  <c r="B30" i="24" s="1"/>
  <c r="M30" i="24"/>
  <c r="M31" i="24"/>
  <c r="G32" i="24"/>
  <c r="G33" i="24"/>
  <c r="M36" i="24"/>
  <c r="J18" i="27"/>
  <c r="D32" i="27"/>
  <c r="J32" i="27"/>
  <c r="B33" i="28"/>
  <c r="B35" i="28"/>
  <c r="B36" i="28"/>
  <c r="B9" i="29"/>
  <c r="J16" i="30"/>
  <c r="J17" i="30"/>
  <c r="D19" i="30"/>
  <c r="J21" i="30"/>
  <c r="D27" i="30"/>
  <c r="E22" i="36"/>
  <c r="I30" i="36"/>
  <c r="I32" i="36"/>
  <c r="I33" i="36"/>
  <c r="N35" i="18"/>
  <c r="N37" i="18"/>
  <c r="M31" i="18"/>
  <c r="G32" i="18"/>
  <c r="B18" i="22"/>
  <c r="B36" i="22"/>
  <c r="B36" i="24" s="1"/>
  <c r="E24" i="36"/>
  <c r="G13" i="18"/>
  <c r="H31" i="18"/>
  <c r="I31" i="18"/>
  <c r="I34" i="18"/>
  <c r="H10" i="21"/>
  <c r="C17" i="21"/>
  <c r="I17" i="21"/>
  <c r="D24" i="27"/>
  <c r="D25" i="27"/>
  <c r="E11" i="27"/>
  <c r="K22" i="27"/>
  <c r="K27" i="27"/>
  <c r="K31" i="27"/>
  <c r="L25" i="36"/>
  <c r="C10" i="39"/>
  <c r="E10" i="18"/>
  <c r="E12" i="18"/>
  <c r="H13" i="18"/>
  <c r="E14" i="18"/>
  <c r="K15" i="18"/>
  <c r="K23" i="18"/>
  <c r="H11" i="21"/>
  <c r="N11" i="21"/>
  <c r="N12" i="21"/>
  <c r="H30" i="21"/>
  <c r="J15" i="21"/>
  <c r="D21" i="21"/>
  <c r="J27" i="21"/>
  <c r="I32" i="21"/>
  <c r="C33" i="21"/>
  <c r="I33" i="21"/>
  <c r="C34" i="21"/>
  <c r="C35" i="21"/>
  <c r="I35" i="21"/>
  <c r="I10" i="24"/>
  <c r="I11" i="24"/>
  <c r="J10" i="27"/>
  <c r="J11" i="27"/>
  <c r="J30" i="27"/>
  <c r="I24" i="33"/>
  <c r="C25" i="33"/>
  <c r="K33" i="36"/>
  <c r="K9" i="39"/>
  <c r="E10" i="39"/>
  <c r="K10" i="39"/>
  <c r="I8" i="16"/>
  <c r="I8" i="18" s="1"/>
  <c r="D25" i="21"/>
  <c r="J8" i="28"/>
  <c r="J8" i="30" s="1"/>
  <c r="H8" i="34"/>
  <c r="H8" i="36" s="1"/>
  <c r="B29" i="30"/>
  <c r="B20" i="42"/>
  <c r="B17" i="39"/>
  <c r="L8" i="39"/>
  <c r="B18" i="42"/>
  <c r="G8" i="33"/>
  <c r="B27" i="42"/>
  <c r="B21" i="39"/>
  <c r="K8" i="27"/>
  <c r="B23" i="42"/>
  <c r="B18" i="16"/>
  <c r="B18" i="18" s="1"/>
  <c r="C8" i="33"/>
  <c r="B16" i="19"/>
  <c r="B20" i="39"/>
  <c r="B11" i="28"/>
  <c r="G20" i="24"/>
  <c r="B22" i="23"/>
  <c r="E8" i="31"/>
  <c r="E8" i="33" s="1"/>
  <c r="L8" i="30"/>
  <c r="B33" i="39"/>
  <c r="B30" i="42"/>
  <c r="B8" i="41"/>
  <c r="I8" i="30"/>
  <c r="B37" i="39"/>
  <c r="I22" i="18"/>
  <c r="M32" i="18"/>
  <c r="G33" i="18"/>
  <c r="L10" i="21"/>
  <c r="L12" i="21"/>
  <c r="L13" i="21"/>
  <c r="H8" i="22"/>
  <c r="H8" i="24" s="1"/>
  <c r="G29" i="24"/>
  <c r="M8" i="22"/>
  <c r="M8" i="24" s="1"/>
  <c r="L20" i="30"/>
  <c r="L22" i="30"/>
  <c r="F27" i="30"/>
  <c r="D8" i="18"/>
  <c r="B14" i="27"/>
  <c r="F8" i="39"/>
  <c r="H8" i="42"/>
  <c r="L8" i="42"/>
  <c r="J14" i="21"/>
  <c r="I16" i="21"/>
  <c r="K21" i="27"/>
  <c r="D18" i="30"/>
  <c r="G25" i="33"/>
  <c r="M25" i="33"/>
  <c r="B21" i="33"/>
  <c r="B17" i="42"/>
  <c r="C8" i="27"/>
  <c r="B12" i="42"/>
  <c r="K16" i="18"/>
  <c r="K19" i="18"/>
  <c r="B22" i="17"/>
  <c r="B22" i="18" s="1"/>
  <c r="E25" i="18"/>
  <c r="N22" i="21"/>
  <c r="H29" i="21"/>
  <c r="N29" i="21"/>
  <c r="M33" i="21"/>
  <c r="G35" i="21"/>
  <c r="G23" i="24"/>
  <c r="I30" i="24"/>
  <c r="F33" i="36"/>
  <c r="L19" i="36"/>
  <c r="G28" i="33"/>
  <c r="B32" i="31"/>
  <c r="B32" i="33" s="1"/>
  <c r="C12" i="33"/>
  <c r="I18" i="33"/>
  <c r="B20" i="32"/>
  <c r="C23" i="33"/>
  <c r="I32" i="33"/>
  <c r="B36" i="37"/>
  <c r="B36" i="39" s="1"/>
  <c r="I22" i="39"/>
  <c r="M8" i="16"/>
  <c r="I15" i="18"/>
  <c r="C8" i="16"/>
  <c r="B32" i="16"/>
  <c r="B33" i="16"/>
  <c r="B26" i="17"/>
  <c r="I26" i="18"/>
  <c r="C27" i="18"/>
  <c r="I27" i="18"/>
  <c r="I28" i="18"/>
  <c r="H37" i="18"/>
  <c r="D16" i="21"/>
  <c r="B25" i="19"/>
  <c r="M30" i="21"/>
  <c r="B31" i="19"/>
  <c r="E11" i="21"/>
  <c r="E13" i="21"/>
  <c r="H32" i="21"/>
  <c r="H36" i="21"/>
  <c r="N37" i="21"/>
  <c r="M20" i="24"/>
  <c r="M24" i="24"/>
  <c r="G25" i="24"/>
  <c r="I37" i="24"/>
  <c r="N31" i="24"/>
  <c r="N34" i="24"/>
  <c r="K14" i="27"/>
  <c r="E15" i="27"/>
  <c r="G28" i="27"/>
  <c r="F9" i="30"/>
  <c r="K30" i="30"/>
  <c r="K32" i="30"/>
  <c r="K22" i="30"/>
  <c r="H25" i="33"/>
  <c r="G23" i="36"/>
  <c r="M23" i="36"/>
  <c r="M25" i="36"/>
  <c r="E33" i="36"/>
  <c r="B35" i="35"/>
  <c r="C37" i="39"/>
  <c r="F9" i="18"/>
  <c r="L9" i="18"/>
  <c r="L19" i="18"/>
  <c r="L22" i="18"/>
  <c r="L23" i="18"/>
  <c r="L15" i="21"/>
  <c r="F16" i="21"/>
  <c r="J22" i="21"/>
  <c r="N23" i="21"/>
  <c r="M35" i="21"/>
  <c r="M36" i="21"/>
  <c r="B13" i="20"/>
  <c r="F18" i="21"/>
  <c r="K19" i="21"/>
  <c r="K22" i="21"/>
  <c r="K23" i="21"/>
  <c r="K27" i="21"/>
  <c r="E28" i="21"/>
  <c r="D34" i="21"/>
  <c r="C24" i="24"/>
  <c r="I24" i="24"/>
  <c r="G27" i="24"/>
  <c r="M14" i="27"/>
  <c r="K18" i="27"/>
  <c r="N10" i="27"/>
  <c r="H12" i="27"/>
  <c r="H13" i="27"/>
  <c r="H14" i="27"/>
  <c r="N15" i="27"/>
  <c r="H18" i="27"/>
  <c r="N18" i="27"/>
  <c r="H19" i="27"/>
  <c r="N19" i="27"/>
  <c r="B20" i="26"/>
  <c r="H21" i="27"/>
  <c r="H23" i="27"/>
  <c r="N23" i="27"/>
  <c r="N26" i="27"/>
  <c r="H27" i="27"/>
  <c r="N29" i="27"/>
  <c r="H32" i="27"/>
  <c r="H34" i="27"/>
  <c r="N35" i="27"/>
  <c r="H36" i="27"/>
  <c r="G24" i="30"/>
  <c r="G27" i="30"/>
  <c r="B28" i="29"/>
  <c r="B28" i="30" s="1"/>
  <c r="L30" i="30"/>
  <c r="F31" i="30"/>
  <c r="B22" i="31"/>
  <c r="B22" i="33" s="1"/>
  <c r="J19" i="33"/>
  <c r="J22" i="33"/>
  <c r="B24" i="34"/>
  <c r="B24" i="36" s="1"/>
  <c r="B26" i="34"/>
  <c r="I19" i="36"/>
  <c r="L21" i="39"/>
  <c r="F28" i="39"/>
  <c r="L28" i="39"/>
  <c r="F30" i="39"/>
  <c r="F31" i="39"/>
  <c r="L31" i="39"/>
  <c r="F32" i="39"/>
  <c r="L32" i="39"/>
  <c r="C21" i="42"/>
  <c r="L30" i="42"/>
  <c r="I16" i="18"/>
  <c r="I18" i="18"/>
  <c r="M35" i="18"/>
  <c r="M36" i="18"/>
  <c r="M37" i="18"/>
  <c r="M15" i="18"/>
  <c r="K33" i="18"/>
  <c r="J9" i="21"/>
  <c r="L11" i="21"/>
  <c r="D13" i="21"/>
  <c r="H13" i="21"/>
  <c r="L19" i="21"/>
  <c r="F22" i="21"/>
  <c r="L22" i="21"/>
  <c r="K31" i="21"/>
  <c r="E35" i="21"/>
  <c r="K35" i="21"/>
  <c r="B9" i="22"/>
  <c r="M18" i="24"/>
  <c r="E19" i="27"/>
  <c r="K25" i="27"/>
  <c r="K33" i="27"/>
  <c r="B36" i="25"/>
  <c r="B36" i="27" s="1"/>
  <c r="F20" i="30"/>
  <c r="D23" i="30"/>
  <c r="N15" i="30"/>
  <c r="N16" i="30"/>
  <c r="N23" i="30"/>
  <c r="H26" i="30"/>
  <c r="G23" i="33"/>
  <c r="B20" i="34"/>
  <c r="N23" i="36"/>
  <c r="B35" i="34"/>
  <c r="D22" i="36"/>
  <c r="G10" i="39"/>
  <c r="K17" i="39"/>
  <c r="G15" i="39"/>
  <c r="M22" i="39"/>
  <c r="M27" i="39"/>
  <c r="C15" i="18"/>
  <c r="B16" i="16"/>
  <c r="N26" i="18"/>
  <c r="H27" i="18"/>
  <c r="L29" i="18"/>
  <c r="N20" i="18"/>
  <c r="N23" i="18"/>
  <c r="H24" i="18"/>
  <c r="F35" i="18"/>
  <c r="N19" i="21"/>
  <c r="H20" i="21"/>
  <c r="H21" i="21"/>
  <c r="N21" i="21"/>
  <c r="J23" i="21"/>
  <c r="I36" i="21"/>
  <c r="I37" i="21"/>
  <c r="C9" i="21"/>
  <c r="C10" i="21"/>
  <c r="B12" i="20"/>
  <c r="M23" i="21"/>
  <c r="G25" i="21"/>
  <c r="M25" i="21"/>
  <c r="G26" i="21"/>
  <c r="F32" i="21"/>
  <c r="L34" i="21"/>
  <c r="I15" i="24"/>
  <c r="C16" i="24"/>
  <c r="I33" i="24"/>
  <c r="G35" i="24"/>
  <c r="G37" i="24"/>
  <c r="M37" i="24"/>
  <c r="M9" i="24"/>
  <c r="L10" i="24"/>
  <c r="K20" i="27"/>
  <c r="E21" i="27"/>
  <c r="B34" i="25"/>
  <c r="E35" i="27"/>
  <c r="D11" i="30"/>
  <c r="D24" i="30"/>
  <c r="I9" i="30"/>
  <c r="I10" i="30"/>
  <c r="I11" i="30"/>
  <c r="M24" i="33"/>
  <c r="F26" i="33"/>
  <c r="F31" i="33"/>
  <c r="B34" i="34"/>
  <c r="C30" i="36"/>
  <c r="E25" i="39"/>
  <c r="K25" i="39"/>
  <c r="J37" i="39"/>
  <c r="N13" i="39"/>
  <c r="H23" i="39"/>
  <c r="N23" i="39"/>
  <c r="N24" i="39"/>
  <c r="H25" i="39"/>
  <c r="H26" i="39"/>
  <c r="H27" i="39"/>
  <c r="C28" i="18"/>
  <c r="M6" i="111"/>
  <c r="C29" i="45"/>
  <c r="M9" i="18"/>
  <c r="B8" i="32"/>
  <c r="I8" i="22"/>
  <c r="I8" i="24" s="1"/>
  <c r="G8" i="22"/>
  <c r="G8" i="24" s="1"/>
  <c r="K8" i="21"/>
  <c r="F8" i="27"/>
  <c r="D8" i="22"/>
  <c r="D8" i="24" s="1"/>
  <c r="B15" i="42"/>
  <c r="B32" i="34"/>
  <c r="N8" i="27"/>
  <c r="B29" i="22"/>
  <c r="D18" i="24"/>
  <c r="J8" i="31"/>
  <c r="J8" i="33" s="1"/>
  <c r="B30" i="19"/>
  <c r="B24" i="42"/>
  <c r="M8" i="20"/>
  <c r="C6" i="11"/>
  <c r="B9" i="16"/>
  <c r="C26" i="18"/>
  <c r="D8" i="29"/>
  <c r="D9" i="30"/>
  <c r="L20" i="18"/>
  <c r="B8" i="110"/>
  <c r="B8" i="23"/>
  <c r="M8" i="42"/>
  <c r="B8" i="26"/>
  <c r="F8" i="34"/>
  <c r="F8" i="36" s="1"/>
  <c r="B19" i="16"/>
  <c r="B22" i="27"/>
  <c r="G32" i="21"/>
  <c r="B36" i="19"/>
  <c r="M8" i="27"/>
  <c r="F8" i="16"/>
  <c r="K8" i="42"/>
  <c r="G18" i="18"/>
  <c r="M19" i="18"/>
  <c r="L28" i="18"/>
  <c r="E25" i="21"/>
  <c r="N37" i="27"/>
  <c r="F35" i="39"/>
  <c r="B35" i="38"/>
  <c r="B35" i="39" s="1"/>
  <c r="B28" i="22"/>
  <c r="E6" i="110"/>
  <c r="B32" i="20"/>
  <c r="E8" i="19"/>
  <c r="B37" i="19"/>
  <c r="N32" i="18"/>
  <c r="N8" i="16"/>
  <c r="N8" i="18" s="1"/>
  <c r="G6" i="11"/>
  <c r="G8" i="42"/>
  <c r="B28" i="17"/>
  <c r="B36" i="42"/>
  <c r="C8" i="22"/>
  <c r="D8" i="28"/>
  <c r="B33" i="20"/>
  <c r="N11" i="18"/>
  <c r="N17" i="18"/>
  <c r="L35" i="18"/>
  <c r="C8" i="17"/>
  <c r="B33" i="36"/>
  <c r="B29" i="45"/>
  <c r="B8" i="38"/>
  <c r="B28" i="16"/>
  <c r="F8" i="21"/>
  <c r="L8" i="27"/>
  <c r="N8" i="39"/>
  <c r="M8" i="30"/>
  <c r="F8" i="24"/>
  <c r="B22" i="39"/>
  <c r="G35" i="18"/>
  <c r="M27" i="21"/>
  <c r="L14" i="24"/>
  <c r="C13" i="18"/>
  <c r="C19" i="15"/>
  <c r="I10" i="21"/>
  <c r="B26" i="19"/>
  <c r="N30" i="21"/>
  <c r="F36" i="21"/>
  <c r="L8" i="22"/>
  <c r="L8" i="24" s="1"/>
  <c r="M33" i="24"/>
  <c r="G36" i="24"/>
  <c r="B37" i="31"/>
  <c r="B17" i="32"/>
  <c r="AD14" i="56"/>
  <c r="K17" i="18"/>
  <c r="N36" i="18"/>
  <c r="G22" i="18"/>
  <c r="I33" i="18"/>
  <c r="D24" i="21"/>
  <c r="E26" i="21"/>
  <c r="D27" i="21"/>
  <c r="C31" i="21"/>
  <c r="N35" i="21"/>
  <c r="B13" i="22"/>
  <c r="B13" i="24" s="1"/>
  <c r="B37" i="22"/>
  <c r="H22" i="24"/>
  <c r="H25" i="24"/>
  <c r="H29" i="24"/>
  <c r="N35" i="24"/>
  <c r="K31" i="30"/>
  <c r="B15" i="31"/>
  <c r="B16" i="31"/>
  <c r="D30" i="36"/>
  <c r="J30" i="36"/>
  <c r="AD34" i="56"/>
  <c r="AL6" i="56"/>
  <c r="E18" i="18"/>
  <c r="F23" i="18"/>
  <c r="J28" i="18"/>
  <c r="N14" i="18"/>
  <c r="M25" i="18"/>
  <c r="J32" i="18"/>
  <c r="M14" i="21"/>
  <c r="J24" i="21"/>
  <c r="K26" i="21"/>
  <c r="D28" i="21"/>
  <c r="N31" i="21"/>
  <c r="L8" i="20"/>
  <c r="L8" i="21" s="1"/>
  <c r="C18" i="21"/>
  <c r="B14" i="22"/>
  <c r="B19" i="22"/>
  <c r="B19" i="24" s="1"/>
  <c r="B25" i="22"/>
  <c r="B25" i="24" s="1"/>
  <c r="G25" i="30"/>
  <c r="F29" i="30"/>
  <c r="K12" i="18"/>
  <c r="E20" i="18"/>
  <c r="F28" i="18"/>
  <c r="K28" i="18"/>
  <c r="E29" i="18"/>
  <c r="H32" i="18"/>
  <c r="C11" i="18"/>
  <c r="G26" i="18"/>
  <c r="B12" i="19"/>
  <c r="N13" i="21"/>
  <c r="H15" i="21"/>
  <c r="G16" i="21"/>
  <c r="F17" i="21"/>
  <c r="L18" i="21"/>
  <c r="K24" i="21"/>
  <c r="L27" i="21"/>
  <c r="I29" i="21"/>
  <c r="E31" i="21"/>
  <c r="C32" i="21"/>
  <c r="M12" i="21"/>
  <c r="N27" i="21"/>
  <c r="B37" i="20"/>
  <c r="C23" i="24"/>
  <c r="J15" i="24"/>
  <c r="J20" i="24"/>
  <c r="N17" i="27"/>
  <c r="N13" i="30"/>
  <c r="N18" i="30"/>
  <c r="H19" i="30"/>
  <c r="L30" i="33"/>
  <c r="L8" i="34"/>
  <c r="L8" i="36" s="1"/>
  <c r="D28" i="42"/>
  <c r="J28" i="42"/>
  <c r="G32" i="42"/>
  <c r="M32" i="42"/>
  <c r="D35" i="42"/>
  <c r="DJ9" i="56"/>
  <c r="G29" i="18"/>
  <c r="G14" i="18"/>
  <c r="N16" i="18"/>
  <c r="J27" i="18"/>
  <c r="D32" i="18"/>
  <c r="N34" i="18"/>
  <c r="F31" i="18"/>
  <c r="F32" i="18"/>
  <c r="F33" i="18"/>
  <c r="D8" i="19"/>
  <c r="D8" i="21" s="1"/>
  <c r="I9" i="21"/>
  <c r="B14" i="19"/>
  <c r="C15" i="21"/>
  <c r="I15" i="21"/>
  <c r="M16" i="21"/>
  <c r="G17" i="21"/>
  <c r="M17" i="21"/>
  <c r="G27" i="21"/>
  <c r="K28" i="21"/>
  <c r="J29" i="21"/>
  <c r="D32" i="21"/>
  <c r="E36" i="21"/>
  <c r="H12" i="21"/>
  <c r="J20" i="21"/>
  <c r="I27" i="21"/>
  <c r="I28" i="21"/>
  <c r="G31" i="21"/>
  <c r="J35" i="21"/>
  <c r="D36" i="21"/>
  <c r="J8" i="22"/>
  <c r="J8" i="24" s="1"/>
  <c r="B27" i="22"/>
  <c r="B27" i="24" s="1"/>
  <c r="H32" i="24"/>
  <c r="B23" i="25"/>
  <c r="B23" i="27" s="1"/>
  <c r="C23" i="27"/>
  <c r="N24" i="27"/>
  <c r="N36" i="27"/>
  <c r="M33" i="27"/>
  <c r="B18" i="28"/>
  <c r="B18" i="30" s="1"/>
  <c r="B34" i="28"/>
  <c r="B13" i="29"/>
  <c r="B13" i="30" s="1"/>
  <c r="G8" i="34"/>
  <c r="B36" i="34"/>
  <c r="C8" i="35"/>
  <c r="C8" i="36" s="1"/>
  <c r="B11" i="35"/>
  <c r="B22" i="35"/>
  <c r="D16" i="42"/>
  <c r="M26" i="42"/>
  <c r="E30" i="42"/>
  <c r="K35" i="42"/>
  <c r="K6" i="110"/>
  <c r="L6" i="111"/>
  <c r="CD6" i="56"/>
  <c r="N37" i="24"/>
  <c r="G12" i="24"/>
  <c r="E19" i="24"/>
  <c r="D28" i="24"/>
  <c r="J28" i="24"/>
  <c r="I8" i="25"/>
  <c r="I8" i="27" s="1"/>
  <c r="G8" i="25"/>
  <c r="G8" i="27" s="1"/>
  <c r="G15" i="27"/>
  <c r="B15" i="26"/>
  <c r="B15" i="27" s="1"/>
  <c r="B16" i="26"/>
  <c r="B16" i="27" s="1"/>
  <c r="I30" i="27"/>
  <c r="C31" i="27"/>
  <c r="H15" i="30"/>
  <c r="G26" i="30"/>
  <c r="J10" i="30"/>
  <c r="J14" i="30"/>
  <c r="J15" i="30"/>
  <c r="B14" i="31"/>
  <c r="I21" i="33"/>
  <c r="B33" i="31"/>
  <c r="B33" i="33" s="1"/>
  <c r="K18" i="33"/>
  <c r="C26" i="33"/>
  <c r="H30" i="33"/>
  <c r="H33" i="33"/>
  <c r="N8" i="34"/>
  <c r="N8" i="36" s="1"/>
  <c r="B23" i="34"/>
  <c r="N25" i="36"/>
  <c r="H27" i="36"/>
  <c r="D8" i="37"/>
  <c r="D8" i="39" s="1"/>
  <c r="J8" i="37"/>
  <c r="J8" i="39" s="1"/>
  <c r="D23" i="39"/>
  <c r="J23" i="39"/>
  <c r="M33" i="39"/>
  <c r="H27" i="42"/>
  <c r="J29" i="42"/>
  <c r="H32" i="42"/>
  <c r="BT13" i="56"/>
  <c r="AD15" i="56"/>
  <c r="AD17" i="56"/>
  <c r="AD21" i="56"/>
  <c r="AD22" i="56"/>
  <c r="AD23" i="56"/>
  <c r="AD24" i="56"/>
  <c r="BT32" i="56"/>
  <c r="B16" i="110"/>
  <c r="M6" i="110"/>
  <c r="K6" i="112"/>
  <c r="D8" i="40"/>
  <c r="B12" i="45"/>
  <c r="I9" i="24"/>
  <c r="G16" i="24"/>
  <c r="M16" i="24"/>
  <c r="J34" i="24"/>
  <c r="M22" i="27"/>
  <c r="N28" i="27"/>
  <c r="J20" i="27"/>
  <c r="J25" i="27"/>
  <c r="J27" i="27"/>
  <c r="J28" i="27"/>
  <c r="N20" i="30"/>
  <c r="M29" i="30"/>
  <c r="G30" i="30"/>
  <c r="D26" i="30"/>
  <c r="J26" i="30"/>
  <c r="I30" i="30"/>
  <c r="G31" i="33"/>
  <c r="L21" i="33"/>
  <c r="F24" i="33"/>
  <c r="K25" i="33"/>
  <c r="B34" i="32"/>
  <c r="B36" i="32"/>
  <c r="B11" i="34"/>
  <c r="B13" i="34"/>
  <c r="B14" i="34"/>
  <c r="B15" i="34"/>
  <c r="B16" i="34"/>
  <c r="B17" i="34"/>
  <c r="B18" i="34"/>
  <c r="B25" i="34"/>
  <c r="B25" i="36" s="1"/>
  <c r="B26" i="35"/>
  <c r="C27" i="36"/>
  <c r="I29" i="36"/>
  <c r="E8" i="37"/>
  <c r="E8" i="39" s="1"/>
  <c r="K8" i="37"/>
  <c r="K8" i="39" s="1"/>
  <c r="N22" i="39"/>
  <c r="I17" i="39"/>
  <c r="N21" i="39"/>
  <c r="G22" i="39"/>
  <c r="K23" i="39"/>
  <c r="K17" i="42"/>
  <c r="K24" i="42"/>
  <c r="AD9" i="56"/>
  <c r="BT15" i="56"/>
  <c r="BT18" i="56"/>
  <c r="BT24" i="56"/>
  <c r="BT33" i="56"/>
  <c r="D6" i="110"/>
  <c r="B8" i="111"/>
  <c r="AH6" i="56"/>
  <c r="AN6" i="56"/>
  <c r="CA6" i="56"/>
  <c r="DO6" i="56"/>
  <c r="C6" i="14"/>
  <c r="B19" i="45"/>
  <c r="B12" i="51"/>
  <c r="I14" i="24"/>
  <c r="F23" i="24"/>
  <c r="F26" i="24"/>
  <c r="L27" i="24"/>
  <c r="E35" i="24"/>
  <c r="G11" i="27"/>
  <c r="M16" i="27"/>
  <c r="N32" i="27"/>
  <c r="E22" i="27"/>
  <c r="K29" i="27"/>
  <c r="K34" i="27"/>
  <c r="G9" i="30"/>
  <c r="F8" i="29"/>
  <c r="F8" i="30" s="1"/>
  <c r="F17" i="30"/>
  <c r="L18" i="30"/>
  <c r="B19" i="29"/>
  <c r="B19" i="30" s="1"/>
  <c r="L19" i="30"/>
  <c r="K24" i="30"/>
  <c r="K25" i="30"/>
  <c r="C32" i="30"/>
  <c r="B34" i="29"/>
  <c r="B35" i="29"/>
  <c r="B36" i="29"/>
  <c r="B37" i="29"/>
  <c r="M8" i="31"/>
  <c r="M8" i="33" s="1"/>
  <c r="C24" i="33"/>
  <c r="M32" i="33"/>
  <c r="B15" i="32"/>
  <c r="G22" i="33"/>
  <c r="D33" i="33"/>
  <c r="B37" i="34"/>
  <c r="G8" i="35"/>
  <c r="H32" i="36"/>
  <c r="H24" i="39"/>
  <c r="K28" i="39"/>
  <c r="K31" i="39"/>
  <c r="J17" i="39"/>
  <c r="L13" i="42"/>
  <c r="B28" i="41"/>
  <c r="B28" i="42" s="1"/>
  <c r="DJ30" i="56"/>
  <c r="J6" i="111"/>
  <c r="D6" i="111"/>
  <c r="B34" i="111"/>
  <c r="E6" i="112"/>
  <c r="J6" i="112"/>
  <c r="M6" i="112"/>
  <c r="BF6" i="56"/>
  <c r="DR6" i="56"/>
  <c r="B10" i="45"/>
  <c r="J14" i="24"/>
  <c r="N20" i="24"/>
  <c r="M25" i="24"/>
  <c r="M29" i="24"/>
  <c r="G18" i="27"/>
  <c r="G21" i="27"/>
  <c r="N25" i="27"/>
  <c r="L21" i="27"/>
  <c r="F31" i="27"/>
  <c r="N24" i="30"/>
  <c r="B27" i="28"/>
  <c r="B27" i="30" s="1"/>
  <c r="M16" i="30"/>
  <c r="L23" i="30"/>
  <c r="L24" i="30"/>
  <c r="F25" i="30"/>
  <c r="L25" i="30"/>
  <c r="L26" i="30"/>
  <c r="L28" i="33"/>
  <c r="H12" i="33"/>
  <c r="H21" i="33"/>
  <c r="E29" i="33"/>
  <c r="E32" i="33"/>
  <c r="B35" i="32"/>
  <c r="K8" i="34"/>
  <c r="K8" i="36" s="1"/>
  <c r="B21" i="34"/>
  <c r="B22" i="34"/>
  <c r="J33" i="36"/>
  <c r="N33" i="36"/>
  <c r="M8" i="37"/>
  <c r="M8" i="39" s="1"/>
  <c r="L30" i="39"/>
  <c r="K16" i="39"/>
  <c r="L27" i="39"/>
  <c r="J28" i="39"/>
  <c r="K11" i="42"/>
  <c r="H20" i="42"/>
  <c r="M20" i="42"/>
  <c r="F31" i="42"/>
  <c r="L37" i="42"/>
  <c r="AD12" i="56"/>
  <c r="DJ20" i="56"/>
  <c r="E6" i="111"/>
  <c r="B25" i="111"/>
  <c r="H6" i="112"/>
  <c r="CC6" i="56"/>
  <c r="B17" i="51"/>
  <c r="H6" i="6"/>
  <c r="I8" i="36"/>
  <c r="L8" i="33"/>
  <c r="B29" i="17"/>
  <c r="M21" i="24"/>
  <c r="E32" i="24"/>
  <c r="K33" i="24"/>
  <c r="L31" i="24"/>
  <c r="F33" i="24"/>
  <c r="E29" i="24"/>
  <c r="B34" i="16"/>
  <c r="N30" i="24"/>
  <c r="E8" i="25"/>
  <c r="H28" i="24"/>
  <c r="I32" i="24"/>
  <c r="B19" i="25"/>
  <c r="B19" i="27" s="1"/>
  <c r="F28" i="36"/>
  <c r="L28" i="36"/>
  <c r="G11" i="39"/>
  <c r="F12" i="39"/>
  <c r="J18" i="30"/>
  <c r="G27" i="33"/>
  <c r="B17" i="35"/>
  <c r="G28" i="36"/>
  <c r="N10" i="39"/>
  <c r="N29" i="39"/>
  <c r="E26" i="33"/>
  <c r="N8" i="29"/>
  <c r="N8" i="30" s="1"/>
  <c r="B12" i="31"/>
  <c r="B12" i="33" s="1"/>
  <c r="M8" i="34"/>
  <c r="M8" i="36" s="1"/>
  <c r="K19" i="36"/>
  <c r="H23" i="36"/>
  <c r="B34" i="37"/>
  <c r="E19" i="39"/>
  <c r="K19" i="39"/>
  <c r="B27" i="38"/>
  <c r="B27" i="39" s="1"/>
  <c r="J29" i="39"/>
  <c r="C13" i="30"/>
  <c r="K33" i="33"/>
  <c r="D29" i="36"/>
  <c r="L18" i="39"/>
  <c r="D26" i="42"/>
  <c r="B26" i="41"/>
  <c r="B26" i="42" s="1"/>
  <c r="N32" i="33"/>
  <c r="K28" i="36"/>
  <c r="M19" i="39"/>
  <c r="BT8" i="56"/>
  <c r="V38" i="5"/>
  <c r="BT6" i="56" l="1"/>
  <c r="B25" i="18"/>
  <c r="F8" i="18"/>
  <c r="B10" i="18"/>
  <c r="B19" i="18"/>
  <c r="B33" i="18"/>
  <c r="B32" i="18"/>
  <c r="B31" i="18"/>
  <c r="B29" i="18"/>
  <c r="B20" i="18"/>
  <c r="B29" i="21"/>
  <c r="B23" i="21"/>
  <c r="B26" i="33"/>
  <c r="B13" i="27"/>
  <c r="B15" i="18"/>
  <c r="B16" i="18"/>
  <c r="B26" i="36"/>
  <c r="B37" i="24"/>
  <c r="B34" i="27"/>
  <c r="B14" i="24"/>
  <c r="B11" i="30"/>
  <c r="B32" i="36"/>
  <c r="B29" i="24"/>
  <c r="B9" i="24"/>
  <c r="B35" i="27"/>
  <c r="B37" i="27"/>
  <c r="B9" i="21"/>
  <c r="B11" i="24"/>
  <c r="B22" i="30"/>
  <c r="B31" i="24"/>
  <c r="B28" i="24"/>
  <c r="B31" i="21"/>
  <c r="B34" i="21"/>
  <c r="B23" i="36"/>
  <c r="B14" i="21"/>
  <c r="E8" i="21"/>
  <c r="B20" i="27"/>
  <c r="B31" i="30"/>
  <c r="B24" i="27"/>
  <c r="B30" i="21"/>
  <c r="B16" i="24"/>
  <c r="B16" i="21"/>
  <c r="B14" i="18"/>
  <c r="B28" i="27"/>
  <c r="B11" i="21"/>
  <c r="B26" i="24"/>
  <c r="B28" i="21"/>
  <c r="B25" i="30"/>
  <c r="B15" i="30"/>
  <c r="B31" i="27"/>
  <c r="B18" i="24"/>
  <c r="B33" i="24"/>
  <c r="B20" i="24"/>
  <c r="B24" i="24"/>
  <c r="B35" i="21"/>
  <c r="B36" i="21"/>
  <c r="B26" i="21"/>
  <c r="B19" i="21"/>
  <c r="B22" i="21"/>
  <c r="B32" i="21"/>
  <c r="B10" i="21"/>
  <c r="B13" i="21"/>
  <c r="B27" i="21"/>
  <c r="M8" i="18"/>
  <c r="B37" i="18"/>
  <c r="B36" i="18"/>
  <c r="B34" i="18"/>
  <c r="B24" i="18"/>
  <c r="E8" i="18"/>
  <c r="L8" i="18"/>
  <c r="DJ6" i="56"/>
  <c r="B17" i="21"/>
  <c r="B9" i="30"/>
  <c r="B13" i="18"/>
  <c r="B12" i="30"/>
  <c r="B15" i="21"/>
  <c r="B22" i="24"/>
  <c r="B32" i="24"/>
  <c r="G8" i="18"/>
  <c r="B35" i="18"/>
  <c r="B20" i="21"/>
  <c r="B6" i="112"/>
  <c r="B6" i="111"/>
  <c r="B6" i="110"/>
  <c r="B33" i="21"/>
  <c r="K8" i="18"/>
  <c r="B26" i="30"/>
  <c r="M8" i="21"/>
  <c r="B26" i="18"/>
  <c r="B9" i="18"/>
  <c r="B12" i="18"/>
  <c r="B8" i="28"/>
  <c r="B25" i="21"/>
  <c r="B30" i="36"/>
  <c r="B9" i="27"/>
  <c r="B21" i="18"/>
  <c r="B27" i="18"/>
  <c r="B8" i="31"/>
  <c r="B8" i="33" s="1"/>
  <c r="B31" i="36"/>
  <c r="AD6" i="56"/>
  <c r="B12" i="21"/>
  <c r="B28" i="18"/>
  <c r="B8" i="34"/>
  <c r="G8" i="36"/>
  <c r="B8" i="19"/>
  <c r="B8" i="35"/>
  <c r="C8" i="18"/>
  <c r="B8" i="17"/>
  <c r="B8" i="40"/>
  <c r="B8" i="42" s="1"/>
  <c r="D8" i="42"/>
  <c r="B37" i="21"/>
  <c r="B8" i="16"/>
  <c r="B22" i="36"/>
  <c r="B8" i="22"/>
  <c r="B8" i="24" s="1"/>
  <c r="B8" i="20"/>
  <c r="D8" i="30"/>
  <c r="C8" i="24"/>
  <c r="B8" i="25"/>
  <c r="B8" i="27" s="1"/>
  <c r="E8" i="27"/>
  <c r="B8" i="37"/>
  <c r="B8" i="39" s="1"/>
  <c r="B34" i="39"/>
  <c r="B8" i="29"/>
  <c r="B8" i="30" l="1"/>
  <c r="B8" i="36"/>
  <c r="B8" i="18"/>
  <c r="B8" i="21"/>
</calcChain>
</file>

<file path=xl/sharedStrings.xml><?xml version="1.0" encoding="utf-8"?>
<sst xmlns="http://schemas.openxmlformats.org/spreadsheetml/2006/main" count="10149" uniqueCount="638">
  <si>
    <t>2000</t>
  </si>
  <si>
    <t>2001</t>
  </si>
  <si>
    <t>2002</t>
  </si>
  <si>
    <t>Subsector pecuario</t>
  </si>
  <si>
    <t xml:space="preserve">    Ave</t>
  </si>
  <si>
    <t>Ovino</t>
  </si>
  <si>
    <t>Porcino</t>
  </si>
  <si>
    <t>Vacuno</t>
  </si>
  <si>
    <t>Caprino</t>
  </si>
  <si>
    <t>Alpaca</t>
  </si>
  <si>
    <t>Llama</t>
  </si>
  <si>
    <t>Fibra Alpaca</t>
  </si>
  <si>
    <t>Fibra Llama</t>
  </si>
  <si>
    <t>Lana</t>
  </si>
  <si>
    <t>Ovino 1/</t>
  </si>
  <si>
    <t>Vacuno 1/</t>
  </si>
  <si>
    <t>Huevo</t>
  </si>
  <si>
    <t>Especie / Producto</t>
  </si>
  <si>
    <t>Región</t>
  </si>
  <si>
    <t>Ave</t>
  </si>
  <si>
    <t>LLama</t>
  </si>
  <si>
    <t>Tumbes</t>
  </si>
  <si>
    <t>Piura</t>
  </si>
  <si>
    <t>Lambayeque</t>
  </si>
  <si>
    <t>La Libertad</t>
  </si>
  <si>
    <t>Cajamarca</t>
  </si>
  <si>
    <t xml:space="preserve">    Cajamarca</t>
  </si>
  <si>
    <t xml:space="preserve">    Chota</t>
  </si>
  <si>
    <t xml:space="preserve">    Jaén</t>
  </si>
  <si>
    <t>Amazonas</t>
  </si>
  <si>
    <t>Ancash</t>
  </si>
  <si>
    <t>Lima</t>
  </si>
  <si>
    <t>Ica</t>
  </si>
  <si>
    <t>Huánuco</t>
  </si>
  <si>
    <t>Pasco</t>
  </si>
  <si>
    <t>Junín</t>
  </si>
  <si>
    <t>Huancavelica</t>
  </si>
  <si>
    <t>Arequipa</t>
  </si>
  <si>
    <t>Moquegua</t>
  </si>
  <si>
    <t>Tacna</t>
  </si>
  <si>
    <t>Ayacucho</t>
  </si>
  <si>
    <t>Apurímac</t>
  </si>
  <si>
    <t xml:space="preserve">    Abancay</t>
  </si>
  <si>
    <t xml:space="preserve">    Andahuaylas</t>
  </si>
  <si>
    <t>Cusco</t>
  </si>
  <si>
    <t>Puno</t>
  </si>
  <si>
    <t>San Martín</t>
  </si>
  <si>
    <t>Loreto</t>
  </si>
  <si>
    <t>Ucayali</t>
  </si>
  <si>
    <t>Madre de Dios</t>
  </si>
  <si>
    <t>-</t>
  </si>
  <si>
    <t>Población (Miles)</t>
  </si>
  <si>
    <t xml:space="preserve"> 1/  Precio en chacra de animales en  pie.</t>
  </si>
  <si>
    <t>Variable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</si>
  <si>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</si>
  <si>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</si>
  <si>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</si>
  <si>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</si>
  <si>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</si>
  <si>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</si>
  <si>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</si>
  <si>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</si>
  <si>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</si>
  <si>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</si>
  <si>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</si>
  <si>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</si>
  <si>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</si>
  <si>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Ave </t>
  </si>
  <si>
    <t xml:space="preserve">Porcino </t>
  </si>
  <si>
    <t xml:space="preserve">Vacuno </t>
  </si>
  <si>
    <t xml:space="preserve">Caprino </t>
  </si>
  <si>
    <t xml:space="preserve">Alpaca </t>
  </si>
  <si>
    <t xml:space="preserve">Llama </t>
  </si>
  <si>
    <t>Alpacas esquiladas</t>
  </si>
  <si>
    <t>Lana ovino</t>
  </si>
  <si>
    <t xml:space="preserve"> -</t>
  </si>
  <si>
    <t>Vacas en Ordeño</t>
  </si>
  <si>
    <t>Producto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</si>
  <si>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</si>
  <si>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</si>
  <si>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</si>
  <si>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</si>
  <si>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</si>
  <si>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</si>
  <si>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</si>
  <si>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</si>
  <si>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</si>
  <si>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</si>
  <si>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</si>
  <si>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</si>
  <si>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Nacional</t>
  </si>
  <si>
    <t xml:space="preserve">   Cajamarca</t>
  </si>
  <si>
    <t xml:space="preserve">   Chota</t>
  </si>
  <si>
    <t xml:space="preserve">   Jaén</t>
  </si>
  <si>
    <t xml:space="preserve">   Abancay</t>
  </si>
  <si>
    <t xml:space="preserve">   Andahuaylas</t>
  </si>
  <si>
    <t>Total Nacional</t>
  </si>
  <si>
    <t xml:space="preserve">     Cajamarca</t>
  </si>
  <si>
    <t xml:space="preserve">     Chota</t>
  </si>
  <si>
    <t xml:space="preserve">     Jaén</t>
  </si>
  <si>
    <t xml:space="preserve">     Abancay</t>
  </si>
  <si>
    <t xml:space="preserve">     Andahuaylas</t>
  </si>
  <si>
    <t>San  Martín</t>
  </si>
  <si>
    <t>Promedio</t>
  </si>
  <si>
    <t>Especie</t>
  </si>
  <si>
    <t>Unidades</t>
  </si>
  <si>
    <t>Ene-Dic</t>
  </si>
  <si>
    <t xml:space="preserve">Total Nacional </t>
  </si>
  <si>
    <t xml:space="preserve">Promedio Nacional </t>
  </si>
  <si>
    <t>Total</t>
  </si>
  <si>
    <t>Mes</t>
  </si>
  <si>
    <t>Año</t>
  </si>
  <si>
    <t>Pavo</t>
  </si>
  <si>
    <t>Cuadro     87    .  Perú:Abastecimiento de carne y</t>
  </si>
  <si>
    <t>Carnes</t>
  </si>
  <si>
    <t>Pesca-</t>
  </si>
  <si>
    <t>do 2/</t>
  </si>
  <si>
    <t>Pollo</t>
  </si>
  <si>
    <t>Fuente:MINAG-DGIA.</t>
  </si>
  <si>
    <t xml:space="preserve">     2/Ministerio de Pesquería</t>
  </si>
  <si>
    <t>Leche</t>
  </si>
  <si>
    <t>Polvo</t>
  </si>
  <si>
    <t>Entera</t>
  </si>
  <si>
    <t xml:space="preserve">Grasa </t>
  </si>
  <si>
    <t>Anhidra</t>
  </si>
  <si>
    <t>Habitantes</t>
  </si>
  <si>
    <t>Gallina</t>
  </si>
  <si>
    <t xml:space="preserve">     Jaen</t>
  </si>
  <si>
    <t>anual</t>
  </si>
  <si>
    <t>Puno  *</t>
  </si>
  <si>
    <t>Departamento</t>
  </si>
  <si>
    <t xml:space="preserve">Moquegua </t>
  </si>
  <si>
    <t>Línea carne</t>
  </si>
  <si>
    <t>(Miles)</t>
  </si>
  <si>
    <t>Línea postura</t>
  </si>
  <si>
    <t xml:space="preserve">Carne pollo </t>
  </si>
  <si>
    <t>Volumen</t>
  </si>
  <si>
    <t>Rendimiento</t>
  </si>
  <si>
    <t>Postura</t>
  </si>
  <si>
    <t>Reproductoras</t>
  </si>
  <si>
    <t xml:space="preserve">  Importación</t>
  </si>
  <si>
    <t xml:space="preserve">  Producción</t>
  </si>
  <si>
    <t xml:space="preserve">  Colocación</t>
  </si>
  <si>
    <t xml:space="preserve">  Exportación</t>
  </si>
  <si>
    <t>NORTE</t>
  </si>
  <si>
    <t xml:space="preserve">   Tumbes</t>
  </si>
  <si>
    <t xml:space="preserve">   Piura</t>
  </si>
  <si>
    <t xml:space="preserve">   Lambayeque</t>
  </si>
  <si>
    <t xml:space="preserve">   La Libertad</t>
  </si>
  <si>
    <t xml:space="preserve">   Amazonas</t>
  </si>
  <si>
    <t>CENTRO</t>
  </si>
  <si>
    <t>SUR</t>
  </si>
  <si>
    <t xml:space="preserve">   Moquegua</t>
  </si>
  <si>
    <t xml:space="preserve">   Ayacucho</t>
  </si>
  <si>
    <t xml:space="preserve">   Apurímac</t>
  </si>
  <si>
    <t xml:space="preserve">   Cusco</t>
  </si>
  <si>
    <t xml:space="preserve">   Puno</t>
  </si>
  <si>
    <t>ORIENTE</t>
  </si>
  <si>
    <t xml:space="preserve">   Loreto</t>
  </si>
  <si>
    <t xml:space="preserve">   Ucayali</t>
  </si>
  <si>
    <t>--</t>
  </si>
  <si>
    <t xml:space="preserve">   Ancash </t>
  </si>
  <si>
    <t xml:space="preserve">   Lima</t>
  </si>
  <si>
    <t xml:space="preserve">   Ica </t>
  </si>
  <si>
    <t xml:space="preserve">   Huánuco</t>
  </si>
  <si>
    <t xml:space="preserve">   Huancavelica</t>
  </si>
  <si>
    <t xml:space="preserve">   Junín</t>
  </si>
  <si>
    <t xml:space="preserve">   Pasco</t>
  </si>
  <si>
    <t xml:space="preserve">   Arequipa</t>
  </si>
  <si>
    <t xml:space="preserve">   Tacna </t>
  </si>
  <si>
    <t xml:space="preserve">   San Martin</t>
  </si>
  <si>
    <t xml:space="preserve">   M. de Dios</t>
  </si>
  <si>
    <t>Gallina Negra</t>
  </si>
  <si>
    <t>Gallina Blanca</t>
  </si>
  <si>
    <t>Gallina Mora</t>
  </si>
  <si>
    <t>Pato</t>
  </si>
  <si>
    <t>Gallo</t>
  </si>
  <si>
    <t>Fuente:Sunat-Aduanas</t>
  </si>
  <si>
    <t>Sector agropecuario</t>
  </si>
  <si>
    <t>Subsector agrícola</t>
  </si>
  <si>
    <t>Sector / Producto</t>
  </si>
  <si>
    <t xml:space="preserve">    Subsector pecuario</t>
  </si>
  <si>
    <t xml:space="preserve"> </t>
  </si>
  <si>
    <t>Tasa</t>
  </si>
  <si>
    <t>Crec.</t>
  </si>
  <si>
    <t>Gallinas en Postura</t>
  </si>
  <si>
    <t>PROMEDIO</t>
  </si>
  <si>
    <t xml:space="preserve">Total </t>
  </si>
  <si>
    <t>Carne</t>
  </si>
  <si>
    <t>Pescado</t>
  </si>
  <si>
    <t xml:space="preserve">Leche </t>
  </si>
  <si>
    <t xml:space="preserve"> (LPD) </t>
  </si>
  <si>
    <t xml:space="preserve"> (LEP) </t>
  </si>
  <si>
    <t xml:space="preserve"> (GAL) </t>
  </si>
  <si>
    <t>Fresca</t>
  </si>
  <si>
    <t xml:space="preserve">2017 </t>
  </si>
  <si>
    <t>2017</t>
  </si>
  <si>
    <t xml:space="preserve">2018 </t>
  </si>
  <si>
    <t>Gallina Colorada</t>
  </si>
  <si>
    <t xml:space="preserve">Camal </t>
  </si>
  <si>
    <r>
      <t xml:space="preserve">Industria avícola </t>
    </r>
    <r>
      <rPr>
        <vertAlign val="superscript"/>
        <sz val="8"/>
        <color theme="1"/>
        <rFont val="Arial Narrow"/>
        <family val="2"/>
      </rPr>
      <t>1</t>
    </r>
  </si>
  <si>
    <r>
      <t xml:space="preserve">Ave </t>
    </r>
    <r>
      <rPr>
        <vertAlign val="superscript"/>
        <sz val="8"/>
        <color theme="1"/>
        <rFont val="Arial Narrow"/>
        <family val="2"/>
      </rPr>
      <t>1</t>
    </r>
  </si>
  <si>
    <r>
      <t xml:space="preserve">Ovino </t>
    </r>
    <r>
      <rPr>
        <vertAlign val="superscript"/>
        <sz val="8"/>
        <color theme="1"/>
        <rFont val="Arial Narrow"/>
        <family val="2"/>
      </rPr>
      <t>1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</si>
  <si>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1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</si>
  <si>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1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</si>
  <si>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1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</si>
  <si>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1</t>
    </r>
  </si>
  <si>
    <r>
      <t xml:space="preserve">Llama </t>
    </r>
    <r>
      <rPr>
        <vertAlign val="superscript"/>
        <sz val="8"/>
        <color theme="1"/>
        <rFont val="Arial Narrow"/>
        <family val="2"/>
      </rPr>
      <t>1</t>
    </r>
  </si>
  <si>
    <r>
      <t xml:space="preserve">Carne ave </t>
    </r>
    <r>
      <rPr>
        <vertAlign val="superscript"/>
        <sz val="8"/>
        <color theme="1"/>
        <rFont val="Arial Narrow"/>
        <family val="2"/>
      </rPr>
      <t>1</t>
    </r>
  </si>
  <si>
    <r>
      <t xml:space="preserve">En granja </t>
    </r>
    <r>
      <rPr>
        <vertAlign val="superscript"/>
        <sz val="8"/>
        <color theme="1"/>
        <rFont val="Arial Narrow"/>
        <family val="2"/>
      </rPr>
      <t>2</t>
    </r>
  </si>
  <si>
    <r>
      <t xml:space="preserve">En centro de acopio </t>
    </r>
    <r>
      <rPr>
        <vertAlign val="superscript"/>
        <sz val="8"/>
        <color theme="1"/>
        <rFont val="Arial Narrow"/>
        <family val="2"/>
      </rPr>
      <t>2</t>
    </r>
  </si>
  <si>
    <r>
      <t xml:space="preserve">En camal </t>
    </r>
    <r>
      <rPr>
        <vertAlign val="superscript"/>
        <sz val="8"/>
        <color theme="1"/>
        <rFont val="Arial Narrow"/>
        <family val="2"/>
      </rPr>
      <t>3</t>
    </r>
  </si>
  <si>
    <r>
      <t xml:space="preserve">Al consumidor </t>
    </r>
    <r>
      <rPr>
        <vertAlign val="superscript"/>
        <sz val="8"/>
        <color theme="1"/>
        <rFont val="Arial Narrow"/>
        <family val="2"/>
      </rPr>
      <t>3</t>
    </r>
  </si>
  <si>
    <t>Saca (Unidades)</t>
  </si>
  <si>
    <t>Gallinas (Unidades)</t>
  </si>
  <si>
    <t>Abastecimiento (Lima Metropolitana)</t>
  </si>
  <si>
    <t>Saca (Miles)</t>
  </si>
  <si>
    <t>Vacas (Unidades)</t>
  </si>
  <si>
    <t>(Toneladas)</t>
  </si>
  <si>
    <t xml:space="preserve">        (%)</t>
  </si>
  <si>
    <t xml:space="preserve">        (Millones de soles a precios 2007)</t>
  </si>
  <si>
    <t xml:space="preserve">        (Unidades)</t>
  </si>
  <si>
    <t>Esquilados (Unidades)</t>
  </si>
  <si>
    <t>Huevo Gallina</t>
  </si>
  <si>
    <t>Leche Vaca</t>
  </si>
  <si>
    <t>Lana Ovino</t>
  </si>
  <si>
    <t>sigue…</t>
  </si>
  <si>
    <t>continúa C.6</t>
  </si>
  <si>
    <t>continúa C.5</t>
  </si>
  <si>
    <t xml:space="preserve">       (Unidades)</t>
  </si>
  <si>
    <t xml:space="preserve">        (Toneladas)</t>
  </si>
  <si>
    <t xml:space="preserve">       (Kg/Unidad )</t>
  </si>
  <si>
    <t xml:space="preserve">         (Unidades)</t>
  </si>
  <si>
    <t>Menudencia</t>
  </si>
  <si>
    <t>Huevo de Gallina</t>
  </si>
  <si>
    <t>Leche Fresca de Vaca</t>
  </si>
  <si>
    <t xml:space="preserve">          (Toneladas)</t>
  </si>
  <si>
    <t xml:space="preserve">    Huevo de Gallina</t>
  </si>
  <si>
    <t xml:space="preserve">          (Unidades)</t>
  </si>
  <si>
    <t xml:space="preserve">  -    </t>
  </si>
  <si>
    <t xml:space="preserve">  -      </t>
  </si>
  <si>
    <t xml:space="preserve">  -   </t>
  </si>
  <si>
    <t xml:space="preserve"> -      </t>
  </si>
  <si>
    <t xml:space="preserve">          (Unidades )</t>
  </si>
  <si>
    <t xml:space="preserve"> -    </t>
  </si>
  <si>
    <t>Toneladas</t>
  </si>
  <si>
    <t xml:space="preserve"> -       </t>
  </si>
  <si>
    <t xml:space="preserve">C.88  PERÚ: BENEFICIO DE GANADO OVINO EN CENTROS DE BENEFICIO SEGÚN REGIÓN, </t>
  </si>
  <si>
    <t xml:space="preserve">           (Unidades)</t>
  </si>
  <si>
    <t xml:space="preserve"> Tumbes</t>
  </si>
  <si>
    <t xml:space="preserve"> Piura</t>
  </si>
  <si>
    <t xml:space="preserve"> Lambayeque</t>
  </si>
  <si>
    <t xml:space="preserve"> La Libertad</t>
  </si>
  <si>
    <t xml:space="preserve"> Amazonas</t>
  </si>
  <si>
    <t xml:space="preserve"> Ancash</t>
  </si>
  <si>
    <t xml:space="preserve"> Lima</t>
  </si>
  <si>
    <t xml:space="preserve"> Ica</t>
  </si>
  <si>
    <t xml:space="preserve"> Huánuco</t>
  </si>
  <si>
    <t xml:space="preserve"> Pasco</t>
  </si>
  <si>
    <t xml:space="preserve"> Junín</t>
  </si>
  <si>
    <t xml:space="preserve"> Huancavelica</t>
  </si>
  <si>
    <t xml:space="preserve"> Arequipa</t>
  </si>
  <si>
    <t xml:space="preserve"> Moquegua</t>
  </si>
  <si>
    <t xml:space="preserve"> Tacna</t>
  </si>
  <si>
    <t xml:space="preserve"> Ayacucho</t>
  </si>
  <si>
    <t xml:space="preserve"> Apurimac</t>
  </si>
  <si>
    <t xml:space="preserve">      Abancay</t>
  </si>
  <si>
    <t xml:space="preserve">      Andahuaylas</t>
  </si>
  <si>
    <t xml:space="preserve"> Cusco   </t>
  </si>
  <si>
    <t xml:space="preserve"> Puno</t>
  </si>
  <si>
    <t xml:space="preserve"> San Martín</t>
  </si>
  <si>
    <t xml:space="preserve"> Loreto</t>
  </si>
  <si>
    <t xml:space="preserve"> Ucayali</t>
  </si>
  <si>
    <t xml:space="preserve"> Madre de Dios</t>
  </si>
  <si>
    <t xml:space="preserve"> Cajamarca</t>
  </si>
  <si>
    <t xml:space="preserve"> (  t  )</t>
  </si>
  <si>
    <t xml:space="preserve">                   1/Incleye nacional e importada</t>
  </si>
  <si>
    <t>Cuadro    88     .  Perú : Abastecimiento de carne y</t>
  </si>
  <si>
    <t>NACIONAL</t>
  </si>
  <si>
    <t>IMPORTADA ( Leche fluida )</t>
  </si>
  <si>
    <r>
      <t xml:space="preserve">Pescado </t>
    </r>
    <r>
      <rPr>
        <b/>
        <vertAlign val="superscript"/>
        <sz val="8"/>
        <rFont val="Arial Narrow"/>
        <family val="2"/>
      </rPr>
      <t>2</t>
    </r>
  </si>
  <si>
    <r>
      <t xml:space="preserve">Ave </t>
    </r>
    <r>
      <rPr>
        <b/>
        <vertAlign val="superscript"/>
        <sz val="8"/>
        <rFont val="Arial Narrow"/>
        <family val="2"/>
      </rPr>
      <t>1</t>
    </r>
  </si>
  <si>
    <r>
      <t xml:space="preserve">Pollo </t>
    </r>
    <r>
      <rPr>
        <b/>
        <vertAlign val="superscript"/>
        <sz val="8"/>
        <rFont val="Arial Narrow"/>
        <family val="2"/>
      </rPr>
      <t>1</t>
    </r>
  </si>
  <si>
    <r>
      <t xml:space="preserve">Ovino </t>
    </r>
    <r>
      <rPr>
        <b/>
        <vertAlign val="superscript"/>
        <sz val="8"/>
        <rFont val="Arial Narrow"/>
        <family val="2"/>
      </rPr>
      <t>1</t>
    </r>
  </si>
  <si>
    <r>
      <t xml:space="preserve">Porcino </t>
    </r>
    <r>
      <rPr>
        <b/>
        <vertAlign val="superscript"/>
        <sz val="8"/>
        <rFont val="Arial Narrow"/>
        <family val="2"/>
      </rPr>
      <t>1</t>
    </r>
  </si>
  <si>
    <r>
      <t xml:space="preserve">Vacuno </t>
    </r>
    <r>
      <rPr>
        <b/>
        <vertAlign val="superscript"/>
        <sz val="8"/>
        <rFont val="Arial Narrow"/>
        <family val="2"/>
      </rPr>
      <t>1</t>
    </r>
  </si>
  <si>
    <r>
      <t>Pescado</t>
    </r>
    <r>
      <rPr>
        <b/>
        <vertAlign val="superscript"/>
        <sz val="8"/>
        <rFont val="Arial Narrow"/>
        <family val="2"/>
      </rPr>
      <t>2</t>
    </r>
  </si>
  <si>
    <t xml:space="preserve">           (Toneladas)</t>
  </si>
  <si>
    <r>
      <t>Pescado</t>
    </r>
    <r>
      <rPr>
        <b/>
        <vertAlign val="superscript"/>
        <sz val="8"/>
        <rFont val="Arial Narrow"/>
        <family val="2"/>
      </rPr>
      <t xml:space="preserve"> 2</t>
    </r>
  </si>
  <si>
    <t xml:space="preserve">            (Toneladas)</t>
  </si>
  <si>
    <t>IMPORTADA (Leche fluida)</t>
  </si>
  <si>
    <r>
      <t xml:space="preserve">Granja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</si>
  <si>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Centro Acopio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</si>
  <si>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</si>
  <si>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Camal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</si>
  <si>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3</t>
    </r>
  </si>
  <si>
    <r>
      <t xml:space="preserve">Leche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</si>
  <si>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Fibra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</si>
  <si>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b/>
        <vertAlign val="superscript"/>
        <sz val="8"/>
        <color theme="1"/>
        <rFont val="Arial Narrow"/>
        <family val="2"/>
      </rPr>
      <t>2</t>
    </r>
  </si>
  <si>
    <t>(S/ x US$)</t>
  </si>
  <si>
    <t>(Unidad/Hab/Año)</t>
  </si>
  <si>
    <t>Unidad de Medida</t>
  </si>
  <si>
    <t>LINEA CARNE</t>
  </si>
  <si>
    <t>LINEA POSTURA</t>
  </si>
  <si>
    <t xml:space="preserve">            (Unidades)</t>
  </si>
  <si>
    <t xml:space="preserve">  2018</t>
  </si>
  <si>
    <t xml:space="preserve">   2011</t>
  </si>
  <si>
    <t xml:space="preserve">   2012</t>
  </si>
  <si>
    <t xml:space="preserve">   2013</t>
  </si>
  <si>
    <t xml:space="preserve">   2014</t>
  </si>
  <si>
    <t xml:space="preserve">   2015</t>
  </si>
  <si>
    <t xml:space="preserve">   2016</t>
  </si>
  <si>
    <t xml:space="preserve">   2017</t>
  </si>
  <si>
    <t>Abuelos (HLH)</t>
  </si>
  <si>
    <t>Huevos Fértiles</t>
  </si>
  <si>
    <t>Padres (Hembras)</t>
  </si>
  <si>
    <t>Pollos BB</t>
  </si>
  <si>
    <t>Pollas BB</t>
  </si>
  <si>
    <t xml:space="preserve">Arequipa </t>
  </si>
  <si>
    <t>Unidad Medida</t>
  </si>
  <si>
    <t>Gallina Reproductora</t>
  </si>
  <si>
    <t xml:space="preserve">            (Miles de Unidades)</t>
  </si>
  <si>
    <t xml:space="preserve">            (Miles de Toneladas)</t>
  </si>
  <si>
    <t>Producción a Nivel Nacional</t>
  </si>
  <si>
    <t>Venta de Pollos (Lima Metropolitana)</t>
  </si>
  <si>
    <t>Precios del Pollo (Lima Metropolitana)</t>
  </si>
  <si>
    <t>Venta de Gallinas (Lima Metropolitana)</t>
  </si>
  <si>
    <t xml:space="preserve">Abastecimiento a Nivel Nacional </t>
  </si>
  <si>
    <t>Consumo Percápita a Nivel Nacional</t>
  </si>
  <si>
    <t>Consumo Percápita (Lima Metropolitana)</t>
  </si>
  <si>
    <t>Tipo de Cambio</t>
  </si>
  <si>
    <t>(Soles/kg)</t>
  </si>
  <si>
    <t>( Soles/kg )</t>
  </si>
  <si>
    <t xml:space="preserve">            (Soles/kg)</t>
  </si>
  <si>
    <t xml:space="preserve"> -  </t>
  </si>
  <si>
    <t>C.104  LIMA METROPOLITANA: EVOLUCIÓN DEL ABASTECIMIENTO DE PRINCIPALES PRODUCTOS PECUARIOS</t>
  </si>
  <si>
    <t>C.105  LIMA METROPOLITANA: EVOLUCIÓN DEL CONSUMO PERCÁPITA DE PRINCIPALES PRODUCTOS PECUARIOS</t>
  </si>
  <si>
    <t>Pasteu-</t>
  </si>
  <si>
    <t>rizada</t>
  </si>
  <si>
    <t>Evapo-</t>
  </si>
  <si>
    <t>rada</t>
  </si>
  <si>
    <t>Descre-</t>
  </si>
  <si>
    <t>mada</t>
  </si>
  <si>
    <t>Conden-</t>
  </si>
  <si>
    <t>sada</t>
  </si>
  <si>
    <t>en</t>
  </si>
  <si>
    <t xml:space="preserve">            (Tonelada)</t>
  </si>
  <si>
    <r>
      <t xml:space="preserve">2020 </t>
    </r>
    <r>
      <rPr>
        <b/>
        <vertAlign val="superscript"/>
        <sz val="8"/>
        <color theme="1"/>
        <rFont val="Arial Narrow"/>
        <family val="2"/>
      </rPr>
      <t>P</t>
    </r>
  </si>
  <si>
    <t xml:space="preserve">2019 </t>
  </si>
  <si>
    <t>2019</t>
  </si>
  <si>
    <t>2020</t>
  </si>
  <si>
    <r>
      <t xml:space="preserve">2020 </t>
    </r>
    <r>
      <rPr>
        <b/>
        <vertAlign val="superscript"/>
        <sz val="8"/>
        <color indexed="63"/>
        <rFont val="Arial Narrow"/>
        <family val="2"/>
      </rPr>
      <t>P</t>
    </r>
  </si>
  <si>
    <t xml:space="preserve">2020 </t>
  </si>
  <si>
    <t>Elaboración: Ministerio de Desarrollo Agrario y Riego - DGESEP-DEA.</t>
  </si>
  <si>
    <r>
      <t xml:space="preserve">2020 </t>
    </r>
    <r>
      <rPr>
        <vertAlign val="superscript"/>
        <sz val="8"/>
        <rFont val="Arial Narrow"/>
        <family val="2"/>
      </rPr>
      <t>P</t>
    </r>
  </si>
  <si>
    <t>C.121  PERÚ: PRECIOS PROMEDIO PAGADOS AL PRODUCTOR DE LECHE FRESCA DE VACA, POR REGIÓN SEGÚN MES, 2020 P.</t>
  </si>
  <si>
    <t>C. 122  PERÚ: PRECIOS PROMEDIO PAGADOS AL PRODUCTOR DE FIBRA DE ALPACA, POR REGIÓN SEGÚN MES, 2020 P.</t>
  </si>
  <si>
    <t>Población (Unidades)</t>
  </si>
  <si>
    <t>Elaboración: Ministerio de Desarrollo Agrario y Riego - DGESEP - DEIA</t>
  </si>
  <si>
    <t>Fuente: Direcciones Regionales de Agricultura</t>
  </si>
  <si>
    <t>P Preliminar</t>
  </si>
  <si>
    <t>1/ Precio de animal vivo</t>
  </si>
  <si>
    <t xml:space="preserve">         (Toneladas)</t>
  </si>
  <si>
    <t>… No disponible</t>
  </si>
  <si>
    <t>Fuente:  Gerencias/Direcciones Regionales de Agricultura - Sub Gerencia/Dirección de Estadística /Direccion de Informacion Agraria</t>
  </si>
  <si>
    <t>1  Incluye nacional e importada</t>
  </si>
  <si>
    <t xml:space="preserve"> 2 Incluye fresco, congelado, curado y enlatado</t>
  </si>
  <si>
    <t xml:space="preserve">     2 Ministerio de la Producción</t>
  </si>
  <si>
    <t>* Incluye IGV</t>
  </si>
  <si>
    <t xml:space="preserve"> Fuente:  1 Centros de Acopio</t>
  </si>
  <si>
    <t xml:space="preserve">              2 INEI - Dirección Técnica de Indicadores  Económicos Dirección Ejecutiva de Indices</t>
  </si>
  <si>
    <t>Fuente:  1 Centros de Acopio</t>
  </si>
  <si>
    <t xml:space="preserve">             2 Avinka SA</t>
  </si>
  <si>
    <t xml:space="preserve">             3 INEI - Dirección Técnica de Indicadores  Económicos Dirección Ejecutiva de Indices</t>
  </si>
  <si>
    <t>1 Soles por litro</t>
  </si>
  <si>
    <t>2 Soles por libra</t>
  </si>
  <si>
    <t>Fuente: SIEA</t>
  </si>
  <si>
    <t>Fuente: Sunat-Aduanas</t>
  </si>
  <si>
    <t>Fuente: Plantas de Incubación</t>
  </si>
  <si>
    <t>Fuente: Centros de Acopio de Aves Vivas de Lima Metropolitana y Callao</t>
  </si>
  <si>
    <t xml:space="preserve">C.90  PERÚ: BENEFICIO DE GANADO VACUNO EN CENTROS DE BENEFICIO SEGÚN REGIÓN, </t>
  </si>
  <si>
    <t xml:space="preserve">C.89  PERÚ: BENEFICIO DE GANADO PORCINO EN CENTROS DE BENEFICIO SEGÚN REGIÓN, </t>
  </si>
  <si>
    <t>C.87   LIMA METROPOLITANA: EVOLUCIÓN DE BENEFICIO DE GANADO EN CENTROS DE BENEFICIO POR AÑO,</t>
  </si>
  <si>
    <t xml:space="preserve">        (Miles de toneladas)</t>
  </si>
  <si>
    <t xml:space="preserve">C.1  PERÚ: EVOLUCIÓN  DEL VALOR  BRUTO DE LA PRODUCCIÓN (VBP) AGROPECUARIA POR AÑO, SEGÚN SUB SECTORES Y PRINCIPALES ESPECIES </t>
  </si>
  <si>
    <t>Colocación de Pollos "BB" a nivel Nacional</t>
  </si>
  <si>
    <t xml:space="preserve">          (Kg/Unidad/Año)</t>
  </si>
  <si>
    <t xml:space="preserve">      -</t>
  </si>
  <si>
    <t xml:space="preserve">        -</t>
  </si>
  <si>
    <t xml:space="preserve">C.110  LIMA METROPOLITANA: PRECIOS PROMEDIO* DEL POLLO POR NIVELES DE COMERCIALIZACIÓN, </t>
  </si>
  <si>
    <t xml:space="preserve">C.111  LIMA METROPOLITANA: PRECIOS PROMEDIO DEL POLLO POR NIVELES DE COMERCIALIZACIÓN, </t>
  </si>
  <si>
    <t>Var. % 21/20</t>
  </si>
  <si>
    <r>
      <t xml:space="preserve">2021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</si>
  <si>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indexed="63"/>
        <rFont val="Arial Narrow"/>
        <family val="2"/>
      </rPr>
      <t>P</t>
    </r>
  </si>
  <si>
    <t>C.40  PERÚ: ALPACAS ESQUILADAS  POR  AÑO, SEGÚN REGIÓN, 2007-2021</t>
  </si>
  <si>
    <r>
      <t xml:space="preserve">2021 </t>
    </r>
    <r>
      <rPr>
        <vertAlign val="superscript"/>
        <sz val="8"/>
        <rFont val="Arial Narrow"/>
        <family val="2"/>
      </rPr>
      <t>P</t>
    </r>
  </si>
  <si>
    <t>Población  (Unidades)</t>
  </si>
  <si>
    <t xml:space="preserve">Gallinas en producción </t>
  </si>
  <si>
    <t xml:space="preserve">Vacas en producción </t>
  </si>
  <si>
    <t xml:space="preserve">           (Soles/kg)</t>
  </si>
  <si>
    <t xml:space="preserve">    Pollo</t>
  </si>
  <si>
    <r>
      <t xml:space="preserve">Pollo </t>
    </r>
    <r>
      <rPr>
        <vertAlign val="superscript"/>
        <sz val="8"/>
        <color theme="1"/>
        <rFont val="Arial Narrow"/>
        <family val="2"/>
      </rPr>
      <t>1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</si>
  <si>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</si>
  <si>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r>
      <rPr>
        <vertAlign val="superscript"/>
        <sz val="6"/>
        <color theme="1"/>
        <rFont val="Arial Narrow"/>
        <family val="2"/>
      </rPr>
      <t xml:space="preserve">1 </t>
    </r>
    <r>
      <rPr>
        <sz val="6"/>
        <color theme="1"/>
        <rFont val="Arial Narrow"/>
        <family val="2"/>
      </rPr>
      <t xml:space="preserve"> Considera ave y huevo de gallina</t>
    </r>
  </si>
  <si>
    <t>Especie/ Producto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</si>
  <si>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Peso de animal vivo</t>
    </r>
  </si>
  <si>
    <r>
      <rPr>
        <vertAlign val="superscript"/>
        <sz val="6"/>
        <color theme="1"/>
        <rFont val="Arial Narrow"/>
        <family val="2"/>
      </rPr>
      <t xml:space="preserve">1  </t>
    </r>
    <r>
      <rPr>
        <sz val="6"/>
        <color theme="1"/>
        <rFont val="Arial Narrow"/>
        <family val="2"/>
      </rPr>
      <t>Considera ave y huevo de gallina</t>
    </r>
  </si>
  <si>
    <t xml:space="preserve">C.10  PERÚ: ESPECIES PECUARIAS EN PRODUCCIÓN Y ANIMALES ESQUILADOS POR ESPECIE, </t>
  </si>
  <si>
    <t>Alpacas Esquiladas</t>
  </si>
  <si>
    <t>Llamas Esquiladas</t>
  </si>
  <si>
    <t>Ovinos Esquilados</t>
  </si>
  <si>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</si>
  <si>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 Incluye fresco, congelado, curado y enlatado</t>
    </r>
  </si>
  <si>
    <r>
      <t xml:space="preserve"> </t>
    </r>
    <r>
      <rPr>
        <vertAlign val="superscript"/>
        <sz val="6"/>
        <rFont val="Arial Narrow"/>
        <family val="2"/>
      </rPr>
      <t>1</t>
    </r>
    <r>
      <rPr>
        <sz val="6"/>
        <rFont val="Arial Narrow"/>
        <family val="2"/>
      </rPr>
      <t xml:space="preserve">  Incluye nacional e importada</t>
    </r>
  </si>
  <si>
    <r>
      <t xml:space="preserve">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Incluye fresco, congelado, curado y enlatado</t>
    </r>
  </si>
  <si>
    <r>
      <t xml:space="preserve">     </t>
    </r>
    <r>
      <rPr>
        <vertAlign val="superscript"/>
        <sz val="6"/>
        <rFont val="Arial Narrow"/>
        <family val="2"/>
      </rPr>
      <t>2</t>
    </r>
    <r>
      <rPr>
        <sz val="6"/>
        <rFont val="Arial Narrow"/>
        <family val="2"/>
      </rPr>
      <t xml:space="preserve"> Ministerio de la Producción</t>
    </r>
  </si>
  <si>
    <r>
      <rPr>
        <vertAlign val="superscript"/>
        <sz val="6"/>
        <rFont val="Arial Narrow"/>
        <family val="2"/>
      </rPr>
      <t>P</t>
    </r>
    <r>
      <rPr>
        <sz val="6"/>
        <rFont val="Arial Narrow"/>
        <family val="2"/>
      </rPr>
      <t xml:space="preserve"> Preliminar</t>
    </r>
  </si>
  <si>
    <t>Gallina Minidoble</t>
  </si>
  <si>
    <t>Precio (S/ / Libra)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</si>
  <si>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Precio de animal vivo.</t>
    </r>
  </si>
  <si>
    <t xml:space="preserve">          (Soles / Kg)</t>
  </si>
  <si>
    <t xml:space="preserve">          (Soles / kg)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</si>
  <si>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 Incluye carne pollo,gallina pato y pavo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</si>
  <si>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Animal vivo</t>
    </r>
  </si>
  <si>
    <r>
      <t xml:space="preserve">     </t>
    </r>
    <r>
      <rPr>
        <vertAlign val="superscript"/>
        <sz val="6"/>
        <color theme="1"/>
        <rFont val="Arial Narrow"/>
        <family val="2"/>
      </rPr>
      <t>2</t>
    </r>
    <r>
      <rPr>
        <sz val="6"/>
        <color theme="1"/>
        <rFont val="Arial Narrow"/>
        <family val="2"/>
      </rPr>
      <t xml:space="preserve">  Carcasa (carne).</t>
    </r>
  </si>
  <si>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Precio de animal vivo</t>
    </r>
  </si>
  <si>
    <t xml:space="preserve">          (kg/gallina)</t>
  </si>
  <si>
    <t xml:space="preserve">          (kg/vaca/día)</t>
  </si>
  <si>
    <t xml:space="preserve">          (kg/ovino)</t>
  </si>
  <si>
    <t>kg/Unidad</t>
  </si>
  <si>
    <t xml:space="preserve">          (kg/Unidad)</t>
  </si>
  <si>
    <t xml:space="preserve">            (kg/Hab/Año)</t>
  </si>
  <si>
    <t>Huevo de</t>
  </si>
  <si>
    <t>fresca de vaca</t>
  </si>
  <si>
    <t>(kg/Unidad)</t>
  </si>
  <si>
    <t>(S/ / kg)</t>
  </si>
  <si>
    <t>(kg/Hab/Año)</t>
  </si>
  <si>
    <t xml:space="preserve">            (Soles / kg)</t>
  </si>
  <si>
    <t>kg</t>
  </si>
  <si>
    <t>Produción carne (t)</t>
  </si>
  <si>
    <t>Rendimiento (kg/Unidad)</t>
  </si>
  <si>
    <t xml:space="preserve">Precio (S/ / kg) </t>
  </si>
  <si>
    <t>Producción (t)</t>
  </si>
  <si>
    <t>Rendimiento (kg/gallina)</t>
  </si>
  <si>
    <t>Rdto. (kg/Vaca/Año)</t>
  </si>
  <si>
    <t>Precio (S/ / Litro)</t>
  </si>
  <si>
    <t>Rdto. (kg/Alpaca)</t>
  </si>
  <si>
    <t>Rendimiento (kg/Llama)</t>
  </si>
  <si>
    <t>Rendimiento  (kg/Ovino)</t>
  </si>
  <si>
    <t>Producción carne (t)</t>
  </si>
  <si>
    <t>Producción huevo (t)</t>
  </si>
  <si>
    <t>Producción leche (t)</t>
  </si>
  <si>
    <t>Rendimiento (kg/vaca/día)</t>
  </si>
  <si>
    <t>Producción fibra (t)</t>
  </si>
  <si>
    <t>Rendimiento (kg/alpaca)</t>
  </si>
  <si>
    <t>Llamas  esquiladas</t>
  </si>
  <si>
    <t>Rendimiento (kg/llama)</t>
  </si>
  <si>
    <t>Ovinos   esquilados</t>
  </si>
  <si>
    <t>Producción lana (t)</t>
  </si>
  <si>
    <t>Rendimiento (kg/ovino)</t>
  </si>
  <si>
    <r>
      <t>Lima</t>
    </r>
    <r>
      <rPr>
        <vertAlign val="superscript"/>
        <sz val="8"/>
        <color theme="1"/>
        <rFont val="Arial Narrow"/>
        <family val="2"/>
      </rPr>
      <t>P</t>
    </r>
  </si>
  <si>
    <t>Vacas en    Ordeño</t>
  </si>
  <si>
    <t>Huevo de        Gallina</t>
  </si>
  <si>
    <t>Fibra de           Alpaca</t>
  </si>
  <si>
    <t>Fibra de           Llama</t>
  </si>
  <si>
    <t>Lana de           Ovino</t>
  </si>
  <si>
    <t xml:space="preserve">          (kg/animal)</t>
  </si>
  <si>
    <t xml:space="preserve">          (kg/alpaca)</t>
  </si>
  <si>
    <t xml:space="preserve">          (kg/llama)</t>
  </si>
  <si>
    <t>Vaca</t>
  </si>
  <si>
    <t>Fibra</t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</si>
  <si>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</si>
  <si>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t xml:space="preserve">        Y PRODUCTOS PECUARIOS, 2007-2022</t>
  </si>
  <si>
    <t>C.2  PERÚ: PARTICIPACIÓN POR AÑO, SEGÚN SUB SECTORES Y PRINCIPALES ESPECIES Y PRODUCTOS PECUARIOS EN EL VALOR BRUTO, 2007-2022</t>
  </si>
  <si>
    <t xml:space="preserve"> C.3  PERÚ: EVOLUCIÓN DE LA PRODUCCIÓN PECUARIA POR AÑO, SEGÚN ESPECIE Y PRODUCTO, 2007-2022</t>
  </si>
  <si>
    <t>C.4  PERÚ: POBLACIÓN PECUARIA POR ESPECIE, SEGÚN REGIÓN, 2022P</t>
  </si>
  <si>
    <t>C.5  PERÚ: EVOLUCIÓN DE LA POBLACIÓN, SACA, PRODUCCIÓN, RENDIMIENTO Y PRECIOS RECIBIDOS POR EL PRODUCTOR POR AÑO, SEGÚN ESPECIE Y PRODUCTO, 2007-2022</t>
  </si>
  <si>
    <t>2022 P</t>
  </si>
  <si>
    <r>
      <t>C.6  PERÚ: POBLACIÓN, SACA, PRODUCCIÓN, RENDIMIENTO Y PRECIOS RECIBIDOS POR EL PRODUCTOR POR MES, SEGÚN PRINCIPALES ESPECIES Y PRODUCTOS PECUARIOS, 2022</t>
    </r>
    <r>
      <rPr>
        <b/>
        <vertAlign val="superscript"/>
        <sz val="9"/>
        <color theme="1"/>
        <rFont val="Arial Narrow"/>
        <family val="2"/>
      </rPr>
      <t>P</t>
    </r>
  </si>
  <si>
    <t>C.7  PERÚ: PRODUCCIÓN PECUARIA POR ESPECIE, SEGÚN REGIÓN, 2022P</t>
  </si>
  <si>
    <t>C.8  PERÚ: PRODUCCIÓN DE CARNES POR ESPECIE, SEGÚN REGIÓN, 2022P</t>
  </si>
  <si>
    <t>C.9  PERÚ: RENDIMIENTO DE CARNES POR ESPECIE, SEGÚN REGIÓN, 2022P</t>
  </si>
  <si>
    <t xml:space="preserve">         SEGÚN REGIÓN, 2022P</t>
  </si>
  <si>
    <t>C.11   PERÚ: PRODUCCIÓN DE PRINCIPALES PRODUCTOS PECUARIOS SEGÚN REGIÓN, 2022P</t>
  </si>
  <si>
    <t>C.12  PERÚ: RENDIMIENTO PROMEDIO POR PRODUCTO, SEGÚN REGIÓN, 2022P</t>
  </si>
  <si>
    <t>C.13  PERÚ: PRODUCCIÓN PECUARIA POR MES, SEGÚN PRODUCTO, 2022P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</si>
  <si>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</si>
  <si>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t>C.14  PERÚ: POBLACIÓN DE VACUNOS POR  AÑO, SEGÚN REGIÓN, 2007-2022 P</t>
  </si>
  <si>
    <t>2022</t>
  </si>
  <si>
    <t>C.15  PERÚ: PRODUCCIÓN DE VACUNOS POR  AÑO, SEGÚN REGIÓN, 2007-2022</t>
  </si>
  <si>
    <r>
      <t xml:space="preserve">2022 </t>
    </r>
    <r>
      <rPr>
        <b/>
        <vertAlign val="superscript"/>
        <sz val="8"/>
        <color indexed="63"/>
        <rFont val="Arial Narrow"/>
        <family val="2"/>
      </rPr>
      <t>P</t>
    </r>
  </si>
  <si>
    <t>C.16  PERÚ: PRODUCCIÓN DE CARNE DE VACUNO POR  AÑO, SEGÚN REGIÓN, 2007-2022</t>
  </si>
  <si>
    <t>C.18  PERÚ: VACAS EN ORDEÑO POR  AÑO, SEGÚN REGIÓN, 2007-2022</t>
  </si>
  <si>
    <t>C.19  PERÚ: PRODUCCIÓN DE LECHE FRESCA DE VACA POR  AÑO, SEGÚN REGIÓN, 2007-2022</t>
  </si>
  <si>
    <t>C.20  PERÚ: PRECIO RECIBIDO POR EL PRODUCTOR DE LECHE FRESCA DE VACA POR  AÑO, SEGÚN REGIÓN, 2007-2022</t>
  </si>
  <si>
    <t>C.21  PERÚ: POBLACIÓN DE CAPRINOS POR  AÑO, SEGÚN REGIÓN, 2007-2022</t>
  </si>
  <si>
    <t>C.22  PERÚ: PRODUCCIÓN DE CAPRINOS POR  AÑO, SEGÚN REGIÓN, 2007-2022</t>
  </si>
  <si>
    <t>C.23  PERÚ: PRODUCCIÓN DE CARNE DE CAPRINO POR  AÑO, SEGÚN REGIÓN, 2007-2022</t>
  </si>
  <si>
    <t>C.24  PERÚ: PRECIO RECIBIDO POR EL PRODUCTOR DE CAPRINOS POR AÑO, SEGÚN REGIÓN, 2007-2022 1</t>
  </si>
  <si>
    <t>C.25  PERÚ: POBLACIÓN DE OVINOS POR  AÑO, SEGÚN REGIÓN, 2007-2022</t>
  </si>
  <si>
    <t>C.26  PERÚ: PRODUCCIÓN DE OVINOS POR  AÑO, SEGÚN REGIÓN, 2007-2022</t>
  </si>
  <si>
    <t>C.27  PERÚ: PRODUCCIÓN DE CARNE DE OVINO POR  AÑO, SEGÚN REGIÓN, 2007-2022</t>
  </si>
  <si>
    <t>C.28  PERÚ: PRECIO RECIBIDO POR EL PRODUCTOR DE OVINOS POR  AÑO, SEGÚN REGIÓN, 2007-2022 1</t>
  </si>
  <si>
    <t>C.29  PERÚ: OVINOS ESQUILADOS POR AÑO, SEGÚN  REGIÓN, 2007-2022</t>
  </si>
  <si>
    <t>C.30  PERÚ: PRODUCCIÓN DE LANA  DE OVINO POR  AÑO, SEGÚN REGIÓN, 2007-2022</t>
  </si>
  <si>
    <t>C.31  PERÚ: PRECIO RECIBIDO POR EL PRODUCTOR DE LANA DE OVINO POR  AÑO, SEGÚN REGIÓN, 2007-2022</t>
  </si>
  <si>
    <t>C.32  PERÚ: POBLACIÓN DE PORCINOS POR  AÑO, SEGÚN REGIÓN, 2007-2022</t>
  </si>
  <si>
    <t>C.33  PERÚ: PRODUCCIÓN DE PORCINOS POR  AÑO, SEGÚN REGIÓN, 2007-2022</t>
  </si>
  <si>
    <t>C.34  PERÚ: PRODUCCIÓN DE CARNE DE PORCINO POR AÑO, SEGÚN REGIÓN, 2007-2022</t>
  </si>
  <si>
    <t>C.35  PERÚ: PRECIO RECIBIDO POR EL PRODUCTOR DE PORCINOS POR AÑO, SEGÚN REGIÓN, 2007-2022 1</t>
  </si>
  <si>
    <t>C.36  PERÚ: POBLACIÓN DE ALPACAS POR AÑO, SEGÚN REGIÓN, 2007-2022</t>
  </si>
  <si>
    <t>C.37  PERÚ: PRODUCCIÓN DE ALPACAS POR  AÑO, SEGÚN REGION REGIÓN, 2007-2022</t>
  </si>
  <si>
    <t>C.38  PERÚ: PRODUCCIÓN DE CARNE DE ALPACA POR  AÑO, SEGÚN REGIÓN, 2007-2022</t>
  </si>
  <si>
    <t>C.39  PERÚ: PRECIO RECIBIDO POR EL PRODUCTOR DE ALPACAS POR  AÑO, SEGÚN REGIÓN, 2007-2022 1</t>
  </si>
  <si>
    <t>C.41  PERÚ: PRODUCCIÓN DE FIBRA DE ALPACA POR  AÑO, SEGÚN REGIÓN, 2007-2022</t>
  </si>
  <si>
    <t>C.42  PERÚ: PRECIO RECIBIDO POR EL PRODUCTOR DE FIBRA DE ALPACA POR  AÑO, SEGÚN REGIÓN, 2007-2022</t>
  </si>
  <si>
    <t>C.43  PERÚ: POBLACIÓN DE LLAMAS POR  AÑO, SEGÚN REGIÓN, 2007-2022</t>
  </si>
  <si>
    <t>C.44  PERÚ: PRODUCCIÓN DE LLAMAS POR  AÑO, SEGÚN REGIÓN, 2007-2022</t>
  </si>
  <si>
    <t>C.45  PERÚ: PRODUCCIÓN DE CARNE DE LLAMA POR  AÑO, SEGÚN REGIÓN, 2007-2022</t>
  </si>
  <si>
    <r>
      <t xml:space="preserve">C.46  PERÚ: PRECIO RECIBIDO POR EL PRODUCTOR DE LLAMAS POR  AÑO, SEGÚN REGIÓN, 2007-2022 </t>
    </r>
    <r>
      <rPr>
        <b/>
        <vertAlign val="superscript"/>
        <sz val="9"/>
        <color indexed="63"/>
        <rFont val="Arial Narrow"/>
        <family val="2"/>
      </rPr>
      <t>1</t>
    </r>
  </si>
  <si>
    <t>C.47  PERÚ: LLAMAS ESQUILADAS  POR  AÑO, SEGÚN REGIÓN, 2007-2022</t>
  </si>
  <si>
    <t>C.48  PERÚ: PRODUCCIÓN DE FIBRA DE LLAMA POR AÑO, SEGÚN  REGIÓN, 2007-2022</t>
  </si>
  <si>
    <t>C.49  PERÚ: PRECIO RECIBIDO POR EL PRODUCTOR DE FIBRA DE LLAMA POR  AÑO, SEGÚN REGIÓN, 2007-2022</t>
  </si>
  <si>
    <t>C.50  PERÚ: PRODUCCIÓN DE AVES POR MES, SEGÚN REGIÓN, 2022P</t>
  </si>
  <si>
    <t>C.51  PERÚ: PRODUCCIÓN DE CARNE DE AVE POR MES, SEGÚN REGIÓN, 2022P</t>
  </si>
  <si>
    <t>C.52  PERÚ: RENDIMIENTO PROMEDIO DE CARNE DE AVE POR MES, SEGÚN REGIÓN, 2022P</t>
  </si>
  <si>
    <t>C.53  PERÚ: PRODUCCIÓN DE OVINOS POR MES, SEGÚN REGIÓN, 2022P</t>
  </si>
  <si>
    <t>C.54  PERÚ: PRODUCCIÓN DE CARNE DE OVINO POR MES, SEGÚN REGIÓN, 2022P</t>
  </si>
  <si>
    <t>C.55  PERÚ . RENDIMIENTO PROMEDIO DE CARNE  OVINO POR MES, SEGÚN REGIÓN, 2022P</t>
  </si>
  <si>
    <t>C.56   PERÚ: PRODUCCIÓN DE PORCINOS POR MES, SEGÚN REGIÓN, 2022P</t>
  </si>
  <si>
    <t>C.57  PERÚ: PRODUCCIÓN DE CARNE DE PORCINO POR MES, SEGÚN REGIÓN, 2022P</t>
  </si>
  <si>
    <t>C.58  PERÚ: RENDIMIENTO PROMEDIO DE CARNE DE PORCINO POR MES, SEGÚN REGIÓN, 2022P</t>
  </si>
  <si>
    <t>C.59   PERÚ: PRODUCCIÓN DE VACUNOS POR MES, SEGÚN REGIÓN, 2022P</t>
  </si>
  <si>
    <t>C.60  PERÚ: PRODUCCIÓN DE CARNE DE VACUNO POR MES, SEGÚN REGIÓN, 2022P</t>
  </si>
  <si>
    <t>C.61  PERÚ: RENDIMIENTO PROMEDIO DE CARNE DE VACUNO POR MES, SEGÚN REGIÓN, 2022P</t>
  </si>
  <si>
    <t>C.62   PERÚ: PRODUCCIÓN CAPRINO POR MES, SEGÚN REGIÓN, 2022P</t>
  </si>
  <si>
    <t>C.63  PERÚ: PRODUCCIÓN DE CARNE DE CAPRINO POR MES, SEGÚN REGIÓN, 2022P</t>
  </si>
  <si>
    <t>C.64  PERÚ: RENDIMIENTO PROMEDIO DE CARNE DE CAPRINO POR MES, SEGÚN REGIÓN, 2022P</t>
  </si>
  <si>
    <t>C.65  PERÚ: PRODUCCIÓN DE ALPACAS POR MES, SEGÚN REGIÓN, 2022P</t>
  </si>
  <si>
    <t>C.66  PERÚ: PRODUCCIÓN DE CARNE DE ALPACA POR MES, SEGÚN REGIÓN, 2022P</t>
  </si>
  <si>
    <t xml:space="preserve">C.67  PERÚ: RENDIMIENTO PROMEDIO DE CARNE DE ALPACA POR MES, SEGÚN REGIÓN, 2022P </t>
  </si>
  <si>
    <t>C.68  PERÚ: PRODUCCIÓN DE LLAMAS POR MES, SEGÚN REGIÓN, 2022P</t>
  </si>
  <si>
    <t>C.69   PERÚ: PRODUCCIÓN DE CARNE DE  LLAMA POR MES, SEGÚN REGIÓN, 2022P</t>
  </si>
  <si>
    <t>C.70  PERÚ: RENDIMIENTO PROMEDIO DE CARNE DE  LLAMA POR MES, SEGÚN REGIÓN, 2022P</t>
  </si>
  <si>
    <t>C.71  PERÚ: GALLINAS EN POSTURA POR MES, SEGÚN  REGIÓN, 2022P</t>
  </si>
  <si>
    <t>C.72  PERÚ: PRODUCCIÓN DE HUEVOS DE GALLINA  POR MES, SEGÚN REGIÓN, 2022P</t>
  </si>
  <si>
    <t>C.73  PERÚ: RENDIMIENTO PROMEDIO DE PRODUCCIÓN DE HUEVO DE GALLINA  POR MES, SEGÚN REGIÓN, 2022P</t>
  </si>
  <si>
    <t>C.74  PERÚ: VACAS EN ORDEÑO  POR MES, SEGÚN REGIÓN, 2022P</t>
  </si>
  <si>
    <t>C.75  PERÚ: PRODUCCIÓN DE LECHE FRESCA DE VACA POR MES, SEGÚN REGIÓN, 2022P</t>
  </si>
  <si>
    <t>C.76  PERÚ: RENDIMIENTO PROMEDIO DE PRODUCCION DE LECHE FRESCA DE VACA POR MES, SEGÚN REGIÓN, 2022P</t>
  </si>
  <si>
    <t>C.77  PERÚ: ALPACAS ESQUILADAS POR REGIÓN, SEGÚN MES, 2022P</t>
  </si>
  <si>
    <t>C.78  PERÚ: PRODUCCIÓN DE FIBRA DE ALPACA POR REGIÓN, SEGÚN MES 2022P</t>
  </si>
  <si>
    <t>C.79  PERÚ: RENDIMIENTO PROMEDIO DE FIBRA DE ALPACA POR MES, SEGÚN REGIÓN, 2022P</t>
  </si>
  <si>
    <t>C.80  PERÚ: LLAMAS ESQUILADAS POR MES, SEGÚN REGIÓN, 2022P</t>
  </si>
  <si>
    <t>C.81  PERÚ: PRODUCCIÓN DE FIBRA DE LLAMA POR MES, SEGÚN REGIÓN, 2022P</t>
  </si>
  <si>
    <t>C.82  PERÚ: RENDIMIENTO PROMEDIO DE FIBRA  DE LLAMA POR MES, SEGÚN REGIÓN, 2022P</t>
  </si>
  <si>
    <t>C.83  PERÚ: OVINOS ESQUILADOS POR MES SEGÚ REGIÓN, 2022P</t>
  </si>
  <si>
    <t>C.84   PERÚ: PRODUCCIÓN DE LANA DE OVINO POR MES, SEGÚN REGIÓN, 2022P</t>
  </si>
  <si>
    <t>C.85  PERÚ: RENDIMIENTO PROMEDIO DE LANA DE OVINO POR MES, SEGÚN REGIÓN, 2022P</t>
  </si>
  <si>
    <t>1 Precio de animal vivo</t>
  </si>
  <si>
    <t>C.17  PERÚ: PRECIO RECIBIDO POR EL PRODUCTOR DE VACUNO POR  AÑO, SEGÚN REGIÓN, 2007-2022 1</t>
  </si>
  <si>
    <t>C.86  PERÚ: EVOLUCIÓN DEL BENEFICIO DE GANADO EN CENTROS DE BENEFICIO POR AÑO SEGÚN ESPECIE, 2012-2022</t>
  </si>
  <si>
    <t xml:space="preserve">          SEGÚN ESPECIE, 2012-2022</t>
  </si>
  <si>
    <t>C.103  PERÚ: ABASTECIMIENTO DE CARNE Y PESCADO Y HUEVO SEGÚN MES, 2021</t>
  </si>
  <si>
    <r>
      <t>C.102  PERÚ: ABASTECIMIENTO DE CARNE Y PESCADO Y HUEVO SEGÚN MES, 2022</t>
    </r>
    <r>
      <rPr>
        <b/>
        <vertAlign val="superscript"/>
        <sz val="9"/>
        <rFont val="Arial Narrow"/>
        <family val="2"/>
      </rPr>
      <t>P</t>
    </r>
  </si>
  <si>
    <t xml:space="preserve">            SEGÚN AÑO, 2007-2022</t>
  </si>
  <si>
    <t>C.107  LIMA: ABASTECIMIENTO DE CARNE Y PESCADO SEGÚN MES, 2021</t>
  </si>
  <si>
    <r>
      <t>C.106  LIMA: ABASTECIMIENTO DE CARNE Y PESCADO SEGÚN MES, 2022</t>
    </r>
    <r>
      <rPr>
        <b/>
        <vertAlign val="superscript"/>
        <sz val="9"/>
        <rFont val="Arial Narrow"/>
        <family val="2"/>
      </rPr>
      <t>P</t>
    </r>
  </si>
  <si>
    <t>C.109  PERÚ: CONSUMO PERCÁPITA DE LECHE NACIONAL E IMPORTADA SEGÚN AÑO, 2007-2022</t>
  </si>
  <si>
    <t>C.108  PERÚ: ABASTECIMIENTO DE LECHE NACIONAL E IMPORTADA FLUIDA SEGÚN AÑO, 2007-2022</t>
  </si>
  <si>
    <t xml:space="preserve">            SEGÚN MES, 2021-22</t>
  </si>
  <si>
    <t xml:space="preserve">            SEGÚN MES, 2019-20</t>
  </si>
  <si>
    <t>C.112  PERÚ: PRECIOS PROMEDIO PAGADOS AL PRODUCTOR DE PRINCIPALES ESPECIES Y PRODUCTOS PECUARIOS SEGÚN REGIÓN, 2022P</t>
  </si>
  <si>
    <t>C.125  PRINCIPALES INDICADORES DE LA ACTIVIDAD AVÍCOLA, 2011-2022</t>
  </si>
  <si>
    <r>
      <t xml:space="preserve">    2022 </t>
    </r>
    <r>
      <rPr>
        <b/>
        <vertAlign val="superscript"/>
        <sz val="8"/>
        <color theme="1"/>
        <rFont val="Arial Narrow"/>
        <family val="2"/>
      </rPr>
      <t>P</t>
    </r>
  </si>
  <si>
    <t>C.126  PERÚ: MOVIMIENTO DE POLLOS  "BB"  POR AÑO, SEGÚN LINEA DE PRODUCCION, 2011-2022</t>
  </si>
  <si>
    <t>C.127  IMPORTACIÓN DE ABUELOS (HLH) LíNEA CARNE POR AÑO, SEGÚN MES, 2010-2022</t>
  </si>
  <si>
    <t>C.128  PERÚ: COLOCACIÓN DE ABUELOS (HLH) LÍNEA CARNE POR AÑO, SEGÚN MES, 2010-2022</t>
  </si>
  <si>
    <t>C.129  PERÚ: IMPORTACIÓN DE PADRES LÍNEA CARNE (HEMBRAS) POR AÑO, SEGÚN MES, 2010-2022</t>
  </si>
  <si>
    <t>C.130  PERÚ: PRODUCCIÓN DE PADRES LÍNEA CARNE POR AÑO, SEGÚN MES, 2010-2022</t>
  </si>
  <si>
    <t>C.131  PERÚ: EXPORTACIÓN DE PADRES LÍNEA CARNE (HEMBRAS), SEGÚN MES, 2010-2022</t>
  </si>
  <si>
    <t>C.132  PERÚ: COLOCACION DE PADRES LÍNEA CARNE (HEMBRAS), SEGÚN MES, 2010-2022</t>
  </si>
  <si>
    <t>C.133  PERÚ: IMPORTACIÓN DE HUEVOS FÉRTILES PADRES, POR AÑO SEGÚN MES, 2010-2022</t>
  </si>
  <si>
    <t>C.134  PERÚ: EXPORTACIÓN DE HUEVOS FÉRTILES PADRES POR AÑO, SEGÚN MES, 2010-2022</t>
  </si>
  <si>
    <t>C.135  PERÚ: PRODUCCIÓN DE POLLOS  "BB" LÍNEA CARNE POR AÑO SEGÚN MES, 2007-2022</t>
  </si>
  <si>
    <t>C.136  PERÚ: EXPORTACIÓN DE POLLOS  "BB" LÍNEA CARNE POR AÑO, SEGÚN MES, 2010-2022</t>
  </si>
  <si>
    <t>C.137  PERÚ: COLOCACIÓN DE POLLOS  "BB" LÍNEA CARNE, POR AÑO SEGÚN MES, 2010-2022</t>
  </si>
  <si>
    <t>C.138  PERÚ: IMPORTACIÓN DE HUEVOS FÉRTILES POLLOS POR AÑO, SEGÚN MES, 2010-2022</t>
  </si>
  <si>
    <t>C.139  PERÚ: EXPORTACIÓN DE HUEVOS FÉRTILES POLLOS POR AÑO, SEGÚN MES, 2010-2022</t>
  </si>
  <si>
    <t>C.140  PERÚ: IMPORTACIÓN DE PADRES (HEMBRAS) LÍNEA POSTURA POR AÑO, SEGÚN MES, 2010-2022</t>
  </si>
  <si>
    <t>C.141  PERÚ: COLOCACIÓN DE PADRES (HEMBRAS) LÍNEA POSTURA POR AÑO, SEGÚN MES, 2010-2022</t>
  </si>
  <si>
    <t>C.142  PERÚ: PRODUCCIÓN DE POLLAS "BB" LÍNEA POSTURA POR AÑO, SEGÚN MES, 2010-2022</t>
  </si>
  <si>
    <t>C.143  PERÚ: COLOCACIÓN DE POLLAS "BB" LÍNEA POSTURA POR AÑO, SEGÚN MES, 2010-2022</t>
  </si>
  <si>
    <t>C.144  PERÚ: COLOCACIÓN DE PADRES  BB  LÍNEA  CARNE (HEMBRAS) POR MES, SEGÚN REGIÓN, 2022P</t>
  </si>
  <si>
    <t>C.145  PERU: COLOCACIÓN DE POLLOS BB LÍINEA CARNE POR MES, SEGÚN REGIÓN, 2022P</t>
  </si>
  <si>
    <t>C.146  PERU: COLOCACION DE POLLAS BB LINEA POSTURA POR MES, SEGÚN REGIÓN, 2022P</t>
  </si>
  <si>
    <t>C.147  PERÚ: POBLACIÓN DE AVES POR AÑO, SEGÚN REGIÓN, 2008-2022</t>
  </si>
  <si>
    <t>C.148  PERÚ: PRODUCCIÓN DE  AVES POR AÑO, SEGÚN REGIÓN, 2008-2022</t>
  </si>
  <si>
    <t>C.149  PERÚ: PRODUCCIÓN DE CARNE DE AVE POR AÑO, SEGÚN REGIÓN, 2008-2022</t>
  </si>
  <si>
    <t>C.150  PERÚ: PRECIO RECIBIDO POR EL PRODUCTOR DE AVES POR AÑO, SEGÚN REGIÓN, 2008-2022</t>
  </si>
  <si>
    <t>C.151  PERÚ: GALLINAS EN PRODUCCIÓN POR AÑO, SEGÚN REGIÓN, 2008-2022</t>
  </si>
  <si>
    <t>C.152  PERÚ: PRODUCCIÓN DE HUEVO DE GALLINA POR AÑO, SEGÚN REGIÓN, 2008-2022</t>
  </si>
  <si>
    <t>C.153  PERÚ: PRECIO RECIBIDO POR EL PRODUCTOR DE HUEVO DE GALLINA POR AÑO, SEGÚN REGIÓN, 2008-2022</t>
  </si>
  <si>
    <t>C.154  LIMA METROPOLITANA: VENTA DE AVES POR MES, SEGÚN ESPECIE, 2022P</t>
  </si>
  <si>
    <t>C.124  PERÚ: PRECIOS PROMEDIO PAGADOS AL PRODUCTOR DE LANA DE OVINO POR MES, SEGÚN REGIÓN, 2022P</t>
  </si>
  <si>
    <t>C.123  PERÚ: PRECIOS PROMEDIO PAGADOS AL PRODUCTOR DE FIBRA DE LLAMA POR MES, SEGÚN REGIÓN, 2022P</t>
  </si>
  <si>
    <t>C.122  PERÚ: PRECIOS PROMEDIO PAGADOS AL PRODUCTOR DE FIBRA DE ALPACA POR MES, SEGÚN REGIÓN, 2022P</t>
  </si>
  <si>
    <t>C.121  PERÚ: PRECIOS PROMEDIO PAGADOS AL PRODUCTOR DE LECHE FRESCA DE VACA POR MES, SEGÚN REGIÓN, 2022P</t>
  </si>
  <si>
    <t>C.120  PERÚ: PRECIOS PROMEDIO PAGADOS AL PRODUCTOR DE HUEVOS DE GALLINA POR MES, SEGÚN REGIÓN, 2022P</t>
  </si>
  <si>
    <t>C.119  PERÚ: PRECIOS PROMEDIO PAGADOS AL PRODUCTOR DE LLAMAS POR MES, SEGÚN  REGIÓN, 2022P</t>
  </si>
  <si>
    <t>C.118  PERÚ: PRECIOS PROMEDIO PAGADOS AL PRODUCTOR DE ALPACAS POR MES, SEGÚN REGIÓN, 2022P</t>
  </si>
  <si>
    <t>C.117  PERÚ: PRECIOS PROMEDIO PAGADOS AL PRODUCTOR DE CAPRINOS POR MES, SEGÚN REGIÓN, 2022P</t>
  </si>
  <si>
    <t>C.116  PERÚ: PRECIOS PROMEDIO PAGADOS AL PRODUCTOR DE VACUNOS POR MES, SEGÚN REGIÓN, 2022P</t>
  </si>
  <si>
    <t>C.115  PERÚ: PRECIOS PROMEDIO PAGADOS AL PRODUCTOR DE PORCINOS POR MES, SEGÚN REGIÓN, 2022P</t>
  </si>
  <si>
    <t>C.114   PERÚ: PRECIOS PROMEDIO PAGADOS AL PRODUCTOR DE OVINOS POR MES, SEGÚN REGIÓN, 2022P</t>
  </si>
  <si>
    <t>C.113  PERÚ: PRECIOS PROMEDIO PAGADOS AL PRODUCTOR DE AVES POR MES, SEGÚN REGIÓN, 2022P</t>
  </si>
  <si>
    <r>
      <t xml:space="preserve">2022 </t>
    </r>
    <r>
      <rPr>
        <vertAlign val="superscript"/>
        <sz val="8"/>
        <rFont val="Arial Narrow"/>
        <family val="2"/>
      </rPr>
      <t>P</t>
    </r>
  </si>
  <si>
    <t>C.100  PERÚ: EVOLUCIÓN DEL ABASTECIMIENTO DE PRINCIPALES PRODUCTOS PECUARIOS SEGÚN AÑO, 2007-2022</t>
  </si>
  <si>
    <t>C.101  PERÚ: EVOLUCIÓN DEL CONSUMO PERCÁPITA DE PRINCIPALES PRODUCTOS PECUARIOS SEGÚN AÑO, 2007-2022</t>
  </si>
  <si>
    <t>ciura</t>
  </si>
  <si>
    <t>casco</t>
  </si>
  <si>
    <t>Arequica</t>
  </si>
  <si>
    <t>Acurímac</t>
  </si>
  <si>
    <t>c creliminar</t>
  </si>
  <si>
    <t>Elaboración: Ministerio de Desarrollo Agrario y Riego - DGESEc - DEIA</t>
  </si>
  <si>
    <t xml:space="preserve">          2021-2022</t>
  </si>
  <si>
    <t>C.91  PERÚ: BENEFICIO DE GANADO OVINO EN CENTROS DE BENEFICIO POR MES, SEGÚN REGIÓN, 2022P</t>
  </si>
  <si>
    <t>C.92  PERÚ: BENEFICIO DE GANADO OVINO EN CENTROS DE BENEFICIO POR MES, SEGÚN REGIÓN, 2022P</t>
  </si>
  <si>
    <t xml:space="preserve"> C.93  PERÚ: RENDIMIENTO  DE GANADO OVINO EN CENTROS DE BENEFICIO PORMES, SEGÚN REGIÓN, 2022P</t>
  </si>
  <si>
    <t>C.94  PERÚ: BENEFICIO DE GANADO PORCINO EN CENTROS DE BENEFICIO POR MES, SEGÚN REGIÓN, 2022P</t>
  </si>
  <si>
    <t>C.95  PERÚ: BENEFICIO DE GANADO PORCINO EN CENTROS DE BENEFICIO POR MES, SEGÚN REGIÓN, 2022P</t>
  </si>
  <si>
    <t xml:space="preserve"> C.96  PERÚ: RENDIMIENTO  DE GANADO PORCINO EN CENTROS DE BENEFICIO POR MES, SEGÚN REGIÓN, 2022P</t>
  </si>
  <si>
    <t>C.97  PERÚ: BENEFICIO DE GANADO VACUNO EN CENTROS DE BENEFICIO POR MES, SEGÚN REGIÓN, 2022P</t>
  </si>
  <si>
    <t>C.98  PERÚ: BENEFICIO DE GANADO VACUNO EN CENTROS DE BENEFICIO POR MES, SEGÚN REGIÓN, 2022P</t>
  </si>
  <si>
    <t xml:space="preserve"> C.99  PERÚ: RENDIMIENTO  DE GANADO VACUNO EN CENTROS DE BENEFICIO POR MES, SEGÚN REGIÓN, 2022P</t>
  </si>
  <si>
    <r>
      <t xml:space="preserve">Precio (S/ / kg) </t>
    </r>
    <r>
      <rPr>
        <vertAlign val="superscript"/>
        <sz val="8"/>
        <rFont val="Arial Narrow"/>
        <family val="2"/>
      </rPr>
      <t>1</t>
    </r>
  </si>
  <si>
    <t xml:space="preserve">  -     </t>
  </si>
  <si>
    <t xml:space="preserve">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</si>
</sst>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S_/_._-;\-* #,##0\ _S_/_._-;_-* &quot;-&quot;\ _S_/_._-;_-@_-"/>
    <numFmt numFmtId="167" formatCode="_-* #,##0.00\ _S_/_._-;\-* #,##0.00\ _S_/_._-;_-* &quot;-&quot;??\ _S_/_._-;_-@_-"/>
    <numFmt numFmtId="168" formatCode="#,##0.0_);\(#,##0.0\)"/>
    <numFmt numFmtId="169" formatCode="General_)"/>
    <numFmt numFmtId="170" formatCode="0_)"/>
    <numFmt numFmtId="171" formatCode="0.000_)"/>
    <numFmt numFmtId="172" formatCode="0.0_)"/>
    <numFmt numFmtId="173" formatCode="0.000"/>
    <numFmt numFmtId="174" formatCode="#,##0.000"/>
    <numFmt numFmtId="175" formatCode="#,##0.0"/>
    <numFmt numFmtId="176" formatCode="0.00_)"/>
    <numFmt numFmtId="177" formatCode="_-* #,##0.000_-;\-* #,##0.000_-;_-* &quot;-&quot;??_-;_-@_-"/>
    <numFmt numFmtId="178" formatCode=";;;"/>
    <numFmt numFmtId="179" formatCode="_ * #,##0.0_ ;_ * \-#,##0.0_ ;_ * &quot;-&quot;_ ;_ @_ "/>
    <numFmt numFmtId="180" formatCode="0.0_);\(0.0\)"/>
    <numFmt numFmtId="181" formatCode="0.0"/>
    <numFmt numFmtId="182" formatCode="_([$€-2]\ * #,##0.00_);_([$€-2]\ * \(#,##0.00\);_([$€-2]\ * &quot;-&quot;??_)"/>
    <numFmt numFmtId="183" formatCode="_-* #,##0.0_-;\-* #,##0.0_-;_-* &quot;-&quot;??_-;_-@_-"/>
    <numFmt numFmtId="184" formatCode="#,##0.0_ ;\-#,##0.0\ "/>
    <numFmt numFmtId="185" formatCode="#\ ###\ ###\ ###"/>
    <numFmt numFmtId="186" formatCode="###\ ###\ ###"/>
    <numFmt numFmtId="187" formatCode="##\ ###\ ##0"/>
    <numFmt numFmtId="188" formatCode="##\ ###\ ##0.0"/>
    <numFmt numFmtId="189" formatCode="#,##0.00000"/>
    <numFmt numFmtId="190" formatCode="#,##0.0;\-#,##0.0"/>
    <numFmt numFmtId="191" formatCode="#,##0_);\(#,##0\)"/>
    <numFmt numFmtId="192" formatCode="#,##0.0__"/>
    <numFmt numFmtId="193" formatCode="#,##0.0____"/>
    <numFmt numFmtId="194" formatCode="#,##0.00000_);\(#,##0.00000\)"/>
    <numFmt numFmtId="195" formatCode="#,##0__"/>
    <numFmt numFmtId="196" formatCode="#,##0________"/>
    <numFmt numFmtId="197" formatCode="#,##0__________"/>
    <numFmt numFmtId="198" formatCode="#,##0.0______"/>
    <numFmt numFmtId="199" formatCode="#,##0____"/>
    <numFmt numFmtId="200" formatCode="#,##0______"/>
    <numFmt numFmtId="201" formatCode="#,##0.0________"/>
    <numFmt numFmtId="202" formatCode="#,##0____________"/>
    <numFmt numFmtId="203" formatCode="#,##0.000__"/>
    <numFmt numFmtId="204" formatCode="#,##0.00__"/>
    <numFmt numFmtId="205" formatCode="#,##0.00______"/>
    <numFmt numFmtId="206" formatCode="#,##0.000_);\(#,##0.000\)"/>
    <numFmt numFmtId="207" formatCode="#,##0.00_ ;\-#,##0.00\ "/>
    <numFmt numFmtId="208" formatCode="0.000000"/>
    <numFmt numFmtId="209" formatCode="0.00000"/>
    <numFmt numFmtId="210" formatCode="#,##0.0______________"/>
    <numFmt numFmtId="211" formatCode="#,##0.00____________"/>
  </numFmts>
  <fonts count="66">
    <font>
      <sz val="9"/>
      <name val="Courier"/>
    </font>
    <font>
      <sz val="10"/>
      <name val="Arial"/>
      <family val="2"/>
    </font>
    <font>
      <sz val="8"/>
      <name val="Courier"/>
      <family val="1"/>
    </font>
    <font>
      <sz val="9"/>
      <name val="Courier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sz val="8"/>
      <name val="Times"/>
      <family val="1"/>
    </font>
    <font>
      <sz val="10"/>
      <name val="Courier"/>
      <family val="1"/>
    </font>
    <font>
      <sz val="10"/>
      <name val="Arial"/>
      <family val="2"/>
    </font>
    <font>
      <sz val="10"/>
      <name val="Tms Rmn"/>
    </font>
    <font>
      <sz val="10"/>
      <name val="Helv"/>
    </font>
    <font>
      <sz val="12"/>
      <name val="Helv"/>
    </font>
    <font>
      <sz val="9"/>
      <name val="Helv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7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9"/>
      <color theme="1"/>
      <name val="Arial Narrow"/>
      <family val="2"/>
    </font>
    <font>
      <u/>
      <sz val="8"/>
      <color theme="1"/>
      <name val="Arial Narrow"/>
      <family val="2"/>
    </font>
    <font>
      <b/>
      <sz val="7"/>
      <color theme="1"/>
      <name val="Arial Narrow"/>
      <family val="2"/>
    </font>
    <font>
      <i/>
      <sz val="8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sz val="8"/>
      <name val="Arial Narrow"/>
      <family val="2"/>
    </font>
    <font>
      <b/>
      <sz val="8"/>
      <color indexed="63"/>
      <name val="Arial Narrow"/>
      <family val="2"/>
    </font>
    <font>
      <b/>
      <vertAlign val="superscript"/>
      <sz val="8"/>
      <color indexed="63"/>
      <name val="Arial Narrow"/>
      <family val="2"/>
    </font>
    <font>
      <b/>
      <u/>
      <sz val="7"/>
      <color theme="1"/>
      <name val="Arial Narrow"/>
      <family val="2"/>
    </font>
    <font>
      <b/>
      <sz val="9"/>
      <color indexed="63"/>
      <name val="Arial Narrow"/>
      <family val="2"/>
    </font>
    <font>
      <sz val="8"/>
      <color indexed="63"/>
      <name val="Arial Narrow"/>
      <family val="2"/>
    </font>
    <font>
      <vertAlign val="superscript"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b/>
      <vertAlign val="superscript"/>
      <sz val="8"/>
      <name val="Arial Narrow"/>
      <family val="2"/>
    </font>
    <font>
      <b/>
      <vertAlign val="superscript"/>
      <sz val="9"/>
      <name val="Arial Narrow"/>
      <family val="2"/>
    </font>
    <font>
      <b/>
      <sz val="9"/>
      <color rgb="FF000000"/>
      <name val="Arial Narrow"/>
      <family val="2"/>
    </font>
    <font>
      <b/>
      <sz val="7"/>
      <color indexed="63"/>
      <name val="Arial"/>
      <family val="2"/>
    </font>
    <font>
      <b/>
      <sz val="8"/>
      <name val="Arial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6"/>
      <color theme="1"/>
      <name val="Arial Narrow"/>
      <family val="2"/>
    </font>
    <font>
      <b/>
      <u/>
      <sz val="6"/>
      <color theme="1"/>
      <name val="Arial Narrow"/>
      <family val="2"/>
    </font>
    <font>
      <sz val="6"/>
      <name val="Arial Narrow"/>
      <family val="2"/>
    </font>
    <font>
      <vertAlign val="superscript"/>
      <sz val="6"/>
      <name val="Arial Narrow"/>
      <family val="2"/>
    </font>
    <font>
      <sz val="6"/>
      <color indexed="63"/>
      <name val="Arial Narrow"/>
      <family val="2"/>
    </font>
    <font>
      <vertAlign val="superscript"/>
      <sz val="7"/>
      <color theme="1"/>
      <name val="Arial Narrow"/>
      <family val="2"/>
    </font>
    <font>
      <b/>
      <vertAlign val="superscript"/>
      <sz val="9"/>
      <color indexed="63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C6DDCE"/>
        <bgColor indexed="64"/>
      </patternFill>
    </fill>
    <fill>
      <patternFill patternType="solid">
        <fgColor rgb="FFECE3D9"/>
        <bgColor indexed="64"/>
      </patternFill>
    </fill>
    <fill>
      <patternFill patternType="solid">
        <fgColor rgb="FFD3BAA4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9">
    <xf numFmtId="168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9" borderId="1" applyNumberFormat="0" applyAlignment="0" applyProtection="0"/>
    <xf numFmtId="0" fontId="7" fillId="13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10" fillId="3" borderId="1" applyNumberFormat="0" applyAlignment="0" applyProtection="0"/>
    <xf numFmtId="182" fontId="3" fillId="0" borderId="0" applyFont="0" applyFill="0" applyBorder="0" applyAlignment="0" applyProtection="0"/>
    <xf numFmtId="0" fontId="11" fillId="17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10" borderId="0" applyNumberFormat="0" applyBorder="0" applyAlignment="0" applyProtection="0"/>
    <xf numFmtId="0" fontId="20" fillId="0" borderId="0"/>
    <xf numFmtId="0" fontId="22" fillId="0" borderId="0"/>
    <xf numFmtId="0" fontId="23" fillId="0" borderId="0"/>
    <xf numFmtId="169" fontId="20" fillId="0" borderId="0"/>
    <xf numFmtId="169" fontId="24" fillId="0" borderId="0"/>
    <xf numFmtId="169" fontId="27" fillId="0" borderId="0"/>
    <xf numFmtId="37" fontId="26" fillId="0" borderId="0"/>
    <xf numFmtId="0" fontId="28" fillId="0" borderId="0"/>
    <xf numFmtId="0" fontId="20" fillId="0" borderId="0"/>
    <xf numFmtId="169" fontId="21" fillId="0" borderId="0"/>
    <xf numFmtId="169" fontId="20" fillId="0" borderId="0"/>
    <xf numFmtId="0" fontId="4" fillId="5" borderId="5" applyNumberFormat="0" applyFont="0" applyAlignment="0" applyProtection="0"/>
    <xf numFmtId="9" fontId="25" fillId="0" borderId="0" applyFont="0" applyFill="0" applyBorder="0" applyAlignment="0" applyProtection="0"/>
    <xf numFmtId="0" fontId="13" fillId="9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9" applyNumberFormat="0" applyFill="0" applyAlignment="0" applyProtection="0"/>
  </cellStyleXfs>
  <cellXfs count="1005">
    <xf numFmtId="168" fontId="0" fillId="0" borderId="0" xfId="0"/>
    <xf numFmtId="169" fontId="31" fillId="0" borderId="0" xfId="0" applyNumberFormat="1" applyFont="1" applyAlignment="1">
      <alignment horizontal="left" vertical="center"/>
    </xf>
    <xf numFmtId="170" fontId="29" fillId="0" borderId="0" xfId="0" applyNumberFormat="1" applyFont="1" applyAlignment="1">
      <alignment vertical="center"/>
    </xf>
    <xf numFmtId="175" fontId="31" fillId="0" borderId="0" xfId="0" applyNumberFormat="1" applyFont="1" applyAlignment="1">
      <alignment vertical="center"/>
    </xf>
    <xf numFmtId="175" fontId="29" fillId="0" borderId="0" xfId="0" applyNumberFormat="1" applyFont="1" applyAlignment="1">
      <alignment vertical="center"/>
    </xf>
    <xf numFmtId="178" fontId="29" fillId="0" borderId="0" xfId="0" applyNumberFormat="1" applyFont="1" applyAlignment="1">
      <alignment vertical="center"/>
    </xf>
    <xf numFmtId="169" fontId="29" fillId="0" borderId="0" xfId="0" applyNumberFormat="1" applyFont="1" applyAlignment="1">
      <alignment horizontal="left" vertical="center"/>
    </xf>
    <xf numFmtId="178" fontId="29" fillId="0" borderId="12" xfId="0" applyNumberFormat="1" applyFont="1" applyBorder="1" applyAlignment="1">
      <alignment vertical="center"/>
    </xf>
    <xf numFmtId="169" fontId="29" fillId="0" borderId="12" xfId="0" applyNumberFormat="1" applyFont="1" applyBorder="1" applyAlignment="1">
      <alignment horizontal="left" vertical="center"/>
    </xf>
    <xf numFmtId="169" fontId="29" fillId="0" borderId="0" xfId="0" quotePrefix="1" applyNumberFormat="1" applyFont="1" applyAlignment="1">
      <alignment horizontal="left" vertical="center"/>
    </xf>
    <xf numFmtId="172" fontId="29" fillId="0" borderId="0" xfId="0" applyNumberFormat="1" applyFont="1" applyAlignment="1">
      <alignment vertical="center"/>
    </xf>
    <xf numFmtId="0" fontId="29" fillId="0" borderId="0" xfId="38" applyFont="1" applyAlignment="1">
      <alignment vertical="center"/>
    </xf>
    <xf numFmtId="171" fontId="29" fillId="0" borderId="0" xfId="0" applyNumberFormat="1" applyFont="1" applyAlignment="1">
      <alignment vertical="center"/>
    </xf>
    <xf numFmtId="177" fontId="29" fillId="0" borderId="0" xfId="36" applyNumberFormat="1" applyFont="1" applyFill="1" applyAlignment="1" applyProtection="1">
      <alignment vertical="center"/>
    </xf>
    <xf numFmtId="184" fontId="29" fillId="0" borderId="0" xfId="32" quotePrefix="1" applyNumberFormat="1" applyFont="1" applyFill="1" applyBorder="1" applyAlignment="1" applyProtection="1">
      <alignment horizontal="right" vertical="center"/>
    </xf>
    <xf numFmtId="184" fontId="29" fillId="0" borderId="12" xfId="32" quotePrefix="1" applyNumberFormat="1" applyFont="1" applyFill="1" applyBorder="1" applyAlignment="1" applyProtection="1">
      <alignment horizontal="right" vertical="center"/>
    </xf>
    <xf numFmtId="172" fontId="31" fillId="0" borderId="0" xfId="0" applyNumberFormat="1" applyFont="1" applyAlignment="1">
      <alignment vertical="center"/>
    </xf>
    <xf numFmtId="168" fontId="29" fillId="0" borderId="0" xfId="0" applyFont="1" applyAlignment="1">
      <alignment vertical="center"/>
    </xf>
    <xf numFmtId="174" fontId="29" fillId="0" borderId="0" xfId="0" applyNumberFormat="1" applyFont="1" applyAlignment="1">
      <alignment vertical="center"/>
    </xf>
    <xf numFmtId="168" fontId="29" fillId="0" borderId="12" xfId="0" applyFont="1" applyBorder="1" applyAlignment="1">
      <alignment vertical="center"/>
    </xf>
    <xf numFmtId="175" fontId="29" fillId="0" borderId="12" xfId="0" applyNumberFormat="1" applyFont="1" applyBorder="1" applyAlignment="1">
      <alignment vertical="center"/>
    </xf>
    <xf numFmtId="175" fontId="29" fillId="0" borderId="0" xfId="36" applyNumberFormat="1" applyFont="1" applyFill="1" applyAlignment="1" applyProtection="1">
      <alignment vertical="center"/>
    </xf>
    <xf numFmtId="175" fontId="29" fillId="0" borderId="0" xfId="36" applyNumberFormat="1" applyFont="1" applyFill="1" applyBorder="1" applyAlignment="1" applyProtection="1">
      <alignment vertical="center"/>
    </xf>
    <xf numFmtId="169" fontId="29" fillId="0" borderId="0" xfId="45" applyNumberFormat="1" applyFont="1" applyAlignment="1">
      <alignment horizontal="left" vertical="center"/>
    </xf>
    <xf numFmtId="169" fontId="29" fillId="0" borderId="0" xfId="40" quotePrefix="1" applyNumberFormat="1" applyFont="1" applyAlignment="1">
      <alignment horizontal="left" vertical="center"/>
    </xf>
    <xf numFmtId="0" fontId="31" fillId="0" borderId="12" xfId="38" applyFont="1" applyBorder="1" applyAlignment="1">
      <alignment vertical="center"/>
    </xf>
    <xf numFmtId="9" fontId="31" fillId="0" borderId="12" xfId="50" applyFont="1" applyFill="1" applyBorder="1" applyAlignment="1">
      <alignment vertical="center"/>
    </xf>
    <xf numFmtId="0" fontId="31" fillId="0" borderId="0" xfId="38" applyFont="1" applyAlignment="1">
      <alignment vertical="center"/>
    </xf>
    <xf numFmtId="0" fontId="29" fillId="0" borderId="0" xfId="38" applyFont="1" applyAlignment="1">
      <alignment horizontal="left" vertical="center"/>
    </xf>
    <xf numFmtId="0" fontId="34" fillId="0" borderId="0" xfId="38" applyFont="1" applyAlignment="1">
      <alignment vertical="center"/>
    </xf>
    <xf numFmtId="181" fontId="31" fillId="0" borderId="0" xfId="38" applyNumberFormat="1" applyFont="1" applyAlignment="1">
      <alignment vertical="center"/>
    </xf>
    <xf numFmtId="169" fontId="29" fillId="0" borderId="0" xfId="38" applyNumberFormat="1" applyFont="1" applyAlignment="1">
      <alignment horizontal="left" vertical="center"/>
    </xf>
    <xf numFmtId="169" fontId="29" fillId="0" borderId="12" xfId="38" applyNumberFormat="1" applyFont="1" applyBorder="1" applyAlignment="1">
      <alignment horizontal="left" vertical="center"/>
    </xf>
    <xf numFmtId="169" fontId="29" fillId="0" borderId="0" xfId="40" applyNumberFormat="1" applyFont="1" applyAlignment="1">
      <alignment horizontal="left" vertical="center"/>
    </xf>
    <xf numFmtId="170" fontId="31" fillId="0" borderId="0" xfId="45" quotePrefix="1" applyNumberFormat="1" applyFont="1" applyAlignment="1">
      <alignment horizontal="left" vertical="center"/>
    </xf>
    <xf numFmtId="169" fontId="29" fillId="0" borderId="0" xfId="45" quotePrefix="1" applyNumberFormat="1" applyFont="1" applyAlignment="1">
      <alignment horizontal="left" vertical="center"/>
    </xf>
    <xf numFmtId="169" fontId="31" fillId="0" borderId="0" xfId="0" applyNumberFormat="1" applyFont="1" applyAlignment="1">
      <alignment vertical="center"/>
    </xf>
    <xf numFmtId="0" fontId="31" fillId="0" borderId="12" xfId="45" applyFont="1" applyBorder="1" applyAlignment="1">
      <alignment vertical="center"/>
    </xf>
    <xf numFmtId="0" fontId="31" fillId="0" borderId="0" xfId="45" applyFont="1" applyAlignment="1">
      <alignment horizontal="centerContinuous" vertical="center"/>
    </xf>
    <xf numFmtId="0" fontId="29" fillId="0" borderId="12" xfId="45" applyFont="1" applyBorder="1" applyAlignment="1">
      <alignment vertical="center"/>
    </xf>
    <xf numFmtId="3" fontId="29" fillId="0" borderId="0" xfId="47" applyNumberFormat="1" applyFont="1" applyAlignment="1">
      <alignment horizontal="right" vertical="center"/>
    </xf>
    <xf numFmtId="168" fontId="30" fillId="0" borderId="0" xfId="0" applyFont="1"/>
    <xf numFmtId="169" fontId="29" fillId="0" borderId="0" xfId="48" quotePrefix="1" applyFont="1" applyAlignment="1">
      <alignment horizontal="left" vertical="center"/>
    </xf>
    <xf numFmtId="180" fontId="29" fillId="0" borderId="0" xfId="0" applyNumberFormat="1" applyFont="1" applyAlignment="1">
      <alignment vertical="center"/>
    </xf>
    <xf numFmtId="168" fontId="31" fillId="0" borderId="0" xfId="0" applyFont="1" applyAlignment="1">
      <alignment vertical="center"/>
    </xf>
    <xf numFmtId="168" fontId="29" fillId="0" borderId="0" xfId="0" applyFont="1" applyAlignment="1">
      <alignment horizontal="center" vertical="center"/>
    </xf>
    <xf numFmtId="181" fontId="29" fillId="0" borderId="0" xfId="0" applyNumberFormat="1" applyFont="1" applyAlignment="1">
      <alignment horizontal="center" vertical="center"/>
    </xf>
    <xf numFmtId="181" fontId="29" fillId="0" borderId="12" xfId="0" applyNumberFormat="1" applyFont="1" applyBorder="1" applyAlignment="1">
      <alignment horizontal="center" vertical="center"/>
    </xf>
    <xf numFmtId="191" fontId="29" fillId="0" borderId="0" xfId="0" applyNumberFormat="1" applyFont="1" applyAlignment="1">
      <alignment vertical="center"/>
    </xf>
    <xf numFmtId="194" fontId="29" fillId="0" borderId="0" xfId="0" applyNumberFormat="1" applyFont="1" applyAlignment="1">
      <alignment vertical="center"/>
    </xf>
    <xf numFmtId="172" fontId="34" fillId="0" borderId="0" xfId="0" applyNumberFormat="1" applyFont="1" applyAlignment="1">
      <alignment vertical="center"/>
    </xf>
    <xf numFmtId="179" fontId="38" fillId="0" borderId="0" xfId="33" applyNumberFormat="1" applyFont="1" applyFill="1" applyAlignment="1">
      <alignment vertical="center"/>
    </xf>
    <xf numFmtId="168" fontId="34" fillId="0" borderId="0" xfId="0" applyFont="1" applyAlignment="1">
      <alignment vertical="center"/>
    </xf>
    <xf numFmtId="169" fontId="34" fillId="0" borderId="0" xfId="0" applyNumberFormat="1" applyFont="1" applyAlignment="1">
      <alignment horizontal="left" vertical="center"/>
    </xf>
    <xf numFmtId="171" fontId="34" fillId="0" borderId="0" xfId="0" applyNumberFormat="1" applyFont="1" applyAlignment="1">
      <alignment vertical="center"/>
    </xf>
    <xf numFmtId="168" fontId="36" fillId="0" borderId="0" xfId="0" applyFont="1" applyAlignment="1">
      <alignment vertical="center"/>
    </xf>
    <xf numFmtId="168" fontId="36" fillId="0" borderId="0" xfId="0" applyFont="1" applyAlignment="1">
      <alignment vertical="top"/>
    </xf>
    <xf numFmtId="168" fontId="36" fillId="0" borderId="0" xfId="0" applyFont="1"/>
    <xf numFmtId="169" fontId="36" fillId="0" borderId="0" xfId="0" applyNumberFormat="1" applyFont="1" applyAlignment="1">
      <alignment vertical="center"/>
    </xf>
    <xf numFmtId="168" fontId="30" fillId="0" borderId="0" xfId="0" applyFont="1" applyAlignment="1">
      <alignment vertical="center"/>
    </xf>
    <xf numFmtId="169" fontId="31" fillId="0" borderId="0" xfId="38" applyNumberFormat="1" applyFont="1" applyAlignment="1">
      <alignment horizontal="centerContinuous" vertical="center"/>
    </xf>
    <xf numFmtId="173" fontId="31" fillId="0" borderId="0" xfId="38" applyNumberFormat="1" applyFont="1" applyAlignment="1">
      <alignment horizontal="centerContinuous" vertical="center"/>
    </xf>
    <xf numFmtId="3" fontId="29" fillId="0" borderId="0" xfId="38" applyNumberFormat="1" applyFont="1" applyAlignment="1">
      <alignment vertical="center"/>
    </xf>
    <xf numFmtId="0" fontId="29" fillId="0" borderId="0" xfId="38" quotePrefix="1" applyFont="1" applyAlignment="1">
      <alignment vertical="center"/>
    </xf>
    <xf numFmtId="0" fontId="29" fillId="0" borderId="12" xfId="38" applyFont="1" applyBorder="1" applyAlignment="1">
      <alignment vertical="center"/>
    </xf>
    <xf numFmtId="37" fontId="29" fillId="0" borderId="0" xfId="46" applyNumberFormat="1" applyFont="1" applyAlignment="1">
      <alignment horizontal="right" vertical="center"/>
    </xf>
    <xf numFmtId="37" fontId="29" fillId="0" borderId="0" xfId="38" applyNumberFormat="1" applyFont="1" applyAlignment="1">
      <alignment horizontal="right" vertical="center"/>
    </xf>
    <xf numFmtId="37" fontId="39" fillId="0" borderId="0" xfId="46" applyNumberFormat="1" applyFont="1" applyAlignment="1">
      <alignment horizontal="right" vertical="center"/>
    </xf>
    <xf numFmtId="37" fontId="39" fillId="0" borderId="0" xfId="38" applyNumberFormat="1" applyFont="1" applyAlignment="1">
      <alignment horizontal="right" vertical="center"/>
    </xf>
    <xf numFmtId="0" fontId="29" fillId="0" borderId="0" xfId="38" quotePrefix="1" applyFont="1" applyAlignment="1">
      <alignment horizontal="left" vertical="center"/>
    </xf>
    <xf numFmtId="37" fontId="29" fillId="0" borderId="12" xfId="38" applyNumberFormat="1" applyFont="1" applyBorder="1" applyAlignment="1">
      <alignment horizontal="right" vertical="center"/>
    </xf>
    <xf numFmtId="3" fontId="29" fillId="0" borderId="0" xfId="38" applyNumberFormat="1" applyFont="1" applyAlignment="1">
      <alignment horizontal="right" vertical="center"/>
    </xf>
    <xf numFmtId="37" fontId="29" fillId="0" borderId="0" xfId="40" applyNumberFormat="1" applyFont="1" applyAlignment="1">
      <alignment vertical="center"/>
    </xf>
    <xf numFmtId="0" fontId="29" fillId="0" borderId="0" xfId="40" applyFont="1" applyAlignment="1">
      <alignment vertical="center"/>
    </xf>
    <xf numFmtId="0" fontId="29" fillId="0" borderId="12" xfId="40" applyFont="1" applyBorder="1" applyAlignment="1">
      <alignment vertical="center"/>
    </xf>
    <xf numFmtId="0" fontId="29" fillId="0" borderId="13" xfId="40" applyFont="1" applyBorder="1" applyAlignment="1">
      <alignment horizontal="center" vertical="center"/>
    </xf>
    <xf numFmtId="0" fontId="29" fillId="0" borderId="0" xfId="40" applyFont="1" applyAlignment="1">
      <alignment horizontal="center" vertical="center"/>
    </xf>
    <xf numFmtId="3" fontId="29" fillId="0" borderId="0" xfId="40" applyNumberFormat="1" applyFont="1" applyAlignment="1">
      <alignment vertical="center"/>
    </xf>
    <xf numFmtId="174" fontId="29" fillId="0" borderId="0" xfId="40" applyNumberFormat="1" applyFont="1" applyAlignment="1">
      <alignment vertical="center"/>
    </xf>
    <xf numFmtId="0" fontId="29" fillId="0" borderId="12" xfId="40" applyFont="1" applyBorder="1" applyAlignment="1">
      <alignment horizontal="center" vertical="center"/>
    </xf>
    <xf numFmtId="174" fontId="29" fillId="0" borderId="12" xfId="40" applyNumberFormat="1" applyFont="1" applyBorder="1" applyAlignment="1">
      <alignment vertical="center"/>
    </xf>
    <xf numFmtId="0" fontId="29" fillId="0" borderId="0" xfId="40" applyFont="1" applyAlignment="1">
      <alignment horizontal="left" vertical="center"/>
    </xf>
    <xf numFmtId="0" fontId="29" fillId="0" borderId="0" xfId="45" applyFont="1" applyAlignment="1">
      <alignment vertical="center"/>
    </xf>
    <xf numFmtId="169" fontId="31" fillId="0" borderId="0" xfId="45" applyNumberFormat="1" applyFont="1" applyAlignment="1">
      <alignment horizontal="left" vertical="center"/>
    </xf>
    <xf numFmtId="0" fontId="33" fillId="0" borderId="0" xfId="45" applyFont="1" applyAlignment="1">
      <alignment vertical="center"/>
    </xf>
    <xf numFmtId="4" fontId="31" fillId="0" borderId="0" xfId="35" applyNumberFormat="1" applyFont="1" applyFill="1" applyBorder="1" applyAlignment="1" applyProtection="1">
      <alignment vertical="center"/>
    </xf>
    <xf numFmtId="4" fontId="29" fillId="0" borderId="0" xfId="35" applyNumberFormat="1" applyFont="1" applyFill="1" applyBorder="1" applyAlignment="1" applyProtection="1">
      <alignment horizontal="right" vertical="center"/>
    </xf>
    <xf numFmtId="4" fontId="29" fillId="0" borderId="0" xfId="35" applyNumberFormat="1" applyFont="1" applyFill="1" applyBorder="1" applyAlignment="1" applyProtection="1">
      <alignment vertical="center"/>
    </xf>
    <xf numFmtId="169" fontId="31" fillId="0" borderId="12" xfId="45" applyNumberFormat="1" applyFont="1" applyBorder="1" applyAlignment="1">
      <alignment horizontal="left" vertical="center"/>
    </xf>
    <xf numFmtId="3" fontId="29" fillId="0" borderId="12" xfId="35" applyNumberFormat="1" applyFont="1" applyFill="1" applyBorder="1" applyAlignment="1" applyProtection="1">
      <alignment vertical="center"/>
    </xf>
    <xf numFmtId="3" fontId="29" fillId="0" borderId="0" xfId="45" applyNumberFormat="1" applyFont="1" applyAlignment="1">
      <alignment vertical="center"/>
    </xf>
    <xf numFmtId="3" fontId="31" fillId="0" borderId="0" xfId="35" applyNumberFormat="1" applyFont="1" applyFill="1" applyBorder="1" applyAlignment="1" applyProtection="1">
      <alignment vertical="center"/>
    </xf>
    <xf numFmtId="37" fontId="29" fillId="0" borderId="0" xfId="45" applyNumberFormat="1" applyFont="1" applyAlignment="1">
      <alignment horizontal="right" vertical="center"/>
    </xf>
    <xf numFmtId="3" fontId="29" fillId="0" borderId="0" xfId="45" applyNumberFormat="1" applyFont="1" applyAlignment="1">
      <alignment horizontal="right" vertical="center"/>
    </xf>
    <xf numFmtId="190" fontId="29" fillId="0" borderId="0" xfId="45" applyNumberFormat="1" applyFont="1" applyAlignment="1">
      <alignment horizontal="right" vertical="center"/>
    </xf>
    <xf numFmtId="37" fontId="29" fillId="0" borderId="0" xfId="44" applyFont="1" applyAlignment="1">
      <alignment horizontal="left" vertical="center"/>
    </xf>
    <xf numFmtId="37" fontId="29" fillId="0" borderId="0" xfId="44" applyFont="1" applyAlignment="1">
      <alignment horizontal="centerContinuous" vertical="center"/>
    </xf>
    <xf numFmtId="37" fontId="29" fillId="0" borderId="0" xfId="44" applyFont="1" applyAlignment="1">
      <alignment vertical="center"/>
    </xf>
    <xf numFmtId="37" fontId="29" fillId="0" borderId="12" xfId="44" applyFont="1" applyBorder="1" applyAlignment="1">
      <alignment vertical="center"/>
    </xf>
    <xf numFmtId="37" fontId="29" fillId="0" borderId="12" xfId="44" applyFont="1" applyBorder="1" applyAlignment="1">
      <alignment horizontal="left" vertical="center"/>
    </xf>
    <xf numFmtId="3" fontId="29" fillId="0" borderId="12" xfId="40" applyNumberFormat="1" applyFont="1" applyBorder="1" applyAlignment="1">
      <alignment vertical="center"/>
    </xf>
    <xf numFmtId="37" fontId="29" fillId="0" borderId="0" xfId="44" quotePrefix="1" applyFont="1" applyAlignment="1">
      <alignment vertical="center"/>
    </xf>
    <xf numFmtId="37" fontId="31" fillId="0" borderId="0" xfId="44" applyFont="1" applyAlignment="1">
      <alignment vertical="center"/>
    </xf>
    <xf numFmtId="0" fontId="29" fillId="0" borderId="0" xfId="40" quotePrefix="1" applyFont="1" applyAlignment="1">
      <alignment vertical="center"/>
    </xf>
    <xf numFmtId="0" fontId="31" fillId="0" borderId="0" xfId="40" quotePrefix="1" applyFont="1" applyAlignment="1">
      <alignment vertical="center"/>
    </xf>
    <xf numFmtId="0" fontId="29" fillId="0" borderId="0" xfId="40" quotePrefix="1" applyFont="1" applyAlignment="1">
      <alignment horizontal="left" vertical="center"/>
    </xf>
    <xf numFmtId="175" fontId="29" fillId="0" borderId="0" xfId="40" applyNumberFormat="1" applyFont="1" applyAlignment="1">
      <alignment vertical="center"/>
    </xf>
    <xf numFmtId="3" fontId="29" fillId="0" borderId="0" xfId="40" applyNumberFormat="1" applyFont="1" applyAlignment="1">
      <alignment horizontal="right" vertical="center"/>
    </xf>
    <xf numFmtId="4" fontId="29" fillId="0" borderId="0" xfId="40" applyNumberFormat="1" applyFont="1" applyAlignment="1">
      <alignment vertical="center"/>
    </xf>
    <xf numFmtId="0" fontId="31" fillId="0" borderId="0" xfId="40" applyFont="1" applyAlignment="1">
      <alignment vertical="center"/>
    </xf>
    <xf numFmtId="0" fontId="29" fillId="0" borderId="12" xfId="40" quotePrefix="1" applyFont="1" applyBorder="1" applyAlignment="1">
      <alignment horizontal="center" vertical="center"/>
    </xf>
    <xf numFmtId="0" fontId="31" fillId="0" borderId="0" xfId="40" applyFont="1" applyAlignment="1">
      <alignment horizontal="centerContinuous" vertical="center"/>
    </xf>
    <xf numFmtId="0" fontId="29" fillId="0" borderId="0" xfId="40" applyFont="1" applyAlignment="1">
      <alignment horizontal="centerContinuous" vertical="center"/>
    </xf>
    <xf numFmtId="0" fontId="31" fillId="0" borderId="10" xfId="40" applyFont="1" applyBorder="1" applyAlignment="1">
      <alignment horizontal="centerContinuous" vertical="center"/>
    </xf>
    <xf numFmtId="2" fontId="31" fillId="0" borderId="10" xfId="40" applyNumberFormat="1" applyFont="1" applyBorder="1" applyAlignment="1">
      <alignment horizontal="centerContinuous" vertical="center"/>
    </xf>
    <xf numFmtId="0" fontId="29" fillId="0" borderId="13" xfId="40" applyFont="1" applyBorder="1" applyAlignment="1">
      <alignment vertical="center"/>
    </xf>
    <xf numFmtId="0" fontId="29" fillId="0" borderId="13" xfId="40" applyFont="1" applyBorder="1" applyAlignment="1">
      <alignment horizontal="centerContinuous" vertical="center"/>
    </xf>
    <xf numFmtId="0" fontId="29" fillId="0" borderId="10" xfId="40" applyFont="1" applyBorder="1" applyAlignment="1">
      <alignment vertical="center"/>
    </xf>
    <xf numFmtId="2" fontId="29" fillId="0" borderId="10" xfId="40" applyNumberFormat="1" applyFont="1" applyBorder="1" applyAlignment="1">
      <alignment vertical="center"/>
    </xf>
    <xf numFmtId="2" fontId="29" fillId="0" borderId="0" xfId="40" applyNumberFormat="1" applyFont="1" applyAlignment="1">
      <alignment horizontal="right" vertical="center"/>
    </xf>
    <xf numFmtId="2" fontId="29" fillId="0" borderId="0" xfId="40" applyNumberFormat="1" applyFont="1" applyAlignment="1">
      <alignment vertical="center"/>
    </xf>
    <xf numFmtId="0" fontId="29" fillId="0" borderId="12" xfId="40" quotePrefix="1" applyFont="1" applyBorder="1" applyAlignment="1">
      <alignment horizontal="left" vertical="center"/>
    </xf>
    <xf numFmtId="2" fontId="29" fillId="0" borderId="12" xfId="40" applyNumberFormat="1" applyFont="1" applyBorder="1" applyAlignment="1">
      <alignment horizontal="right" vertical="center"/>
    </xf>
    <xf numFmtId="0" fontId="31" fillId="0" borderId="0" xfId="40" quotePrefix="1" applyFont="1" applyAlignment="1">
      <alignment horizontal="left" vertical="center"/>
    </xf>
    <xf numFmtId="2" fontId="29" fillId="0" borderId="11" xfId="40" applyNumberFormat="1" applyFont="1" applyBorder="1" applyAlignment="1">
      <alignment horizontal="right" vertical="center"/>
    </xf>
    <xf numFmtId="2" fontId="29" fillId="0" borderId="12" xfId="40" applyNumberFormat="1" applyFont="1" applyBorder="1" applyAlignment="1">
      <alignment vertical="center"/>
    </xf>
    <xf numFmtId="2" fontId="31" fillId="0" borderId="0" xfId="40" applyNumberFormat="1" applyFont="1" applyAlignment="1">
      <alignment vertical="center"/>
    </xf>
    <xf numFmtId="169" fontId="29" fillId="0" borderId="0" xfId="41" quotePrefix="1" applyFont="1" applyAlignment="1">
      <alignment horizontal="left" vertical="center"/>
    </xf>
    <xf numFmtId="169" fontId="29" fillId="0" borderId="0" xfId="41" quotePrefix="1" applyFont="1" applyAlignment="1">
      <alignment horizontal="center" vertical="center"/>
    </xf>
    <xf numFmtId="169" fontId="29" fillId="0" borderId="0" xfId="41" applyFont="1" applyAlignment="1">
      <alignment vertical="center"/>
    </xf>
    <xf numFmtId="169" fontId="29" fillId="0" borderId="0" xfId="41" applyFont="1" applyAlignment="1">
      <alignment horizontal="center" vertical="center"/>
    </xf>
    <xf numFmtId="4" fontId="31" fillId="0" borderId="0" xfId="41" applyNumberFormat="1" applyFont="1" applyAlignment="1">
      <alignment vertical="center"/>
    </xf>
    <xf numFmtId="176" fontId="29" fillId="0" borderId="0" xfId="41" applyNumberFormat="1" applyFont="1" applyAlignment="1">
      <alignment horizontal="right" vertical="center"/>
    </xf>
    <xf numFmtId="4" fontId="29" fillId="0" borderId="0" xfId="41" applyNumberFormat="1" applyFont="1" applyAlignment="1">
      <alignment vertical="center"/>
    </xf>
    <xf numFmtId="175" fontId="29" fillId="0" borderId="0" xfId="41" applyNumberFormat="1" applyFont="1" applyAlignment="1">
      <alignment vertical="center"/>
    </xf>
    <xf numFmtId="169" fontId="29" fillId="0" borderId="12" xfId="41" applyFont="1" applyBorder="1" applyAlignment="1">
      <alignment vertical="center"/>
    </xf>
    <xf numFmtId="169" fontId="29" fillId="0" borderId="0" xfId="41" quotePrefix="1" applyFont="1" applyAlignment="1">
      <alignment vertical="center"/>
    </xf>
    <xf numFmtId="174" fontId="29" fillId="0" borderId="0" xfId="41" applyNumberFormat="1" applyFont="1" applyAlignment="1">
      <alignment vertical="center"/>
    </xf>
    <xf numFmtId="169" fontId="29" fillId="0" borderId="0" xfId="42" applyFont="1" applyAlignment="1">
      <alignment vertical="center"/>
    </xf>
    <xf numFmtId="169" fontId="29" fillId="0" borderId="0" xfId="42" applyFont="1" applyAlignment="1">
      <alignment horizontal="center" vertical="center"/>
    </xf>
    <xf numFmtId="169" fontId="29" fillId="0" borderId="0" xfId="42" quotePrefix="1" applyFont="1" applyAlignment="1">
      <alignment vertical="center"/>
    </xf>
    <xf numFmtId="169" fontId="29" fillId="0" borderId="0" xfId="42" quotePrefix="1" applyFont="1" applyAlignment="1">
      <alignment horizontal="center" vertical="center"/>
    </xf>
    <xf numFmtId="169" fontId="29" fillId="0" borderId="12" xfId="42" applyFont="1" applyBorder="1" applyAlignment="1">
      <alignment horizontal="center" vertical="center"/>
    </xf>
    <xf numFmtId="169" fontId="29" fillId="0" borderId="0" xfId="42" quotePrefix="1" applyFont="1" applyAlignment="1">
      <alignment horizontal="left" vertical="center"/>
    </xf>
    <xf numFmtId="169" fontId="29" fillId="0" borderId="0" xfId="42" applyFont="1" applyAlignment="1">
      <alignment horizontal="left" vertical="center"/>
    </xf>
    <xf numFmtId="169" fontId="29" fillId="0" borderId="12" xfId="42" applyFont="1" applyBorder="1" applyAlignment="1">
      <alignment vertical="center"/>
    </xf>
    <xf numFmtId="3" fontId="29" fillId="0" borderId="0" xfId="41" applyNumberFormat="1" applyFont="1" applyAlignment="1">
      <alignment vertical="center"/>
    </xf>
    <xf numFmtId="173" fontId="31" fillId="0" borderId="12" xfId="38" applyNumberFormat="1" applyFont="1" applyBorder="1" applyAlignment="1">
      <alignment vertical="center"/>
    </xf>
    <xf numFmtId="175" fontId="29" fillId="0" borderId="0" xfId="42" applyNumberFormat="1" applyFont="1" applyAlignment="1">
      <alignment vertical="center"/>
    </xf>
    <xf numFmtId="169" fontId="29" fillId="0" borderId="12" xfId="42" applyFont="1" applyBorder="1" applyAlignment="1">
      <alignment horizontal="left" vertical="center"/>
    </xf>
    <xf numFmtId="175" fontId="31" fillId="0" borderId="0" xfId="42" applyNumberFormat="1" applyFont="1" applyAlignment="1">
      <alignment vertical="center"/>
    </xf>
    <xf numFmtId="175" fontId="29" fillId="0" borderId="0" xfId="42" applyNumberFormat="1" applyFont="1" applyAlignment="1">
      <alignment horizontal="right" vertical="center"/>
    </xf>
    <xf numFmtId="169" fontId="29" fillId="0" borderId="0" xfId="41" applyFont="1" applyAlignment="1">
      <alignment horizontal="left" vertical="center"/>
    </xf>
    <xf numFmtId="174" fontId="29" fillId="0" borderId="0" xfId="41" applyNumberFormat="1" applyFont="1" applyAlignment="1">
      <alignment horizontal="right" vertical="center"/>
    </xf>
    <xf numFmtId="169" fontId="29" fillId="0" borderId="12" xfId="41" applyFont="1" applyBorder="1" applyAlignment="1">
      <alignment horizontal="left" vertical="center"/>
    </xf>
    <xf numFmtId="175" fontId="29" fillId="0" borderId="0" xfId="41" applyNumberFormat="1" applyFont="1" applyAlignment="1">
      <alignment horizontal="right" vertical="center"/>
    </xf>
    <xf numFmtId="169" fontId="29" fillId="0" borderId="0" xfId="41" applyFont="1" applyAlignment="1">
      <alignment horizontal="right" vertical="center"/>
    </xf>
    <xf numFmtId="3" fontId="29" fillId="0" borderId="12" xfId="41" applyNumberFormat="1" applyFont="1" applyBorder="1" applyAlignment="1">
      <alignment vertical="center"/>
    </xf>
    <xf numFmtId="37" fontId="29" fillId="0" borderId="0" xfId="41" applyNumberFormat="1" applyFont="1" applyAlignment="1">
      <alignment vertical="center"/>
    </xf>
    <xf numFmtId="0" fontId="29" fillId="0" borderId="0" xfId="40" applyFont="1" applyAlignment="1">
      <alignment horizontal="right" vertical="center"/>
    </xf>
    <xf numFmtId="181" fontId="29" fillId="0" borderId="0" xfId="41" applyNumberFormat="1" applyFont="1" applyAlignment="1">
      <alignment vertical="center"/>
    </xf>
    <xf numFmtId="4" fontId="29" fillId="0" borderId="0" xfId="45" applyNumberFormat="1" applyFont="1" applyAlignment="1">
      <alignment vertical="center"/>
    </xf>
    <xf numFmtId="0" fontId="31" fillId="0" borderId="0" xfId="45" applyFont="1" applyAlignment="1">
      <alignment horizontal="center" vertical="center"/>
    </xf>
    <xf numFmtId="0" fontId="31" fillId="0" borderId="0" xfId="45" applyFont="1" applyAlignment="1">
      <alignment vertical="center"/>
    </xf>
    <xf numFmtId="185" fontId="29" fillId="0" borderId="0" xfId="40" applyNumberFormat="1" applyFont="1" applyAlignment="1">
      <alignment vertical="center"/>
    </xf>
    <xf numFmtId="185" fontId="29" fillId="0" borderId="0" xfId="40" applyNumberFormat="1" applyFont="1" applyAlignment="1">
      <alignment horizontal="right" vertical="center"/>
    </xf>
    <xf numFmtId="175" fontId="29" fillId="0" borderId="0" xfId="40" applyNumberFormat="1" applyFont="1" applyAlignment="1">
      <alignment horizontal="right" vertical="center"/>
    </xf>
    <xf numFmtId="174" fontId="29" fillId="0" borderId="0" xfId="34" applyNumberFormat="1" applyFont="1" applyFill="1" applyAlignment="1">
      <alignment vertical="center"/>
    </xf>
    <xf numFmtId="4" fontId="29" fillId="0" borderId="12" xfId="40" applyNumberFormat="1" applyFont="1" applyBorder="1" applyAlignment="1">
      <alignment vertical="center"/>
    </xf>
    <xf numFmtId="0" fontId="29" fillId="0" borderId="0" xfId="39" applyFont="1" applyAlignment="1">
      <alignment vertical="center"/>
    </xf>
    <xf numFmtId="3" fontId="29" fillId="0" borderId="0" xfId="39" applyNumberFormat="1" applyFont="1" applyAlignment="1">
      <alignment vertical="center"/>
    </xf>
    <xf numFmtId="0" fontId="29" fillId="0" borderId="0" xfId="39" applyFont="1" applyAlignment="1">
      <alignment horizontal="left" vertical="center"/>
    </xf>
    <xf numFmtId="0" fontId="36" fillId="0" borderId="0" xfId="38" quotePrefix="1" applyFont="1"/>
    <xf numFmtId="195" fontId="29" fillId="0" borderId="0" xfId="38" applyNumberFormat="1" applyFont="1" applyAlignment="1">
      <alignment vertical="center"/>
    </xf>
    <xf numFmtId="195" fontId="29" fillId="0" borderId="0" xfId="46" applyNumberFormat="1" applyFont="1" applyAlignment="1">
      <alignment horizontal="right" vertical="center"/>
    </xf>
    <xf numFmtId="195" fontId="29" fillId="0" borderId="0" xfId="38" applyNumberFormat="1" applyFont="1" applyAlignment="1">
      <alignment horizontal="right" vertical="center"/>
    </xf>
    <xf numFmtId="195" fontId="39" fillId="0" borderId="0" xfId="38" applyNumberFormat="1" applyFont="1" applyAlignment="1">
      <alignment horizontal="right" vertical="center"/>
    </xf>
    <xf numFmtId="0" fontId="36" fillId="0" borderId="0" xfId="38" quotePrefix="1" applyFont="1" applyAlignment="1">
      <alignment vertical="top"/>
    </xf>
    <xf numFmtId="3" fontId="29" fillId="0" borderId="0" xfId="38" quotePrefix="1" applyNumberFormat="1" applyFont="1" applyAlignment="1">
      <alignment horizontal="center" vertical="top"/>
    </xf>
    <xf numFmtId="0" fontId="29" fillId="0" borderId="0" xfId="38" applyFont="1" applyAlignment="1">
      <alignment vertical="top"/>
    </xf>
    <xf numFmtId="169" fontId="36" fillId="0" borderId="0" xfId="0" applyNumberFormat="1" applyFont="1"/>
    <xf numFmtId="0" fontId="34" fillId="0" borderId="0" xfId="39" applyFont="1" applyAlignment="1">
      <alignment horizontal="fill" vertical="center"/>
    </xf>
    <xf numFmtId="0" fontId="29" fillId="0" borderId="10" xfId="39" applyFont="1" applyBorder="1" applyAlignment="1">
      <alignment vertical="center"/>
    </xf>
    <xf numFmtId="0" fontId="34" fillId="0" borderId="0" xfId="39" applyFont="1" applyAlignment="1">
      <alignment horizontal="right" vertical="center"/>
    </xf>
    <xf numFmtId="0" fontId="34" fillId="0" borderId="0" xfId="39" applyFont="1" applyAlignment="1">
      <alignment horizontal="left" vertical="center"/>
    </xf>
    <xf numFmtId="0" fontId="34" fillId="0" borderId="10" xfId="39" applyFont="1" applyBorder="1" applyAlignment="1">
      <alignment horizontal="left" vertical="center"/>
    </xf>
    <xf numFmtId="0" fontId="36" fillId="0" borderId="0" xfId="39" applyFont="1"/>
    <xf numFmtId="0" fontId="29" fillId="0" borderId="0" xfId="39" applyFont="1"/>
    <xf numFmtId="3" fontId="34" fillId="0" borderId="0" xfId="40" applyNumberFormat="1" applyFont="1" applyAlignment="1">
      <alignment vertical="center"/>
    </xf>
    <xf numFmtId="4" fontId="34" fillId="0" borderId="0" xfId="40" applyNumberFormat="1" applyFont="1" applyAlignment="1">
      <alignment vertical="center"/>
    </xf>
    <xf numFmtId="0" fontId="34" fillId="0" borderId="0" xfId="40" applyFont="1" applyAlignment="1">
      <alignment vertical="center"/>
    </xf>
    <xf numFmtId="169" fontId="34" fillId="0" borderId="0" xfId="40" quotePrefix="1" applyNumberFormat="1" applyFont="1" applyAlignment="1">
      <alignment horizontal="left" vertical="center"/>
    </xf>
    <xf numFmtId="4" fontId="29" fillId="0" borderId="10" xfId="40" applyNumberFormat="1" applyFont="1" applyBorder="1" applyAlignment="1">
      <alignment vertical="center"/>
    </xf>
    <xf numFmtId="3" fontId="29" fillId="0" borderId="0" xfId="40" applyNumberFormat="1" applyFont="1" applyAlignment="1">
      <alignment horizontal="left" vertical="center"/>
    </xf>
    <xf numFmtId="3" fontId="41" fillId="0" borderId="0" xfId="40" applyNumberFormat="1" applyFont="1"/>
    <xf numFmtId="4" fontId="31" fillId="0" borderId="0" xfId="40" applyNumberFormat="1" applyFont="1" applyAlignment="1">
      <alignment vertical="center"/>
    </xf>
    <xf numFmtId="3" fontId="36" fillId="0" borderId="0" xfId="40" applyNumberFormat="1" applyFont="1"/>
    <xf numFmtId="0" fontId="36" fillId="0" borderId="0" xfId="40" applyFont="1" applyAlignment="1">
      <alignment vertical="center"/>
    </xf>
    <xf numFmtId="0" fontId="36" fillId="0" borderId="0" xfId="40" applyFont="1"/>
    <xf numFmtId="0" fontId="36" fillId="0" borderId="0" xfId="40" applyFont="1" applyAlignment="1">
      <alignment vertical="top"/>
    </xf>
    <xf numFmtId="3" fontId="34" fillId="0" borderId="0" xfId="40" applyNumberFormat="1" applyFont="1" applyAlignment="1">
      <alignment horizontal="right" vertical="center"/>
    </xf>
    <xf numFmtId="185" fontId="34" fillId="0" borderId="0" xfId="40" applyNumberFormat="1" applyFont="1" applyAlignment="1">
      <alignment vertical="center"/>
    </xf>
    <xf numFmtId="0" fontId="36" fillId="0" borderId="0" xfId="40" quotePrefix="1" applyFont="1" applyAlignment="1">
      <alignment vertical="top"/>
    </xf>
    <xf numFmtId="195" fontId="31" fillId="0" borderId="0" xfId="40" applyNumberFormat="1" applyFont="1" applyAlignment="1">
      <alignment vertical="center"/>
    </xf>
    <xf numFmtId="195" fontId="29" fillId="0" borderId="0" xfId="40" applyNumberFormat="1" applyFont="1" applyAlignment="1">
      <alignment vertical="center"/>
    </xf>
    <xf numFmtId="196" fontId="31" fillId="0" borderId="0" xfId="40" applyNumberFormat="1" applyFont="1" applyAlignment="1">
      <alignment vertical="center"/>
    </xf>
    <xf numFmtId="196" fontId="29" fillId="0" borderId="0" xfId="40" applyNumberFormat="1" applyFont="1" applyAlignment="1">
      <alignment vertical="center"/>
    </xf>
    <xf numFmtId="197" fontId="31" fillId="0" borderId="0" xfId="40" applyNumberFormat="1" applyFont="1" applyAlignment="1">
      <alignment vertical="center"/>
    </xf>
    <xf numFmtId="197" fontId="29" fillId="0" borderId="0" xfId="40" applyNumberFormat="1" applyFont="1" applyAlignment="1">
      <alignment vertical="center"/>
    </xf>
    <xf numFmtId="0" fontId="36" fillId="0" borderId="0" xfId="40" quotePrefix="1" applyFont="1"/>
    <xf numFmtId="192" fontId="31" fillId="0" borderId="0" xfId="0" applyNumberFormat="1" applyFont="1" applyAlignment="1">
      <alignment vertical="center"/>
    </xf>
    <xf numFmtId="192" fontId="29" fillId="0" borderId="0" xfId="0" applyNumberFormat="1" applyFont="1" applyAlignment="1">
      <alignment vertical="center"/>
    </xf>
    <xf numFmtId="192" fontId="29" fillId="0" borderId="12" xfId="0" applyNumberFormat="1" applyFont="1" applyBorder="1" applyAlignment="1">
      <alignment vertical="center"/>
    </xf>
    <xf numFmtId="193" fontId="29" fillId="0" borderId="0" xfId="0" applyNumberFormat="1" applyFont="1" applyAlignment="1">
      <alignment vertical="center"/>
    </xf>
    <xf numFmtId="198" fontId="29" fillId="0" borderId="0" xfId="0" applyNumberFormat="1" applyFont="1" applyAlignment="1">
      <alignment vertical="center"/>
    </xf>
    <xf numFmtId="198" fontId="29" fillId="0" borderId="0" xfId="32" quotePrefix="1" applyNumberFormat="1" applyFont="1" applyFill="1" applyBorder="1" applyAlignment="1" applyProtection="1">
      <alignment horizontal="right" vertical="center"/>
    </xf>
    <xf numFmtId="198" fontId="29" fillId="0" borderId="12" xfId="32" quotePrefix="1" applyNumberFormat="1" applyFont="1" applyFill="1" applyBorder="1" applyAlignment="1" applyProtection="1">
      <alignment horizontal="right" vertical="center"/>
    </xf>
    <xf numFmtId="193" fontId="29" fillId="0" borderId="12" xfId="0" applyNumberFormat="1" applyFont="1" applyBorder="1" applyAlignment="1">
      <alignment vertical="center"/>
    </xf>
    <xf numFmtId="0" fontId="38" fillId="0" borderId="0" xfId="45" applyFont="1" applyAlignment="1">
      <alignment horizontal="centerContinuous" vertical="center"/>
    </xf>
    <xf numFmtId="0" fontId="36" fillId="0" borderId="0" xfId="45" applyFont="1" applyAlignment="1">
      <alignment vertical="center"/>
    </xf>
    <xf numFmtId="0" fontId="36" fillId="0" borderId="0" xfId="45" applyFont="1" applyAlignment="1">
      <alignment vertical="top"/>
    </xf>
    <xf numFmtId="0" fontId="36" fillId="0" borderId="0" xfId="45" applyFont="1"/>
    <xf numFmtId="195" fontId="29" fillId="0" borderId="0" xfId="45" applyNumberFormat="1" applyFont="1" applyAlignment="1">
      <alignment horizontal="right" vertical="center"/>
    </xf>
    <xf numFmtId="195" fontId="31" fillId="0" borderId="0" xfId="35" applyNumberFormat="1" applyFont="1" applyFill="1" applyBorder="1" applyAlignment="1" applyProtection="1">
      <alignment horizontal="right" vertical="center"/>
    </xf>
    <xf numFmtId="195" fontId="29" fillId="0" borderId="0" xfId="35" applyNumberFormat="1" applyFont="1" applyFill="1" applyBorder="1" applyAlignment="1" applyProtection="1">
      <alignment horizontal="right" vertical="center"/>
    </xf>
    <xf numFmtId="0" fontId="44" fillId="0" borderId="0" xfId="45" applyFont="1" applyAlignment="1">
      <alignment vertical="center"/>
    </xf>
    <xf numFmtId="0" fontId="34" fillId="0" borderId="0" xfId="45" applyFont="1" applyAlignment="1">
      <alignment vertical="center"/>
    </xf>
    <xf numFmtId="3" fontId="44" fillId="0" borderId="0" xfId="45" applyNumberFormat="1" applyFont="1" applyAlignment="1">
      <alignment vertical="center"/>
    </xf>
    <xf numFmtId="3" fontId="34" fillId="0" borderId="0" xfId="45" applyNumberFormat="1" applyFont="1" applyAlignment="1">
      <alignment vertical="center"/>
    </xf>
    <xf numFmtId="4" fontId="34" fillId="0" borderId="0" xfId="45" applyNumberFormat="1" applyFont="1" applyAlignment="1">
      <alignment vertical="center"/>
    </xf>
    <xf numFmtId="0" fontId="45" fillId="0" borderId="0" xfId="45" applyFont="1"/>
    <xf numFmtId="0" fontId="45" fillId="0" borderId="0" xfId="45" applyFont="1" applyAlignment="1">
      <alignment vertical="center"/>
    </xf>
    <xf numFmtId="0" fontId="45" fillId="0" borderId="0" xfId="45" applyFont="1" applyAlignment="1">
      <alignment vertical="top"/>
    </xf>
    <xf numFmtId="199" fontId="31" fillId="0" borderId="0" xfId="35" applyNumberFormat="1" applyFont="1" applyFill="1" applyBorder="1" applyAlignment="1" applyProtection="1">
      <alignment horizontal="right" vertical="center"/>
    </xf>
    <xf numFmtId="199" fontId="29" fillId="0" borderId="0" xfId="45" applyNumberFormat="1" applyFont="1" applyAlignment="1">
      <alignment horizontal="right" vertical="center"/>
    </xf>
    <xf numFmtId="200" fontId="31" fillId="0" borderId="0" xfId="35" applyNumberFormat="1" applyFont="1" applyFill="1" applyBorder="1" applyAlignment="1" applyProtection="1">
      <alignment horizontal="right" vertical="center"/>
    </xf>
    <xf numFmtId="200" fontId="29" fillId="0" borderId="0" xfId="45" applyNumberFormat="1" applyFont="1" applyAlignment="1">
      <alignment horizontal="right" vertical="center"/>
    </xf>
    <xf numFmtId="4" fontId="31" fillId="0" borderId="0" xfId="35" applyNumberFormat="1" applyFont="1" applyFill="1" applyBorder="1" applyAlignment="1" applyProtection="1">
      <alignment horizontal="center" vertical="center"/>
    </xf>
    <xf numFmtId="4" fontId="29" fillId="0" borderId="0" xfId="35" applyNumberFormat="1" applyFont="1" applyFill="1" applyBorder="1" applyAlignment="1" applyProtection="1">
      <alignment horizontal="center" vertical="center"/>
    </xf>
    <xf numFmtId="199" fontId="29" fillId="0" borderId="0" xfId="35" applyNumberFormat="1" applyFont="1" applyFill="1" applyBorder="1" applyAlignment="1" applyProtection="1">
      <alignment horizontal="right" vertical="center"/>
    </xf>
    <xf numFmtId="200" fontId="29" fillId="0" borderId="0" xfId="35" applyNumberFormat="1" applyFont="1" applyFill="1" applyBorder="1" applyAlignment="1" applyProtection="1">
      <alignment horizontal="right" vertical="center"/>
    </xf>
    <xf numFmtId="196" fontId="31" fillId="0" borderId="0" xfId="35" applyNumberFormat="1" applyFont="1" applyFill="1" applyBorder="1" applyAlignment="1" applyProtection="1">
      <alignment horizontal="right" vertical="center"/>
    </xf>
    <xf numFmtId="196" fontId="29" fillId="0" borderId="0" xfId="35" applyNumberFormat="1" applyFont="1" applyFill="1" applyBorder="1" applyAlignment="1" applyProtection="1">
      <alignment horizontal="right" vertical="center"/>
    </xf>
    <xf numFmtId="4" fontId="29" fillId="0" borderId="0" xfId="45" applyNumberFormat="1" applyFont="1" applyAlignment="1">
      <alignment horizontal="center" vertical="center"/>
    </xf>
    <xf numFmtId="169" fontId="36" fillId="0" borderId="0" xfId="41" applyFont="1" applyAlignment="1">
      <alignment vertical="center"/>
    </xf>
    <xf numFmtId="169" fontId="45" fillId="0" borderId="0" xfId="41" applyFont="1" applyAlignment="1">
      <alignment vertical="center"/>
    </xf>
    <xf numFmtId="0" fontId="45" fillId="0" borderId="0" xfId="40" applyFont="1" applyAlignment="1">
      <alignment vertical="center"/>
    </xf>
    <xf numFmtId="169" fontId="45" fillId="0" borderId="0" xfId="41" quotePrefix="1" applyFont="1" applyAlignment="1">
      <alignment vertical="center"/>
    </xf>
    <xf numFmtId="169" fontId="36" fillId="0" borderId="0" xfId="41" applyFont="1"/>
    <xf numFmtId="169" fontId="45" fillId="0" borderId="0" xfId="41" applyFont="1"/>
    <xf numFmtId="0" fontId="45" fillId="0" borderId="0" xfId="40" applyFont="1"/>
    <xf numFmtId="169" fontId="36" fillId="0" borderId="0" xfId="41" applyFont="1" applyAlignment="1">
      <alignment vertical="top"/>
    </xf>
    <xf numFmtId="169" fontId="45" fillId="0" borderId="0" xfId="41" applyFont="1" applyAlignment="1">
      <alignment vertical="top"/>
    </xf>
    <xf numFmtId="0" fontId="45" fillId="0" borderId="0" xfId="40" applyFont="1" applyAlignment="1">
      <alignment vertical="top"/>
    </xf>
    <xf numFmtId="169" fontId="45" fillId="0" borderId="0" xfId="41" quotePrefix="1" applyFont="1" applyAlignment="1">
      <alignment vertical="top"/>
    </xf>
    <xf numFmtId="169" fontId="34" fillId="0" borderId="0" xfId="41" applyFont="1" applyAlignment="1">
      <alignment vertical="center"/>
    </xf>
    <xf numFmtId="3" fontId="34" fillId="0" borderId="0" xfId="41" applyNumberFormat="1" applyFont="1" applyAlignment="1">
      <alignment vertical="center"/>
    </xf>
    <xf numFmtId="175" fontId="34" fillId="0" borderId="0" xfId="41" applyNumberFormat="1" applyFont="1" applyAlignment="1">
      <alignment vertical="center"/>
    </xf>
    <xf numFmtId="199" fontId="29" fillId="0" borderId="0" xfId="41" applyNumberFormat="1" applyFont="1" applyAlignment="1">
      <alignment vertical="center"/>
    </xf>
    <xf numFmtId="199" fontId="29" fillId="0" borderId="12" xfId="41" applyNumberFormat="1" applyFont="1" applyBorder="1" applyAlignment="1">
      <alignment vertical="center"/>
    </xf>
    <xf numFmtId="174" fontId="29" fillId="0" borderId="0" xfId="41" applyNumberFormat="1" applyFont="1" applyAlignment="1">
      <alignment horizontal="center" vertical="center"/>
    </xf>
    <xf numFmtId="174" fontId="29" fillId="0" borderId="12" xfId="41" applyNumberFormat="1" applyFont="1" applyBorder="1" applyAlignment="1">
      <alignment horizontal="center" vertical="center"/>
    </xf>
    <xf numFmtId="200" fontId="29" fillId="0" borderId="0" xfId="41" applyNumberFormat="1" applyFont="1" applyAlignment="1">
      <alignment vertical="center"/>
    </xf>
    <xf numFmtId="200" fontId="29" fillId="0" borderId="12" xfId="41" applyNumberFormat="1" applyFont="1" applyBorder="1" applyAlignment="1">
      <alignment vertical="center"/>
    </xf>
    <xf numFmtId="175" fontId="29" fillId="0" borderId="0" xfId="41" applyNumberFormat="1" applyFont="1" applyAlignment="1">
      <alignment horizontal="center" vertical="center"/>
    </xf>
    <xf numFmtId="175" fontId="29" fillId="0" borderId="12" xfId="41" applyNumberFormat="1" applyFont="1" applyBorder="1" applyAlignment="1">
      <alignment horizontal="center" vertical="center"/>
    </xf>
    <xf numFmtId="175" fontId="29" fillId="0" borderId="0" xfId="40" applyNumberFormat="1" applyFont="1" applyAlignment="1">
      <alignment horizontal="center" vertical="center"/>
    </xf>
    <xf numFmtId="175" fontId="29" fillId="0" borderId="12" xfId="40" applyNumberFormat="1" applyFont="1" applyBorder="1" applyAlignment="1">
      <alignment horizontal="center" vertical="center"/>
    </xf>
    <xf numFmtId="198" fontId="29" fillId="0" borderId="0" xfId="41" applyNumberFormat="1" applyFont="1" applyAlignment="1">
      <alignment horizontal="right" vertical="center"/>
    </xf>
    <xf numFmtId="198" fontId="29" fillId="0" borderId="12" xfId="41" applyNumberFormat="1" applyFont="1" applyBorder="1" applyAlignment="1">
      <alignment horizontal="right" vertical="center"/>
    </xf>
    <xf numFmtId="169" fontId="34" fillId="0" borderId="0" xfId="42" applyFont="1" applyAlignment="1">
      <alignment vertical="center"/>
    </xf>
    <xf numFmtId="169" fontId="36" fillId="0" borderId="0" xfId="42" quotePrefix="1" applyFont="1" applyAlignment="1">
      <alignment vertical="center"/>
    </xf>
    <xf numFmtId="169" fontId="36" fillId="0" borderId="0" xfId="42" quotePrefix="1" applyFont="1" applyAlignment="1">
      <alignment vertical="top"/>
    </xf>
    <xf numFmtId="195" fontId="29" fillId="0" borderId="0" xfId="42" applyNumberFormat="1" applyFont="1" applyAlignment="1">
      <alignment vertical="center"/>
    </xf>
    <xf numFmtId="192" fontId="29" fillId="0" borderId="12" xfId="42" applyNumberFormat="1" applyFont="1" applyBorder="1" applyAlignment="1">
      <alignment vertical="center"/>
    </xf>
    <xf numFmtId="192" fontId="29" fillId="0" borderId="0" xfId="42" applyNumberFormat="1" applyFont="1" applyAlignment="1">
      <alignment vertical="center"/>
    </xf>
    <xf numFmtId="200" fontId="29" fillId="0" borderId="12" xfId="42" applyNumberFormat="1" applyFont="1" applyBorder="1" applyAlignment="1">
      <alignment horizontal="right" vertical="center"/>
    </xf>
    <xf numFmtId="198" fontId="29" fillId="0" borderId="0" xfId="42" applyNumberFormat="1" applyFont="1" applyAlignment="1">
      <alignment vertical="center"/>
    </xf>
    <xf numFmtId="198" fontId="29" fillId="0" borderId="0" xfId="42" applyNumberFormat="1" applyFont="1" applyAlignment="1">
      <alignment horizontal="right" vertical="center"/>
    </xf>
    <xf numFmtId="198" fontId="34" fillId="0" borderId="0" xfId="41" applyNumberFormat="1" applyFont="1" applyAlignment="1">
      <alignment vertical="center"/>
    </xf>
    <xf numFmtId="169" fontId="36" fillId="0" borderId="0" xfId="42" quotePrefix="1" applyFont="1"/>
    <xf numFmtId="0" fontId="38" fillId="0" borderId="0" xfId="38" applyFont="1" applyAlignment="1">
      <alignment vertical="center"/>
    </xf>
    <xf numFmtId="169" fontId="36" fillId="0" borderId="0" xfId="38" quotePrefix="1" applyNumberFormat="1" applyFont="1"/>
    <xf numFmtId="0" fontId="36" fillId="0" borderId="0" xfId="38" applyFont="1"/>
    <xf numFmtId="169" fontId="36" fillId="0" borderId="0" xfId="38" applyNumberFormat="1" applyFont="1" applyAlignment="1">
      <alignment vertical="top"/>
    </xf>
    <xf numFmtId="0" fontId="36" fillId="0" borderId="0" xfId="38" applyFont="1" applyAlignment="1">
      <alignment vertical="top"/>
    </xf>
    <xf numFmtId="188" fontId="29" fillId="0" borderId="0" xfId="38" applyNumberFormat="1" applyFont="1" applyAlignment="1">
      <alignment horizontal="center" vertical="center"/>
    </xf>
    <xf numFmtId="199" fontId="29" fillId="0" borderId="0" xfId="38" applyNumberFormat="1" applyFont="1" applyAlignment="1">
      <alignment vertical="center"/>
    </xf>
    <xf numFmtId="181" fontId="29" fillId="0" borderId="0" xfId="38" applyNumberFormat="1" applyFont="1" applyAlignment="1">
      <alignment horizontal="center" vertical="center"/>
    </xf>
    <xf numFmtId="181" fontId="31" fillId="0" borderId="0" xfId="38" applyNumberFormat="1" applyFont="1" applyAlignment="1">
      <alignment horizontal="center" vertical="center"/>
    </xf>
    <xf numFmtId="199" fontId="29" fillId="0" borderId="0" xfId="38" applyNumberFormat="1" applyFont="1" applyAlignment="1">
      <alignment horizontal="right" vertical="center"/>
    </xf>
    <xf numFmtId="200" fontId="29" fillId="0" borderId="0" xfId="38" applyNumberFormat="1" applyFont="1" applyAlignment="1">
      <alignment vertical="center"/>
    </xf>
    <xf numFmtId="169" fontId="41" fillId="0" borderId="0" xfId="42" quotePrefix="1" applyFont="1" applyAlignment="1">
      <alignment horizontal="center"/>
    </xf>
    <xf numFmtId="169" fontId="41" fillId="0" borderId="0" xfId="42" applyFont="1"/>
    <xf numFmtId="171" fontId="41" fillId="0" borderId="0" xfId="42" applyNumberFormat="1" applyFont="1"/>
    <xf numFmtId="169" fontId="41" fillId="0" borderId="0" xfId="42" applyFont="1" applyAlignment="1">
      <alignment horizontal="center"/>
    </xf>
    <xf numFmtId="169" fontId="41" fillId="0" borderId="0" xfId="42" quotePrefix="1" applyFont="1"/>
    <xf numFmtId="169" fontId="41" fillId="0" borderId="12" xfId="42" applyFont="1" applyBorder="1"/>
    <xf numFmtId="3" fontId="41" fillId="0" borderId="0" xfId="42" applyNumberFormat="1" applyFont="1"/>
    <xf numFmtId="37" fontId="46" fillId="0" borderId="0" xfId="42" applyNumberFormat="1" applyFont="1"/>
    <xf numFmtId="169" fontId="41" fillId="0" borderId="0" xfId="42" applyFont="1" applyAlignment="1">
      <alignment horizontal="left"/>
    </xf>
    <xf numFmtId="169" fontId="48" fillId="0" borderId="0" xfId="0" quotePrefix="1" applyNumberFormat="1" applyFont="1" applyAlignment="1">
      <alignment horizontal="left" vertical="center"/>
    </xf>
    <xf numFmtId="3" fontId="41" fillId="0" borderId="0" xfId="41" applyNumberFormat="1" applyFont="1"/>
    <xf numFmtId="0" fontId="41" fillId="0" borderId="0" xfId="38" applyFont="1" applyAlignment="1">
      <alignment vertical="center"/>
    </xf>
    <xf numFmtId="175" fontId="41" fillId="0" borderId="0" xfId="42" applyNumberFormat="1" applyFont="1"/>
    <xf numFmtId="169" fontId="48" fillId="0" borderId="0" xfId="40" quotePrefix="1" applyNumberFormat="1" applyFont="1" applyAlignment="1">
      <alignment horizontal="left" vertical="center"/>
    </xf>
    <xf numFmtId="174" fontId="41" fillId="0" borderId="0" xfId="42" applyNumberFormat="1" applyFont="1"/>
    <xf numFmtId="169" fontId="41" fillId="0" borderId="0" xfId="41" applyFont="1"/>
    <xf numFmtId="0" fontId="49" fillId="0" borderId="0" xfId="40" applyFont="1"/>
    <xf numFmtId="0" fontId="41" fillId="0" borderId="0" xfId="38" applyFont="1"/>
    <xf numFmtId="4" fontId="34" fillId="0" borderId="0" xfId="39" applyNumberFormat="1" applyFont="1" applyAlignment="1" applyProtection="1">
      <alignment vertical="center"/>
      <protection locked="0"/>
    </xf>
    <xf numFmtId="0" fontId="36" fillId="0" borderId="0" xfId="39" applyFont="1" applyAlignment="1">
      <alignment vertical="center"/>
    </xf>
    <xf numFmtId="169" fontId="41" fillId="0" borderId="10" xfId="42" quotePrefix="1" applyFont="1" applyBorder="1" applyAlignment="1">
      <alignment horizontal="center" vertical="center"/>
    </xf>
    <xf numFmtId="169" fontId="41" fillId="0" borderId="10" xfId="42" applyFont="1" applyBorder="1" applyAlignment="1">
      <alignment horizontal="center" vertical="center"/>
    </xf>
    <xf numFmtId="169" fontId="51" fillId="0" borderId="0" xfId="42" quotePrefix="1" applyFont="1"/>
    <xf numFmtId="169" fontId="50" fillId="0" borderId="0" xfId="42" quotePrefix="1" applyFont="1"/>
    <xf numFmtId="169" fontId="50" fillId="0" borderId="0" xfId="42" applyFont="1"/>
    <xf numFmtId="169" fontId="51" fillId="0" borderId="0" xfId="42" applyFont="1" applyAlignment="1">
      <alignment vertical="top"/>
    </xf>
    <xf numFmtId="169" fontId="51" fillId="0" borderId="0" xfId="42" applyFont="1"/>
    <xf numFmtId="169" fontId="48" fillId="0" borderId="0" xfId="42" applyFont="1"/>
    <xf numFmtId="169" fontId="48" fillId="0" borderId="0" xfId="42" applyFont="1" applyAlignment="1">
      <alignment horizontal="left"/>
    </xf>
    <xf numFmtId="3" fontId="48" fillId="0" borderId="0" xfId="41" applyNumberFormat="1" applyFont="1"/>
    <xf numFmtId="175" fontId="48" fillId="0" borderId="0" xfId="42" applyNumberFormat="1" applyFont="1"/>
    <xf numFmtId="169" fontId="48" fillId="0" borderId="0" xfId="42" quotePrefix="1" applyFont="1" applyAlignment="1">
      <alignment horizontal="left" vertical="center"/>
    </xf>
    <xf numFmtId="169" fontId="48" fillId="0" borderId="0" xfId="42" applyFont="1" applyAlignment="1">
      <alignment vertical="center"/>
    </xf>
    <xf numFmtId="169" fontId="48" fillId="0" borderId="0" xfId="42" applyFont="1" applyAlignment="1">
      <alignment horizontal="left" vertical="center"/>
    </xf>
    <xf numFmtId="169" fontId="41" fillId="0" borderId="0" xfId="42" applyFont="1" applyAlignment="1">
      <alignment horizontal="left" vertical="center"/>
    </xf>
    <xf numFmtId="3" fontId="41" fillId="0" borderId="0" xfId="42" applyNumberFormat="1" applyFont="1" applyAlignment="1">
      <alignment vertical="center"/>
    </xf>
    <xf numFmtId="171" fontId="41" fillId="0" borderId="0" xfId="42" applyNumberFormat="1" applyFont="1" applyAlignment="1">
      <alignment horizontal="center"/>
    </xf>
    <xf numFmtId="171" fontId="41" fillId="0" borderId="12" xfId="42" applyNumberFormat="1" applyFont="1" applyBorder="1" applyAlignment="1">
      <alignment horizontal="center"/>
    </xf>
    <xf numFmtId="169" fontId="41" fillId="0" borderId="0" xfId="42" quotePrefix="1" applyFont="1" applyAlignment="1">
      <alignment horizontal="center" vertical="center"/>
    </xf>
    <xf numFmtId="168" fontId="41" fillId="0" borderId="0" xfId="42" applyNumberFormat="1" applyFont="1" applyAlignment="1">
      <alignment horizontal="center" vertical="center"/>
    </xf>
    <xf numFmtId="171" fontId="41" fillId="0" borderId="0" xfId="42" applyNumberFormat="1" applyFont="1" applyAlignment="1">
      <alignment horizontal="center" vertical="center"/>
    </xf>
    <xf numFmtId="168" fontId="41" fillId="0" borderId="12" xfId="42" applyNumberFormat="1" applyFont="1" applyBorder="1" applyAlignment="1">
      <alignment horizontal="center" vertical="center"/>
    </xf>
    <xf numFmtId="171" fontId="41" fillId="0" borderId="12" xfId="42" applyNumberFormat="1" applyFont="1" applyBorder="1" applyAlignment="1">
      <alignment horizontal="center" vertical="center"/>
    </xf>
    <xf numFmtId="169" fontId="41" fillId="0" borderId="0" xfId="42" applyFont="1" applyAlignment="1">
      <alignment horizontal="center" vertical="center"/>
    </xf>
    <xf numFmtId="3" fontId="41" fillId="0" borderId="0" xfId="42" applyNumberFormat="1" applyFont="1" applyAlignment="1">
      <alignment horizontal="center" vertical="center"/>
    </xf>
    <xf numFmtId="37" fontId="41" fillId="0" borderId="0" xfId="42" applyNumberFormat="1" applyFont="1" applyAlignment="1">
      <alignment vertical="center"/>
    </xf>
    <xf numFmtId="3" fontId="46" fillId="0" borderId="0" xfId="42" applyNumberFormat="1" applyFont="1" applyAlignment="1">
      <alignment horizontal="center" vertical="center"/>
    </xf>
    <xf numFmtId="37" fontId="46" fillId="0" borderId="0" xfId="42" applyNumberFormat="1" applyFont="1" applyAlignment="1">
      <alignment vertical="center"/>
    </xf>
    <xf numFmtId="3" fontId="41" fillId="0" borderId="12" xfId="42" applyNumberFormat="1" applyFont="1" applyBorder="1" applyAlignment="1">
      <alignment horizontal="center" vertical="center"/>
    </xf>
    <xf numFmtId="3" fontId="46" fillId="0" borderId="12" xfId="42" applyNumberFormat="1" applyFont="1" applyBorder="1" applyAlignment="1">
      <alignment horizontal="center" vertical="center"/>
    </xf>
    <xf numFmtId="169" fontId="41" fillId="0" borderId="0" xfId="42" applyFont="1" applyAlignment="1">
      <alignment vertical="center"/>
    </xf>
    <xf numFmtId="169" fontId="41" fillId="0" borderId="0" xfId="42" quotePrefix="1" applyFont="1" applyAlignment="1">
      <alignment vertical="center"/>
    </xf>
    <xf numFmtId="169" fontId="50" fillId="0" borderId="0" xfId="42" quotePrefix="1" applyFont="1" applyAlignment="1">
      <alignment horizontal="center" vertical="center"/>
    </xf>
    <xf numFmtId="169" fontId="41" fillId="0" borderId="10" xfId="42" applyFont="1" applyBorder="1" applyAlignment="1">
      <alignment vertical="center"/>
    </xf>
    <xf numFmtId="169" fontId="41" fillId="0" borderId="10" xfId="42" applyFont="1" applyBorder="1" applyAlignment="1">
      <alignment horizontal="left" vertical="center"/>
    </xf>
    <xf numFmtId="169" fontId="50" fillId="0" borderId="11" xfId="42" applyFont="1" applyBorder="1" applyAlignment="1">
      <alignment horizontal="center" vertical="center"/>
    </xf>
    <xf numFmtId="37" fontId="50" fillId="0" borderId="11" xfId="42" applyNumberFormat="1" applyFont="1" applyBorder="1" applyAlignment="1">
      <alignment vertical="center"/>
    </xf>
    <xf numFmtId="3" fontId="50" fillId="0" borderId="11" xfId="42" applyNumberFormat="1" applyFont="1" applyBorder="1" applyAlignment="1">
      <alignment vertical="center"/>
    </xf>
    <xf numFmtId="169" fontId="41" fillId="0" borderId="12" xfId="42" applyFont="1" applyBorder="1" applyAlignment="1">
      <alignment horizontal="center" vertical="center"/>
    </xf>
    <xf numFmtId="3" fontId="41" fillId="0" borderId="12" xfId="42" applyNumberFormat="1" applyFont="1" applyBorder="1" applyAlignment="1">
      <alignment vertical="center"/>
    </xf>
    <xf numFmtId="169" fontId="41" fillId="0" borderId="0" xfId="42" quotePrefix="1" applyFont="1" applyAlignment="1">
      <alignment horizontal="left" vertical="center"/>
    </xf>
    <xf numFmtId="169" fontId="41" fillId="0" borderId="0" xfId="43" applyFont="1" applyAlignment="1">
      <alignment vertical="center"/>
    </xf>
    <xf numFmtId="168" fontId="41" fillId="0" borderId="0" xfId="0" applyFont="1" applyAlignment="1">
      <alignment vertical="center"/>
    </xf>
    <xf numFmtId="168" fontId="41" fillId="0" borderId="12" xfId="0" applyFont="1" applyBorder="1" applyAlignment="1">
      <alignment vertical="center"/>
    </xf>
    <xf numFmtId="168" fontId="41" fillId="0" borderId="0" xfId="0" applyFont="1" applyAlignment="1">
      <alignment horizontal="center" vertical="center"/>
    </xf>
    <xf numFmtId="191" fontId="41" fillId="0" borderId="0" xfId="0" quotePrefix="1" applyNumberFormat="1" applyFont="1" applyAlignment="1">
      <alignment horizontal="center" vertical="center"/>
    </xf>
    <xf numFmtId="3" fontId="41" fillId="0" borderId="0" xfId="43" applyNumberFormat="1" applyFont="1" applyAlignment="1">
      <alignment vertical="center"/>
    </xf>
    <xf numFmtId="191" fontId="41" fillId="0" borderId="12" xfId="0" quotePrefix="1" applyNumberFormat="1" applyFont="1" applyBorder="1" applyAlignment="1">
      <alignment horizontal="center" vertical="center"/>
    </xf>
    <xf numFmtId="169" fontId="41" fillId="0" borderId="12" xfId="43" applyFont="1" applyBorder="1" applyAlignment="1">
      <alignment vertical="center"/>
    </xf>
    <xf numFmtId="37" fontId="41" fillId="0" borderId="0" xfId="0" applyNumberFormat="1" applyFont="1" applyAlignment="1">
      <alignment vertical="center"/>
    </xf>
    <xf numFmtId="168" fontId="41" fillId="0" borderId="0" xfId="0" quotePrefix="1" applyFont="1" applyAlignment="1">
      <alignment horizontal="left" vertical="center"/>
    </xf>
    <xf numFmtId="3" fontId="41" fillId="0" borderId="0" xfId="0" applyNumberFormat="1" applyFont="1" applyAlignment="1">
      <alignment horizontal="center" vertical="center"/>
    </xf>
    <xf numFmtId="168" fontId="41" fillId="0" borderId="0" xfId="0" applyFont="1" applyAlignment="1">
      <alignment horizontal="left" vertical="center"/>
    </xf>
    <xf numFmtId="169" fontId="41" fillId="0" borderId="12" xfId="42" quotePrefix="1" applyFont="1" applyBorder="1" applyAlignment="1">
      <alignment vertical="center"/>
    </xf>
    <xf numFmtId="169" fontId="41" fillId="0" borderId="12" xfId="42" applyFont="1" applyBorder="1" applyAlignment="1">
      <alignment vertical="center"/>
    </xf>
    <xf numFmtId="171" fontId="41" fillId="0" borderId="0" xfId="42" applyNumberFormat="1" applyFont="1" applyAlignment="1">
      <alignment vertical="center"/>
    </xf>
    <xf numFmtId="175" fontId="41" fillId="0" borderId="0" xfId="42" applyNumberFormat="1" applyFont="1" applyAlignment="1">
      <alignment vertical="center"/>
    </xf>
    <xf numFmtId="169" fontId="50" fillId="0" borderId="0" xfId="42" applyFont="1" applyAlignment="1">
      <alignment vertical="center"/>
    </xf>
    <xf numFmtId="175" fontId="41" fillId="0" borderId="0" xfId="42" applyNumberFormat="1" applyFont="1" applyAlignment="1">
      <alignment horizontal="center" vertical="center"/>
    </xf>
    <xf numFmtId="175" fontId="41" fillId="0" borderId="12" xfId="42" applyNumberFormat="1" applyFont="1" applyBorder="1" applyAlignment="1">
      <alignment horizontal="center" vertical="center"/>
    </xf>
    <xf numFmtId="173" fontId="41" fillId="0" borderId="0" xfId="42" applyNumberFormat="1" applyFont="1" applyAlignment="1">
      <alignment horizontal="center" vertical="center"/>
    </xf>
    <xf numFmtId="173" fontId="41" fillId="0" borderId="12" xfId="42" applyNumberFormat="1" applyFont="1" applyBorder="1" applyAlignment="1">
      <alignment horizontal="center" vertical="center"/>
    </xf>
    <xf numFmtId="169" fontId="50" fillId="0" borderId="0" xfId="42" applyFont="1" applyAlignment="1">
      <alignment horizontal="center" vertical="center"/>
    </xf>
    <xf numFmtId="37" fontId="50" fillId="0" borderId="0" xfId="42" applyNumberFormat="1" applyFont="1" applyAlignment="1">
      <alignment vertical="center"/>
    </xf>
    <xf numFmtId="3" fontId="50" fillId="0" borderId="0" xfId="42" applyNumberFormat="1" applyFont="1" applyAlignment="1">
      <alignment vertical="center"/>
    </xf>
    <xf numFmtId="3" fontId="48" fillId="0" borderId="0" xfId="42" applyNumberFormat="1" applyFont="1" applyAlignment="1">
      <alignment vertical="center"/>
    </xf>
    <xf numFmtId="37" fontId="48" fillId="0" borderId="0" xfId="42" applyNumberFormat="1" applyFont="1" applyAlignment="1">
      <alignment vertical="center"/>
    </xf>
    <xf numFmtId="169" fontId="51" fillId="0" borderId="0" xfId="42" quotePrefix="1" applyFont="1" applyAlignment="1">
      <alignment vertical="center"/>
    </xf>
    <xf numFmtId="169" fontId="51" fillId="0" borderId="0" xfId="42" applyFont="1" applyAlignment="1">
      <alignment vertical="center"/>
    </xf>
    <xf numFmtId="197" fontId="41" fillId="0" borderId="0" xfId="42" applyNumberFormat="1" applyFont="1" applyAlignment="1">
      <alignment vertical="center"/>
    </xf>
    <xf numFmtId="197" fontId="41" fillId="0" borderId="12" xfId="42" applyNumberFormat="1" applyFont="1" applyBorder="1" applyAlignment="1">
      <alignment vertical="center"/>
    </xf>
    <xf numFmtId="3" fontId="48" fillId="0" borderId="0" xfId="0" applyNumberFormat="1" applyFont="1" applyAlignment="1">
      <alignment vertical="center"/>
    </xf>
    <xf numFmtId="169" fontId="48" fillId="0" borderId="0" xfId="43" applyFont="1" applyAlignment="1">
      <alignment vertical="center"/>
    </xf>
    <xf numFmtId="169" fontId="51" fillId="0" borderId="0" xfId="43" applyFont="1" applyAlignment="1">
      <alignment vertical="center"/>
    </xf>
    <xf numFmtId="169" fontId="51" fillId="0" borderId="0" xfId="43" applyFont="1" applyAlignment="1">
      <alignment vertical="top"/>
    </xf>
    <xf numFmtId="169" fontId="51" fillId="0" borderId="0" xfId="43" applyFont="1"/>
    <xf numFmtId="195" fontId="41" fillId="0" borderId="0" xfId="0" applyNumberFormat="1" applyFont="1" applyAlignment="1">
      <alignment horizontal="right" vertical="center"/>
    </xf>
    <xf numFmtId="195" fontId="41" fillId="0" borderId="12" xfId="0" applyNumberFormat="1" applyFont="1" applyBorder="1" applyAlignment="1">
      <alignment horizontal="right" vertical="center"/>
    </xf>
    <xf numFmtId="175" fontId="41" fillId="0" borderId="0" xfId="0" applyNumberFormat="1" applyFont="1" applyAlignment="1">
      <alignment horizontal="center" vertical="center"/>
    </xf>
    <xf numFmtId="4" fontId="41" fillId="0" borderId="0" xfId="0" applyNumberFormat="1" applyFont="1" applyAlignment="1">
      <alignment horizontal="center" vertical="center"/>
    </xf>
    <xf numFmtId="175" fontId="41" fillId="0" borderId="12" xfId="0" applyNumberFormat="1" applyFont="1" applyBorder="1" applyAlignment="1">
      <alignment horizontal="center" vertical="center"/>
    </xf>
    <xf numFmtId="168" fontId="48" fillId="0" borderId="0" xfId="0" applyFont="1" applyAlignment="1">
      <alignment vertical="center"/>
    </xf>
    <xf numFmtId="176" fontId="34" fillId="0" borderId="0" xfId="41" applyNumberFormat="1" applyFont="1" applyAlignment="1">
      <alignment horizontal="right" vertical="center"/>
    </xf>
    <xf numFmtId="169" fontId="36" fillId="0" borderId="0" xfId="41" quotePrefix="1" applyFont="1" applyAlignment="1">
      <alignment horizontal="left" vertical="center"/>
    </xf>
    <xf numFmtId="169" fontId="36" fillId="0" borderId="0" xfId="41" quotePrefix="1" applyFont="1" applyAlignment="1">
      <alignment horizontal="center" vertical="center"/>
    </xf>
    <xf numFmtId="169" fontId="36" fillId="0" borderId="0" xfId="41" applyFont="1" applyAlignment="1">
      <alignment horizontal="left" vertical="center"/>
    </xf>
    <xf numFmtId="169" fontId="36" fillId="0" borderId="0" xfId="41" applyFont="1" applyAlignment="1">
      <alignment horizontal="center" vertical="center"/>
    </xf>
    <xf numFmtId="169" fontId="36" fillId="0" borderId="0" xfId="41" quotePrefix="1" applyFont="1" applyAlignment="1">
      <alignment vertical="center"/>
    </xf>
    <xf numFmtId="4" fontId="29" fillId="0" borderId="0" xfId="41" applyNumberFormat="1" applyFont="1" applyAlignment="1">
      <alignment horizontal="center" vertical="center"/>
    </xf>
    <xf numFmtId="176" fontId="29" fillId="0" borderId="0" xfId="41" applyNumberFormat="1" applyFont="1" applyAlignment="1">
      <alignment horizontal="center" vertical="center"/>
    </xf>
    <xf numFmtId="4" fontId="29" fillId="0" borderId="12" xfId="41" applyNumberFormat="1" applyFont="1" applyBorder="1" applyAlignment="1">
      <alignment horizontal="center" vertical="center"/>
    </xf>
    <xf numFmtId="176" fontId="29" fillId="0" borderId="12" xfId="41" applyNumberFormat="1" applyFont="1" applyBorder="1" applyAlignment="1">
      <alignment horizontal="center" vertical="center"/>
    </xf>
    <xf numFmtId="0" fontId="31" fillId="0" borderId="0" xfId="40" applyFont="1" applyAlignment="1">
      <alignment horizontal="left" vertical="center"/>
    </xf>
    <xf numFmtId="0" fontId="36" fillId="0" borderId="0" xfId="40" applyFont="1" applyAlignment="1">
      <alignment horizontal="left" vertical="center"/>
    </xf>
    <xf numFmtId="0" fontId="36" fillId="0" borderId="0" xfId="40" applyFont="1" applyAlignment="1" applyProtection="1">
      <alignment horizontal="left"/>
      <protection locked="0"/>
    </xf>
    <xf numFmtId="0" fontId="31" fillId="0" borderId="0" xfId="40" applyFont="1" applyAlignment="1">
      <alignment horizontal="center"/>
    </xf>
    <xf numFmtId="0" fontId="29" fillId="0" borderId="0" xfId="40" applyFont="1" applyAlignment="1">
      <alignment horizontal="center"/>
    </xf>
    <xf numFmtId="0" fontId="36" fillId="0" borderId="0" xfId="40" applyFont="1" applyAlignment="1">
      <alignment horizontal="left" vertical="top"/>
    </xf>
    <xf numFmtId="2" fontId="38" fillId="0" borderId="0" xfId="40" applyNumberFormat="1" applyFont="1" applyAlignment="1">
      <alignment vertical="center"/>
    </xf>
    <xf numFmtId="2" fontId="29" fillId="0" borderId="0" xfId="40" applyNumberFormat="1" applyFont="1" applyAlignment="1">
      <alignment horizontal="center" vertical="center"/>
    </xf>
    <xf numFmtId="2" fontId="29" fillId="0" borderId="12" xfId="40" applyNumberFormat="1" applyFont="1" applyBorder="1" applyAlignment="1">
      <alignment horizontal="center" vertical="center"/>
    </xf>
    <xf numFmtId="2" fontId="29" fillId="0" borderId="0" xfId="40" quotePrefix="1" applyNumberFormat="1" applyFont="1" applyAlignment="1">
      <alignment horizontal="center" vertical="center"/>
    </xf>
    <xf numFmtId="0" fontId="45" fillId="0" borderId="0" xfId="40" applyFont="1" applyAlignment="1">
      <alignment horizontal="left" vertical="center"/>
    </xf>
    <xf numFmtId="4" fontId="29" fillId="0" borderId="0" xfId="40" applyNumberFormat="1" applyFont="1" applyAlignment="1">
      <alignment horizontal="center" vertical="center"/>
    </xf>
    <xf numFmtId="0" fontId="38" fillId="0" borderId="0" xfId="40" applyFont="1" applyAlignment="1">
      <alignment vertical="center"/>
    </xf>
    <xf numFmtId="0" fontId="36" fillId="0" borderId="0" xfId="40" applyFont="1" applyAlignment="1">
      <alignment horizontal="left"/>
    </xf>
    <xf numFmtId="0" fontId="45" fillId="0" borderId="0" xfId="40" applyFont="1" applyAlignment="1">
      <alignment horizontal="left"/>
    </xf>
    <xf numFmtId="0" fontId="31" fillId="0" borderId="0" xfId="40" applyFont="1" applyAlignment="1">
      <alignment horizontal="left"/>
    </xf>
    <xf numFmtId="0" fontId="31" fillId="0" borderId="0" xfId="40" applyFont="1" applyAlignment="1">
      <alignment horizontal="center" vertical="center"/>
    </xf>
    <xf numFmtId="0" fontId="36" fillId="0" borderId="0" xfId="40" quotePrefix="1" applyFont="1" applyAlignment="1">
      <alignment vertical="center"/>
    </xf>
    <xf numFmtId="37" fontId="36" fillId="0" borderId="0" xfId="44" applyFont="1" applyAlignment="1">
      <alignment vertical="top"/>
    </xf>
    <xf numFmtId="37" fontId="36" fillId="0" borderId="0" xfId="44" quotePrefix="1" applyFont="1"/>
    <xf numFmtId="3" fontId="34" fillId="0" borderId="14" xfId="44" applyNumberFormat="1" applyFont="1" applyBorder="1" applyAlignment="1">
      <alignment vertical="center"/>
    </xf>
    <xf numFmtId="37" fontId="34" fillId="0" borderId="0" xfId="44" applyFont="1" applyAlignment="1">
      <alignment vertical="center"/>
    </xf>
    <xf numFmtId="3" fontId="34" fillId="0" borderId="0" xfId="44" applyNumberFormat="1" applyFont="1" applyAlignment="1">
      <alignment vertical="center"/>
    </xf>
    <xf numFmtId="200" fontId="29" fillId="0" borderId="0" xfId="40" applyNumberFormat="1" applyFont="1" applyAlignment="1">
      <alignment vertical="center"/>
    </xf>
    <xf numFmtId="200" fontId="29" fillId="0" borderId="12" xfId="40" applyNumberFormat="1" applyFont="1" applyBorder="1" applyAlignment="1">
      <alignment vertical="center"/>
    </xf>
    <xf numFmtId="0" fontId="54" fillId="0" borderId="0" xfId="0" applyNumberFormat="1" applyFont="1" applyAlignment="1">
      <alignment vertical="top"/>
    </xf>
    <xf numFmtId="199" fontId="29" fillId="0" borderId="0" xfId="40" applyNumberFormat="1" applyFont="1" applyAlignment="1">
      <alignment vertical="center"/>
    </xf>
    <xf numFmtId="199" fontId="29" fillId="0" borderId="12" xfId="40" applyNumberFormat="1" applyFont="1" applyBorder="1" applyAlignment="1">
      <alignment vertical="center"/>
    </xf>
    <xf numFmtId="195" fontId="29" fillId="0" borderId="12" xfId="40" applyNumberFormat="1" applyFont="1" applyBorder="1" applyAlignment="1">
      <alignment vertical="center"/>
    </xf>
    <xf numFmtId="37" fontId="36" fillId="0" borderId="0" xfId="44" applyFont="1" applyAlignment="1">
      <alignment horizontal="left" vertical="top"/>
    </xf>
    <xf numFmtId="37" fontId="37" fillId="0" borderId="0" xfId="45" applyNumberFormat="1" applyFont="1" applyAlignment="1">
      <alignment horizontal="right" vertical="center"/>
    </xf>
    <xf numFmtId="190" fontId="37" fillId="0" borderId="0" xfId="45" applyNumberFormat="1" applyFont="1" applyAlignment="1">
      <alignment horizontal="right" vertical="center"/>
    </xf>
    <xf numFmtId="37" fontId="36" fillId="0" borderId="0" xfId="44" applyFont="1" applyAlignment="1">
      <alignment horizontal="left"/>
    </xf>
    <xf numFmtId="37" fontId="30" fillId="0" borderId="0" xfId="44" applyFont="1" applyAlignment="1">
      <alignment horizontal="left"/>
    </xf>
    <xf numFmtId="37" fontId="31" fillId="0" borderId="0" xfId="44" applyFont="1" applyAlignment="1">
      <alignment horizontal="centerContinuous" vertical="center"/>
    </xf>
    <xf numFmtId="37" fontId="45" fillId="0" borderId="0" xfId="44" applyFont="1" applyAlignment="1">
      <alignment horizontal="left"/>
    </xf>
    <xf numFmtId="37" fontId="42" fillId="0" borderId="0" xfId="44" applyFont="1" applyAlignment="1">
      <alignment horizontal="centerContinuous" vertical="center"/>
    </xf>
    <xf numFmtId="199" fontId="29" fillId="0" borderId="12" xfId="44" applyNumberFormat="1" applyFont="1" applyBorder="1" applyAlignment="1">
      <alignment horizontal="right" vertical="center"/>
    </xf>
    <xf numFmtId="199" fontId="29" fillId="0" borderId="12" xfId="44" applyNumberFormat="1" applyFont="1" applyBorder="1" applyAlignment="1">
      <alignment vertical="center"/>
    </xf>
    <xf numFmtId="0" fontId="36" fillId="0" borderId="0" xfId="45" applyFont="1" applyAlignment="1">
      <alignment horizontal="left" vertical="top"/>
    </xf>
    <xf numFmtId="0" fontId="45" fillId="0" borderId="0" xfId="45" applyFont="1" applyAlignment="1">
      <alignment horizontal="left" vertical="top"/>
    </xf>
    <xf numFmtId="193" fontId="31" fillId="0" borderId="0" xfId="35" applyNumberFormat="1" applyFont="1" applyFill="1" applyBorder="1" applyAlignment="1" applyProtection="1">
      <alignment vertical="center"/>
    </xf>
    <xf numFmtId="193" fontId="29" fillId="0" borderId="0" xfId="45" applyNumberFormat="1" applyFont="1" applyAlignment="1">
      <alignment horizontal="right" vertical="center"/>
    </xf>
    <xf numFmtId="37" fontId="36" fillId="0" borderId="0" xfId="40" applyNumberFormat="1" applyFont="1" applyAlignment="1">
      <alignment vertical="center"/>
    </xf>
    <xf numFmtId="0" fontId="45" fillId="0" borderId="0" xfId="40" applyFont="1" applyAlignment="1">
      <alignment horizontal="left" vertical="top"/>
    </xf>
    <xf numFmtId="195" fontId="29" fillId="0" borderId="0" xfId="40" applyNumberFormat="1" applyFont="1"/>
    <xf numFmtId="1" fontId="41" fillId="0" borderId="0" xfId="0" quotePrefix="1" applyNumberFormat="1" applyFont="1" applyAlignment="1">
      <alignment horizontal="center" vertical="center"/>
    </xf>
    <xf numFmtId="1" fontId="41" fillId="0" borderId="12" xfId="0" quotePrefix="1" applyNumberFormat="1" applyFont="1" applyBorder="1" applyAlignment="1">
      <alignment horizontal="center" vertical="center"/>
    </xf>
    <xf numFmtId="199" fontId="41" fillId="0" borderId="0" xfId="42" applyNumberFormat="1" applyFont="1" applyAlignment="1">
      <alignment vertical="center"/>
    </xf>
    <xf numFmtId="199" fontId="41" fillId="0" borderId="12" xfId="42" applyNumberFormat="1" applyFont="1" applyBorder="1" applyAlignment="1">
      <alignment vertical="center"/>
    </xf>
    <xf numFmtId="199" fontId="41" fillId="0" borderId="0" xfId="42" applyNumberFormat="1" applyFont="1" applyAlignment="1">
      <alignment horizontal="right" vertical="center"/>
    </xf>
    <xf numFmtId="199" fontId="46" fillId="0" borderId="0" xfId="42" applyNumberFormat="1" applyFont="1" applyAlignment="1">
      <alignment horizontal="right" vertical="center"/>
    </xf>
    <xf numFmtId="199" fontId="41" fillId="0" borderId="12" xfId="42" applyNumberFormat="1" applyFont="1" applyBorder="1" applyAlignment="1">
      <alignment horizontal="right" vertical="center"/>
    </xf>
    <xf numFmtId="195" fontId="41" fillId="0" borderId="0" xfId="42" applyNumberFormat="1" applyFont="1" applyAlignment="1">
      <alignment horizontal="right" vertical="center"/>
    </xf>
    <xf numFmtId="195" fontId="41" fillId="0" borderId="12" xfId="42" applyNumberFormat="1" applyFont="1" applyBorder="1" applyAlignment="1">
      <alignment horizontal="right" vertical="center"/>
    </xf>
    <xf numFmtId="195" fontId="29" fillId="0" borderId="0" xfId="40" applyNumberFormat="1" applyFont="1" applyAlignment="1">
      <alignment horizontal="right" vertical="center"/>
    </xf>
    <xf numFmtId="195" fontId="29" fillId="0" borderId="12" xfId="40" applyNumberFormat="1" applyFont="1" applyBorder="1" applyAlignment="1">
      <alignment horizontal="right" vertical="center"/>
    </xf>
    <xf numFmtId="195" fontId="29" fillId="0" borderId="0" xfId="44" applyNumberFormat="1" applyFont="1" applyAlignment="1">
      <alignment vertical="center"/>
    </xf>
    <xf numFmtId="198" fontId="29" fillId="0" borderId="12" xfId="42" applyNumberFormat="1" applyFont="1" applyBorder="1" applyAlignment="1">
      <alignment horizontal="right" vertical="center"/>
    </xf>
    <xf numFmtId="204" fontId="31" fillId="0" borderId="0" xfId="40" applyNumberFormat="1" applyFont="1" applyAlignment="1">
      <alignment horizontal="center" vertical="center"/>
    </xf>
    <xf numFmtId="204" fontId="29" fillId="0" borderId="0" xfId="40" applyNumberFormat="1" applyFont="1" applyAlignment="1">
      <alignment horizontal="center" vertical="center"/>
    </xf>
    <xf numFmtId="192" fontId="31" fillId="0" borderId="0" xfId="40" applyNumberFormat="1" applyFont="1" applyAlignment="1">
      <alignment horizontal="center" vertical="center"/>
    </xf>
    <xf numFmtId="192" fontId="29" fillId="0" borderId="0" xfId="40" applyNumberFormat="1" applyFont="1" applyAlignment="1">
      <alignment horizontal="center" vertical="center"/>
    </xf>
    <xf numFmtId="3" fontId="29" fillId="0" borderId="0" xfId="41" applyNumberFormat="1" applyFont="1" applyAlignment="1">
      <alignment horizontal="center" vertical="center"/>
    </xf>
    <xf numFmtId="195" fontId="29" fillId="0" borderId="0" xfId="0" applyNumberFormat="1" applyFont="1" applyAlignment="1">
      <alignment horizontal="right" vertical="center"/>
    </xf>
    <xf numFmtId="195" fontId="29" fillId="0" borderId="12" xfId="0" applyNumberFormat="1" applyFont="1" applyBorder="1" applyAlignment="1">
      <alignment horizontal="right" vertical="center"/>
    </xf>
    <xf numFmtId="195" fontId="29" fillId="0" borderId="12" xfId="38" applyNumberFormat="1" applyFont="1" applyBorder="1" applyAlignment="1">
      <alignment horizontal="right" vertical="center"/>
    </xf>
    <xf numFmtId="199" fontId="31" fillId="18" borderId="0" xfId="38" applyNumberFormat="1" applyFont="1" applyFill="1" applyAlignment="1">
      <alignment vertical="center"/>
    </xf>
    <xf numFmtId="181" fontId="31" fillId="18" borderId="0" xfId="38" applyNumberFormat="1" applyFont="1" applyFill="1" applyAlignment="1">
      <alignment horizontal="center" vertical="center"/>
    </xf>
    <xf numFmtId="200" fontId="31" fillId="18" borderId="0" xfId="38" applyNumberFormat="1" applyFont="1" applyFill="1" applyAlignment="1">
      <alignment vertical="center"/>
    </xf>
    <xf numFmtId="37" fontId="42" fillId="18" borderId="12" xfId="44" applyFont="1" applyFill="1" applyBorder="1" applyAlignment="1">
      <alignment vertical="center"/>
    </xf>
    <xf numFmtId="188" fontId="29" fillId="18" borderId="0" xfId="38" applyNumberFormat="1" applyFont="1" applyFill="1" applyAlignment="1">
      <alignment horizontal="center" vertical="center"/>
    </xf>
    <xf numFmtId="199" fontId="29" fillId="18" borderId="0" xfId="38" applyNumberFormat="1" applyFont="1" applyFill="1" applyAlignment="1">
      <alignment vertical="center"/>
    </xf>
    <xf numFmtId="202" fontId="31" fillId="0" borderId="0" xfId="40" applyNumberFormat="1" applyFont="1" applyAlignment="1">
      <alignment vertical="center"/>
    </xf>
    <xf numFmtId="202" fontId="29" fillId="0" borderId="0" xfId="40" applyNumberFormat="1" applyFont="1" applyAlignment="1">
      <alignment vertical="center"/>
    </xf>
    <xf numFmtId="199" fontId="31" fillId="0" borderId="0" xfId="40" applyNumberFormat="1" applyFont="1" applyAlignment="1">
      <alignment vertical="center"/>
    </xf>
    <xf numFmtId="205" fontId="29" fillId="0" borderId="0" xfId="41" applyNumberFormat="1" applyFont="1" applyAlignment="1">
      <alignment vertical="center"/>
    </xf>
    <xf numFmtId="205" fontId="29" fillId="0" borderId="12" xfId="41" applyNumberFormat="1" applyFont="1" applyBorder="1" applyAlignment="1">
      <alignment vertical="center"/>
    </xf>
    <xf numFmtId="195" fontId="29" fillId="0" borderId="0" xfId="41" applyNumberFormat="1" applyFont="1" applyAlignment="1">
      <alignment vertical="center"/>
    </xf>
    <xf numFmtId="195" fontId="29" fillId="0" borderId="12" xfId="41" applyNumberFormat="1" applyFont="1" applyBorder="1" applyAlignment="1">
      <alignment vertical="center"/>
    </xf>
    <xf numFmtId="199" fontId="29" fillId="0" borderId="0" xfId="42" applyNumberFormat="1" applyFont="1" applyAlignment="1">
      <alignment vertical="center"/>
    </xf>
    <xf numFmtId="199" fontId="29" fillId="0" borderId="12" xfId="42" applyNumberFormat="1" applyFont="1" applyBorder="1" applyAlignment="1">
      <alignment horizontal="right" vertical="center"/>
    </xf>
    <xf numFmtId="199" fontId="29" fillId="0" borderId="0" xfId="42" applyNumberFormat="1" applyFont="1" applyAlignment="1">
      <alignment horizontal="right" vertical="center"/>
    </xf>
    <xf numFmtId="199" fontId="29" fillId="0" borderId="0" xfId="42" applyNumberFormat="1" applyFont="1" applyAlignment="1">
      <alignment horizontal="center" vertical="center"/>
    </xf>
    <xf numFmtId="199" fontId="29" fillId="0" borderId="12" xfId="42" applyNumberFormat="1" applyFont="1" applyBorder="1" applyAlignment="1">
      <alignment horizontal="center" vertical="center"/>
    </xf>
    <xf numFmtId="195" fontId="29" fillId="0" borderId="0" xfId="42" applyNumberFormat="1" applyFont="1" applyAlignment="1">
      <alignment horizontal="right" vertical="center"/>
    </xf>
    <xf numFmtId="195" fontId="29" fillId="0" borderId="12" xfId="42" applyNumberFormat="1" applyFont="1" applyBorder="1" applyAlignment="1">
      <alignment horizontal="right" vertical="center"/>
    </xf>
    <xf numFmtId="200" fontId="41" fillId="0" borderId="0" xfId="42" applyNumberFormat="1" applyFont="1" applyAlignment="1">
      <alignment vertical="center"/>
    </xf>
    <xf numFmtId="200" fontId="41" fillId="0" borderId="12" xfId="42" applyNumberFormat="1" applyFont="1" applyBorder="1" applyAlignment="1">
      <alignment vertical="center"/>
    </xf>
    <xf numFmtId="195" fontId="50" fillId="0" borderId="0" xfId="0" applyNumberFormat="1" applyFont="1" applyAlignment="1">
      <alignment horizontal="right" vertical="center"/>
    </xf>
    <xf numFmtId="195" fontId="50" fillId="0" borderId="12" xfId="0" applyNumberFormat="1" applyFont="1" applyBorder="1" applyAlignment="1">
      <alignment horizontal="right" vertical="center"/>
    </xf>
    <xf numFmtId="175" fontId="50" fillId="0" borderId="0" xfId="0" applyNumberFormat="1" applyFont="1" applyAlignment="1">
      <alignment horizontal="center" vertical="center"/>
    </xf>
    <xf numFmtId="175" fontId="50" fillId="0" borderId="12" xfId="0" applyNumberFormat="1" applyFont="1" applyBorder="1" applyAlignment="1">
      <alignment horizontal="center" vertical="center"/>
    </xf>
    <xf numFmtId="195" fontId="29" fillId="0" borderId="0" xfId="44" applyNumberFormat="1" applyFont="1" applyAlignment="1">
      <alignment horizontal="right" vertical="center"/>
    </xf>
    <xf numFmtId="192" fontId="31" fillId="0" borderId="0" xfId="35" applyNumberFormat="1" applyFont="1" applyFill="1" applyBorder="1" applyAlignment="1" applyProtection="1">
      <alignment vertical="center"/>
    </xf>
    <xf numFmtId="192" fontId="29" fillId="0" borderId="0" xfId="45" applyNumberFormat="1" applyFont="1" applyAlignment="1">
      <alignment horizontal="right" vertical="center"/>
    </xf>
    <xf numFmtId="192" fontId="31" fillId="0" borderId="0" xfId="35" applyNumberFormat="1" applyFont="1" applyFill="1" applyBorder="1" applyAlignment="1" applyProtection="1">
      <alignment horizontal="right" vertical="center"/>
    </xf>
    <xf numFmtId="0" fontId="29" fillId="0" borderId="12" xfId="38" applyFont="1" applyBorder="1" applyAlignment="1">
      <alignment horizontal="left" vertical="center"/>
    </xf>
    <xf numFmtId="37" fontId="55" fillId="0" borderId="0" xfId="0" applyNumberFormat="1" applyFont="1"/>
    <xf numFmtId="204" fontId="29" fillId="0" borderId="12" xfId="40" applyNumberFormat="1" applyFont="1" applyBorder="1" applyAlignment="1">
      <alignment horizontal="center" vertical="center"/>
    </xf>
    <xf numFmtId="192" fontId="29" fillId="0" borderId="12" xfId="40" applyNumberFormat="1" applyFont="1" applyBorder="1" applyAlignment="1">
      <alignment horizontal="center" vertical="center"/>
    </xf>
    <xf numFmtId="195" fontId="31" fillId="0" borderId="0" xfId="35" applyNumberFormat="1" applyFont="1" applyFill="1" applyBorder="1" applyAlignment="1" applyProtection="1">
      <alignment vertical="center"/>
    </xf>
    <xf numFmtId="194" fontId="48" fillId="0" borderId="0" xfId="0" applyNumberFormat="1" applyFont="1" applyAlignment="1">
      <alignment vertical="center"/>
    </xf>
    <xf numFmtId="206" fontId="41" fillId="0" borderId="0" xfId="0" applyNumberFormat="1" applyFont="1" applyAlignment="1">
      <alignment vertical="center"/>
    </xf>
    <xf numFmtId="3" fontId="56" fillId="0" borderId="11" xfId="0" applyNumberFormat="1" applyFont="1" applyBorder="1"/>
    <xf numFmtId="207" fontId="50" fillId="0" borderId="0" xfId="42" applyNumberFormat="1" applyFont="1" applyAlignment="1">
      <alignment vertical="center"/>
    </xf>
    <xf numFmtId="173" fontId="48" fillId="0" borderId="0" xfId="42" quotePrefix="1" applyNumberFormat="1" applyFont="1" applyAlignment="1">
      <alignment horizontal="left"/>
    </xf>
    <xf numFmtId="174" fontId="48" fillId="0" borderId="0" xfId="42" applyNumberFormat="1" applyFont="1" applyAlignment="1">
      <alignment vertical="center"/>
    </xf>
    <xf numFmtId="208" fontId="41" fillId="0" borderId="0" xfId="42" applyNumberFormat="1" applyFont="1" applyAlignment="1">
      <alignment vertical="center"/>
    </xf>
    <xf numFmtId="209" fontId="41" fillId="0" borderId="0" xfId="42" applyNumberFormat="1" applyFont="1" applyAlignment="1">
      <alignment vertical="center"/>
    </xf>
    <xf numFmtId="192" fontId="29" fillId="0" borderId="0" xfId="40" applyNumberFormat="1" applyFont="1" applyAlignment="1">
      <alignment horizontal="center"/>
    </xf>
    <xf numFmtId="3" fontId="31" fillId="19" borderId="0" xfId="40" applyNumberFormat="1" applyFont="1" applyFill="1" applyAlignment="1">
      <alignment vertical="center"/>
    </xf>
    <xf numFmtId="174" fontId="31" fillId="19" borderId="0" xfId="40" applyNumberFormat="1" applyFont="1" applyFill="1" applyAlignment="1">
      <alignment vertical="center"/>
    </xf>
    <xf numFmtId="0" fontId="31" fillId="19" borderId="0" xfId="40" applyFont="1" applyFill="1" applyAlignment="1">
      <alignment vertical="center"/>
    </xf>
    <xf numFmtId="174" fontId="31" fillId="19" borderId="12" xfId="40" applyNumberFormat="1" applyFont="1" applyFill="1" applyBorder="1" applyAlignment="1">
      <alignment vertical="center"/>
    </xf>
    <xf numFmtId="168" fontId="31" fillId="19" borderId="10" xfId="0" applyFont="1" applyFill="1" applyBorder="1" applyAlignment="1">
      <alignment horizontal="centerContinuous" vertical="center"/>
    </xf>
    <xf numFmtId="175" fontId="31" fillId="19" borderId="10" xfId="32" quotePrefix="1" applyNumberFormat="1" applyFont="1" applyFill="1" applyBorder="1" applyAlignment="1" applyProtection="1">
      <alignment horizontal="right" vertical="center"/>
    </xf>
    <xf numFmtId="175" fontId="31" fillId="19" borderId="11" xfId="32" quotePrefix="1" applyNumberFormat="1" applyFont="1" applyFill="1" applyBorder="1" applyAlignment="1" applyProtection="1">
      <alignment horizontal="right" vertical="center"/>
    </xf>
    <xf numFmtId="192" fontId="31" fillId="19" borderId="11" xfId="32" quotePrefix="1" applyNumberFormat="1" applyFont="1" applyFill="1" applyBorder="1" applyAlignment="1" applyProtection="1">
      <alignment horizontal="right" vertical="center"/>
    </xf>
    <xf numFmtId="192" fontId="31" fillId="19" borderId="11" xfId="38" applyNumberFormat="1" applyFont="1" applyFill="1" applyBorder="1" applyAlignment="1">
      <alignment horizontal="center" vertical="center"/>
    </xf>
    <xf numFmtId="168" fontId="31" fillId="19" borderId="11" xfId="0" applyFont="1" applyFill="1" applyBorder="1" applyAlignment="1">
      <alignment horizontal="center" vertical="center"/>
    </xf>
    <xf numFmtId="192" fontId="31" fillId="19" borderId="10" xfId="38" applyNumberFormat="1" applyFont="1" applyFill="1" applyBorder="1" applyAlignment="1">
      <alignment horizontal="center" vertical="center"/>
    </xf>
    <xf numFmtId="175" fontId="31" fillId="19" borderId="10" xfId="0" applyNumberFormat="1" applyFont="1" applyFill="1" applyBorder="1" applyAlignment="1">
      <alignment vertical="center"/>
    </xf>
    <xf numFmtId="183" fontId="31" fillId="19" borderId="11" xfId="36" applyNumberFormat="1" applyFont="1" applyFill="1" applyBorder="1" applyAlignment="1" applyProtection="1">
      <alignment vertical="center"/>
    </xf>
    <xf numFmtId="192" fontId="31" fillId="19" borderId="11" xfId="36" applyNumberFormat="1" applyFont="1" applyFill="1" applyBorder="1" applyAlignment="1" applyProtection="1">
      <alignment vertical="center"/>
    </xf>
    <xf numFmtId="184" fontId="31" fillId="19" borderId="10" xfId="32" quotePrefix="1" applyNumberFormat="1" applyFont="1" applyFill="1" applyBorder="1" applyAlignment="1" applyProtection="1">
      <alignment horizontal="right" vertical="center"/>
    </xf>
    <xf numFmtId="198" fontId="31" fillId="19" borderId="10" xfId="32" quotePrefix="1" applyNumberFormat="1" applyFont="1" applyFill="1" applyBorder="1" applyAlignment="1" applyProtection="1">
      <alignment horizontal="right" vertical="center"/>
    </xf>
    <xf numFmtId="168" fontId="31" fillId="19" borderId="10" xfId="0" applyFont="1" applyFill="1" applyBorder="1" applyAlignment="1">
      <alignment horizontal="left" vertical="center"/>
    </xf>
    <xf numFmtId="168" fontId="33" fillId="19" borderId="10" xfId="0" applyFont="1" applyFill="1" applyBorder="1" applyAlignment="1">
      <alignment vertical="center"/>
    </xf>
    <xf numFmtId="177" fontId="31" fillId="20" borderId="11" xfId="32" quotePrefix="1" applyNumberFormat="1" applyFont="1" applyFill="1" applyBorder="1" applyAlignment="1" applyProtection="1">
      <alignment horizontal="center" vertical="center"/>
    </xf>
    <xf numFmtId="3" fontId="31" fillId="20" borderId="11" xfId="32" quotePrefix="1" applyNumberFormat="1" applyFont="1" applyFill="1" applyBorder="1" applyAlignment="1" applyProtection="1">
      <alignment horizontal="center" vertical="center"/>
    </xf>
    <xf numFmtId="49" fontId="31" fillId="20" borderId="11" xfId="32" quotePrefix="1" applyNumberFormat="1" applyFont="1" applyFill="1" applyBorder="1" applyAlignment="1" applyProtection="1">
      <alignment horizontal="center" vertical="center"/>
    </xf>
    <xf numFmtId="49" fontId="31" fillId="20" borderId="10" xfId="38" applyNumberFormat="1" applyFont="1" applyFill="1" applyBorder="1" applyAlignment="1">
      <alignment horizontal="center" vertical="center"/>
    </xf>
    <xf numFmtId="37" fontId="31" fillId="20" borderId="10" xfId="38" applyNumberFormat="1" applyFont="1" applyFill="1" applyBorder="1" applyAlignment="1">
      <alignment horizontal="center" vertical="center"/>
    </xf>
    <xf numFmtId="190" fontId="31" fillId="20" borderId="10" xfId="38" applyNumberFormat="1" applyFont="1" applyFill="1" applyBorder="1" applyAlignment="1">
      <alignment horizontal="center" vertical="center"/>
    </xf>
    <xf numFmtId="49" fontId="31" fillId="20" borderId="10" xfId="32" quotePrefix="1" applyNumberFormat="1" applyFont="1" applyFill="1" applyBorder="1" applyAlignment="1" applyProtection="1">
      <alignment horizontal="center" vertical="center"/>
    </xf>
    <xf numFmtId="177" fontId="31" fillId="20" borderId="10" xfId="32" quotePrefix="1" applyNumberFormat="1" applyFont="1" applyFill="1" applyBorder="1" applyAlignment="1" applyProtection="1">
      <alignment horizontal="center" vertical="center"/>
    </xf>
    <xf numFmtId="3" fontId="31" fillId="20" borderId="10" xfId="32" quotePrefix="1" applyNumberFormat="1" applyFont="1" applyFill="1" applyBorder="1" applyAlignment="1" applyProtection="1">
      <alignment horizontal="center" vertical="center"/>
    </xf>
    <xf numFmtId="49" fontId="31" fillId="20" borderId="13" xfId="38" applyNumberFormat="1" applyFont="1" applyFill="1" applyBorder="1" applyAlignment="1">
      <alignment horizontal="center" vertical="center"/>
    </xf>
    <xf numFmtId="37" fontId="31" fillId="20" borderId="13" xfId="38" applyNumberFormat="1" applyFont="1" applyFill="1" applyBorder="1" applyAlignment="1">
      <alignment horizontal="center" vertical="center"/>
    </xf>
    <xf numFmtId="190" fontId="31" fillId="20" borderId="13" xfId="38" applyNumberFormat="1" applyFont="1" applyFill="1" applyBorder="1" applyAlignment="1">
      <alignment horizontal="center" vertical="center"/>
    </xf>
    <xf numFmtId="0" fontId="31" fillId="20" borderId="10" xfId="38" applyFont="1" applyFill="1" applyBorder="1" applyAlignment="1">
      <alignment horizontal="center" vertical="center"/>
    </xf>
    <xf numFmtId="0" fontId="31" fillId="20" borderId="10" xfId="38" applyFont="1" applyFill="1" applyBorder="1" applyAlignment="1">
      <alignment horizontal="center" vertical="center" wrapText="1"/>
    </xf>
    <xf numFmtId="3" fontId="31" fillId="20" borderId="13" xfId="40" applyNumberFormat="1" applyFont="1" applyFill="1" applyBorder="1" applyAlignment="1">
      <alignment horizontal="center" vertical="center" wrapText="1"/>
    </xf>
    <xf numFmtId="3" fontId="31" fillId="20" borderId="13" xfId="40" applyNumberFormat="1" applyFont="1" applyFill="1" applyBorder="1" applyAlignment="1">
      <alignment horizontal="center" vertical="center"/>
    </xf>
    <xf numFmtId="3" fontId="31" fillId="19" borderId="11" xfId="38" quotePrefix="1" applyNumberFormat="1" applyFont="1" applyFill="1" applyBorder="1" applyAlignment="1">
      <alignment horizontal="center" vertical="center"/>
    </xf>
    <xf numFmtId="195" fontId="31" fillId="19" borderId="11" xfId="38" applyNumberFormat="1" applyFont="1" applyFill="1" applyBorder="1" applyAlignment="1">
      <alignment vertical="center"/>
    </xf>
    <xf numFmtId="4" fontId="31" fillId="19" borderId="10" xfId="40" applyNumberFormat="1" applyFont="1" applyFill="1" applyBorder="1" applyAlignment="1">
      <alignment vertical="center"/>
    </xf>
    <xf numFmtId="175" fontId="31" fillId="19" borderId="0" xfId="40" applyNumberFormat="1" applyFont="1" applyFill="1" applyAlignment="1">
      <alignment vertical="center"/>
    </xf>
    <xf numFmtId="4" fontId="31" fillId="19" borderId="12" xfId="40" applyNumberFormat="1" applyFont="1" applyFill="1" applyBorder="1" applyAlignment="1">
      <alignment vertical="center"/>
    </xf>
    <xf numFmtId="0" fontId="31" fillId="19" borderId="11" xfId="40" applyFont="1" applyFill="1" applyBorder="1" applyAlignment="1">
      <alignment horizontal="center" vertical="center"/>
    </xf>
    <xf numFmtId="195" fontId="31" fillId="19" borderId="11" xfId="40" applyNumberFormat="1" applyFont="1" applyFill="1" applyBorder="1" applyAlignment="1">
      <alignment vertical="center"/>
    </xf>
    <xf numFmtId="0" fontId="42" fillId="19" borderId="11" xfId="40" applyFont="1" applyFill="1" applyBorder="1" applyAlignment="1">
      <alignment horizontal="center" vertical="center"/>
    </xf>
    <xf numFmtId="199" fontId="42" fillId="19" borderId="11" xfId="40" applyNumberFormat="1" applyFont="1" applyFill="1" applyBorder="1" applyAlignment="1">
      <alignment vertical="center"/>
    </xf>
    <xf numFmtId="204" fontId="42" fillId="19" borderId="11" xfId="40" applyNumberFormat="1" applyFont="1" applyFill="1" applyBorder="1" applyAlignment="1">
      <alignment horizontal="center" vertical="center"/>
    </xf>
    <xf numFmtId="192" fontId="42" fillId="19" borderId="11" xfId="40" applyNumberFormat="1" applyFont="1" applyFill="1" applyBorder="1" applyAlignment="1">
      <alignment horizontal="center" vertical="center"/>
    </xf>
    <xf numFmtId="0" fontId="31" fillId="0" borderId="0" xfId="39" applyFont="1" applyAlignment="1">
      <alignment horizontal="center" vertical="center"/>
    </xf>
    <xf numFmtId="0" fontId="31" fillId="20" borderId="13" xfId="39" applyFont="1" applyFill="1" applyBorder="1" applyAlignment="1">
      <alignment horizontal="center" vertical="center"/>
    </xf>
    <xf numFmtId="170" fontId="31" fillId="20" borderId="13" xfId="45" quotePrefix="1" applyNumberFormat="1" applyFont="1" applyFill="1" applyBorder="1" applyAlignment="1">
      <alignment horizontal="center" vertical="center"/>
    </xf>
    <xf numFmtId="0" fontId="31" fillId="20" borderId="13" xfId="39" applyFont="1" applyFill="1" applyBorder="1" applyAlignment="1" applyProtection="1">
      <alignment horizontal="center" vertical="center" wrapText="1"/>
      <protection locked="0"/>
    </xf>
    <xf numFmtId="0" fontId="31" fillId="0" borderId="0" xfId="38" applyFont="1" applyAlignment="1">
      <alignment horizontal="center" vertical="center"/>
    </xf>
    <xf numFmtId="0" fontId="31" fillId="20" borderId="13" xfId="40" applyFont="1" applyFill="1" applyBorder="1" applyAlignment="1">
      <alignment horizontal="center" vertical="center"/>
    </xf>
    <xf numFmtId="0" fontId="29" fillId="0" borderId="12" xfId="39" applyFont="1" applyBorder="1" applyAlignment="1">
      <alignment vertical="center"/>
    </xf>
    <xf numFmtId="0" fontId="34" fillId="0" borderId="12" xfId="39" applyFont="1" applyBorder="1" applyAlignment="1">
      <alignment horizontal="left" vertical="center"/>
    </xf>
    <xf numFmtId="0" fontId="42" fillId="20" borderId="13" xfId="40" applyFont="1" applyFill="1" applyBorder="1" applyAlignment="1">
      <alignment horizontal="center" vertical="center"/>
    </xf>
    <xf numFmtId="170" fontId="42" fillId="20" borderId="13" xfId="45" quotePrefix="1" applyNumberFormat="1" applyFont="1" applyFill="1" applyBorder="1" applyAlignment="1">
      <alignment horizontal="center" vertical="center"/>
    </xf>
    <xf numFmtId="4" fontId="31" fillId="19" borderId="11" xfId="35" applyNumberFormat="1" applyFont="1" applyFill="1" applyBorder="1" applyAlignment="1" applyProtection="1">
      <alignment horizontal="center" vertical="center"/>
    </xf>
    <xf numFmtId="196" fontId="31" fillId="19" borderId="11" xfId="35" applyNumberFormat="1" applyFont="1" applyFill="1" applyBorder="1" applyAlignment="1" applyProtection="1">
      <alignment horizontal="right" vertical="center"/>
    </xf>
    <xf numFmtId="200" fontId="31" fillId="19" borderId="11" xfId="35" applyNumberFormat="1" applyFont="1" applyFill="1" applyBorder="1" applyAlignment="1" applyProtection="1">
      <alignment horizontal="right" vertical="center"/>
    </xf>
    <xf numFmtId="199" fontId="31" fillId="19" borderId="11" xfId="35" applyNumberFormat="1" applyFont="1" applyFill="1" applyBorder="1" applyAlignment="1" applyProtection="1">
      <alignment horizontal="right" vertical="center"/>
    </xf>
    <xf numFmtId="195" fontId="31" fillId="19" borderId="11" xfId="35" applyNumberFormat="1" applyFont="1" applyFill="1" applyBorder="1" applyAlignment="1" applyProtection="1">
      <alignment horizontal="right" vertical="center"/>
    </xf>
    <xf numFmtId="169" fontId="29" fillId="0" borderId="12" xfId="48" quotePrefix="1" applyFont="1" applyBorder="1" applyAlignment="1">
      <alignment horizontal="left" vertical="center"/>
    </xf>
    <xf numFmtId="4" fontId="29" fillId="0" borderId="12" xfId="35" applyNumberFormat="1" applyFont="1" applyFill="1" applyBorder="1" applyAlignment="1" applyProtection="1">
      <alignment horizontal="center" vertical="center"/>
    </xf>
    <xf numFmtId="169" fontId="29" fillId="0" borderId="12" xfId="45" applyNumberFormat="1" applyFont="1" applyBorder="1" applyAlignment="1">
      <alignment horizontal="left" vertical="center"/>
    </xf>
    <xf numFmtId="196" fontId="29" fillId="0" borderId="12" xfId="35" applyNumberFormat="1" applyFont="1" applyFill="1" applyBorder="1" applyAlignment="1" applyProtection="1">
      <alignment horizontal="right" vertical="center"/>
    </xf>
    <xf numFmtId="200" fontId="29" fillId="0" borderId="12" xfId="35" applyNumberFormat="1" applyFont="1" applyFill="1" applyBorder="1" applyAlignment="1" applyProtection="1">
      <alignment horizontal="right" vertical="center"/>
    </xf>
    <xf numFmtId="199" fontId="29" fillId="0" borderId="12" xfId="35" applyNumberFormat="1" applyFont="1" applyFill="1" applyBorder="1" applyAlignment="1" applyProtection="1">
      <alignment horizontal="right" vertical="center"/>
    </xf>
    <xf numFmtId="195" fontId="29" fillId="0" borderId="12" xfId="45" applyNumberFormat="1" applyFont="1" applyBorder="1" applyAlignment="1">
      <alignment horizontal="right" vertical="center"/>
    </xf>
    <xf numFmtId="195" fontId="29" fillId="0" borderId="12" xfId="35" applyNumberFormat="1" applyFont="1" applyFill="1" applyBorder="1" applyAlignment="1" applyProtection="1">
      <alignment horizontal="right" vertical="center"/>
    </xf>
    <xf numFmtId="199" fontId="29" fillId="0" borderId="12" xfId="45" applyNumberFormat="1" applyFont="1" applyBorder="1" applyAlignment="1">
      <alignment horizontal="right" vertical="center"/>
    </xf>
    <xf numFmtId="195" fontId="29" fillId="0" borderId="12" xfId="46" applyNumberFormat="1" applyFont="1" applyBorder="1" applyAlignment="1">
      <alignment horizontal="right" vertical="center"/>
    </xf>
    <xf numFmtId="200" fontId="29" fillId="0" borderId="12" xfId="45" applyNumberFormat="1" applyFont="1" applyBorder="1" applyAlignment="1">
      <alignment horizontal="right" vertical="center"/>
    </xf>
    <xf numFmtId="196" fontId="42" fillId="19" borderId="11" xfId="40" applyNumberFormat="1" applyFont="1" applyFill="1" applyBorder="1" applyAlignment="1">
      <alignment vertical="center"/>
    </xf>
    <xf numFmtId="202" fontId="42" fillId="19" borderId="11" xfId="40" applyNumberFormat="1" applyFont="1" applyFill="1" applyBorder="1" applyAlignment="1">
      <alignment vertical="center"/>
    </xf>
    <xf numFmtId="197" fontId="42" fillId="19" borderId="11" xfId="40" applyNumberFormat="1" applyFont="1" applyFill="1" applyBorder="1" applyAlignment="1">
      <alignment vertical="center"/>
    </xf>
    <xf numFmtId="196" fontId="29" fillId="0" borderId="12" xfId="40" applyNumberFormat="1" applyFont="1" applyBorder="1" applyAlignment="1">
      <alignment vertical="center"/>
    </xf>
    <xf numFmtId="202" fontId="29" fillId="0" borderId="12" xfId="40" applyNumberFormat="1" applyFont="1" applyBorder="1" applyAlignment="1">
      <alignment vertical="center"/>
    </xf>
    <xf numFmtId="197" fontId="29" fillId="0" borderId="12" xfId="40" applyNumberFormat="1" applyFont="1" applyBorder="1" applyAlignment="1">
      <alignment vertical="center"/>
    </xf>
    <xf numFmtId="195" fontId="31" fillId="19" borderId="0" xfId="40" applyNumberFormat="1" applyFont="1" applyFill="1" applyAlignment="1">
      <alignment vertical="center"/>
    </xf>
    <xf numFmtId="0" fontId="31" fillId="0" borderId="12" xfId="40" applyFont="1" applyBorder="1" applyAlignment="1">
      <alignment vertical="center"/>
    </xf>
    <xf numFmtId="195" fontId="31" fillId="19" borderId="12" xfId="40" applyNumberFormat="1" applyFont="1" applyFill="1" applyBorder="1" applyAlignment="1">
      <alignment vertical="center"/>
    </xf>
    <xf numFmtId="169" fontId="42" fillId="20" borderId="13" xfId="41" applyFont="1" applyFill="1" applyBorder="1" applyAlignment="1">
      <alignment horizontal="center" vertical="center"/>
    </xf>
    <xf numFmtId="169" fontId="42" fillId="20" borderId="13" xfId="41" quotePrefix="1" applyFont="1" applyFill="1" applyBorder="1" applyAlignment="1">
      <alignment horizontal="center" vertical="center"/>
    </xf>
    <xf numFmtId="175" fontId="42" fillId="20" borderId="13" xfId="41" quotePrefix="1" applyNumberFormat="1" applyFont="1" applyFill="1" applyBorder="1" applyAlignment="1">
      <alignment horizontal="center" vertical="center"/>
    </xf>
    <xf numFmtId="175" fontId="42" fillId="20" borderId="13" xfId="41" applyNumberFormat="1" applyFont="1" applyFill="1" applyBorder="1" applyAlignment="1">
      <alignment horizontal="center" vertical="center"/>
    </xf>
    <xf numFmtId="0" fontId="42" fillId="20" borderId="13" xfId="40" quotePrefix="1" applyFont="1" applyFill="1" applyBorder="1" applyAlignment="1">
      <alignment horizontal="center" vertical="center"/>
    </xf>
    <xf numFmtId="3" fontId="42" fillId="20" borderId="13" xfId="41" quotePrefix="1" applyNumberFormat="1" applyFont="1" applyFill="1" applyBorder="1" applyAlignment="1">
      <alignment horizontal="center" vertical="center"/>
    </xf>
    <xf numFmtId="3" fontId="42" fillId="20" borderId="13" xfId="41" applyNumberFormat="1" applyFont="1" applyFill="1" applyBorder="1" applyAlignment="1">
      <alignment horizontal="center" vertical="center"/>
    </xf>
    <xf numFmtId="169" fontId="31" fillId="20" borderId="13" xfId="41" applyFont="1" applyFill="1" applyBorder="1" applyAlignment="1">
      <alignment horizontal="center" vertical="center"/>
    </xf>
    <xf numFmtId="169" fontId="31" fillId="20" borderId="13" xfId="41" quotePrefix="1" applyFont="1" applyFill="1" applyBorder="1" applyAlignment="1">
      <alignment horizontal="center" vertical="center"/>
    </xf>
    <xf numFmtId="169" fontId="42" fillId="19" borderId="11" xfId="41" applyFont="1" applyFill="1" applyBorder="1" applyAlignment="1">
      <alignment horizontal="center" vertical="center"/>
    </xf>
    <xf numFmtId="174" fontId="42" fillId="19" borderId="11" xfId="41" applyNumberFormat="1" applyFont="1" applyFill="1" applyBorder="1" applyAlignment="1">
      <alignment horizontal="center" vertical="center"/>
    </xf>
    <xf numFmtId="193" fontId="42" fillId="19" borderId="11" xfId="41" applyNumberFormat="1" applyFont="1" applyFill="1" applyBorder="1" applyAlignment="1">
      <alignment vertical="center"/>
    </xf>
    <xf numFmtId="198" fontId="42" fillId="19" borderId="11" xfId="41" applyNumberFormat="1" applyFont="1" applyFill="1" applyBorder="1" applyAlignment="1">
      <alignment vertical="center"/>
    </xf>
    <xf numFmtId="195" fontId="42" fillId="19" borderId="11" xfId="41" applyNumberFormat="1" applyFont="1" applyFill="1" applyBorder="1" applyAlignment="1">
      <alignment vertical="center"/>
    </xf>
    <xf numFmtId="199" fontId="42" fillId="19" borderId="11" xfId="41" applyNumberFormat="1" applyFont="1" applyFill="1" applyBorder="1" applyAlignment="1">
      <alignment vertical="center"/>
    </xf>
    <xf numFmtId="175" fontId="42" fillId="19" borderId="11" xfId="41" applyNumberFormat="1" applyFont="1" applyFill="1" applyBorder="1" applyAlignment="1">
      <alignment horizontal="center" vertical="center"/>
    </xf>
    <xf numFmtId="201" fontId="42" fillId="19" borderId="11" xfId="41" applyNumberFormat="1" applyFont="1" applyFill="1" applyBorder="1" applyAlignment="1">
      <alignment vertical="center"/>
    </xf>
    <xf numFmtId="205" fontId="42" fillId="19" borderId="11" xfId="41" applyNumberFormat="1" applyFont="1" applyFill="1" applyBorder="1" applyAlignment="1">
      <alignment vertical="center"/>
    </xf>
    <xf numFmtId="3" fontId="42" fillId="19" borderId="11" xfId="41" applyNumberFormat="1" applyFont="1" applyFill="1" applyBorder="1" applyAlignment="1">
      <alignment vertical="center"/>
    </xf>
    <xf numFmtId="200" fontId="42" fillId="19" borderId="11" xfId="41" applyNumberFormat="1" applyFont="1" applyFill="1" applyBorder="1" applyAlignment="1">
      <alignment vertical="center"/>
    </xf>
    <xf numFmtId="0" fontId="42" fillId="19" borderId="11" xfId="40" quotePrefix="1" applyFont="1" applyFill="1" applyBorder="1" applyAlignment="1">
      <alignment horizontal="center" vertical="center"/>
    </xf>
    <xf numFmtId="175" fontId="42" fillId="19" borderId="11" xfId="40" applyNumberFormat="1" applyFont="1" applyFill="1" applyBorder="1" applyAlignment="1">
      <alignment horizontal="center" vertical="center"/>
    </xf>
    <xf numFmtId="200" fontId="42" fillId="19" borderId="11" xfId="40" applyNumberFormat="1" applyFont="1" applyFill="1" applyBorder="1" applyAlignment="1">
      <alignment vertical="center"/>
    </xf>
    <xf numFmtId="169" fontId="42" fillId="19" borderId="10" xfId="45" applyNumberFormat="1" applyFont="1" applyFill="1" applyBorder="1" applyAlignment="1">
      <alignment horizontal="center" vertical="center"/>
    </xf>
    <xf numFmtId="169" fontId="42" fillId="19" borderId="11" xfId="41" quotePrefix="1" applyFont="1" applyFill="1" applyBorder="1" applyAlignment="1">
      <alignment horizontal="center" vertical="center"/>
    </xf>
    <xf numFmtId="169" fontId="42" fillId="19" borderId="10" xfId="41" applyFont="1" applyFill="1" applyBorder="1" applyAlignment="1">
      <alignment horizontal="center" vertical="center"/>
    </xf>
    <xf numFmtId="174" fontId="42" fillId="19" borderId="10" xfId="41" applyNumberFormat="1" applyFont="1" applyFill="1" applyBorder="1" applyAlignment="1">
      <alignment horizontal="center" vertical="center"/>
    </xf>
    <xf numFmtId="199" fontId="42" fillId="19" borderId="10" xfId="41" applyNumberFormat="1" applyFont="1" applyFill="1" applyBorder="1" applyAlignment="1">
      <alignment vertical="center"/>
    </xf>
    <xf numFmtId="169" fontId="31" fillId="19" borderId="10" xfId="41" applyFont="1" applyFill="1" applyBorder="1" applyAlignment="1">
      <alignment horizontal="center" vertical="center"/>
    </xf>
    <xf numFmtId="3" fontId="31" fillId="19" borderId="10" xfId="41" applyNumberFormat="1" applyFont="1" applyFill="1" applyBorder="1" applyAlignment="1">
      <alignment vertical="center"/>
    </xf>
    <xf numFmtId="174" fontId="42" fillId="19" borderId="0" xfId="41" applyNumberFormat="1" applyFont="1" applyFill="1" applyAlignment="1">
      <alignment horizontal="center" vertical="center"/>
    </xf>
    <xf numFmtId="174" fontId="42" fillId="19" borderId="12" xfId="41" applyNumberFormat="1" applyFont="1" applyFill="1" applyBorder="1" applyAlignment="1">
      <alignment horizontal="center" vertical="center"/>
    </xf>
    <xf numFmtId="193" fontId="42" fillId="19" borderId="0" xfId="41" applyNumberFormat="1" applyFont="1" applyFill="1" applyAlignment="1">
      <alignment vertical="center"/>
    </xf>
    <xf numFmtId="193" fontId="42" fillId="19" borderId="0" xfId="41" applyNumberFormat="1" applyFont="1" applyFill="1" applyAlignment="1">
      <alignment horizontal="right" vertical="center"/>
    </xf>
    <xf numFmtId="193" fontId="42" fillId="19" borderId="12" xfId="41" applyNumberFormat="1" applyFont="1" applyFill="1" applyBorder="1" applyAlignment="1">
      <alignment horizontal="right" vertical="center"/>
    </xf>
    <xf numFmtId="195" fontId="42" fillId="19" borderId="0" xfId="41" applyNumberFormat="1" applyFont="1" applyFill="1" applyAlignment="1">
      <alignment horizontal="right" vertical="center"/>
    </xf>
    <xf numFmtId="195" fontId="42" fillId="19" borderId="0" xfId="41" applyNumberFormat="1" applyFont="1" applyFill="1" applyAlignment="1">
      <alignment vertical="center"/>
    </xf>
    <xf numFmtId="195" fontId="42" fillId="19" borderId="12" xfId="41" applyNumberFormat="1" applyFont="1" applyFill="1" applyBorder="1" applyAlignment="1">
      <alignment horizontal="right" vertical="center"/>
    </xf>
    <xf numFmtId="198" fontId="42" fillId="19" borderId="0" xfId="41" applyNumberFormat="1" applyFont="1" applyFill="1" applyAlignment="1">
      <alignment horizontal="right" vertical="center"/>
    </xf>
    <xf numFmtId="198" fontId="42" fillId="19" borderId="0" xfId="41" applyNumberFormat="1" applyFont="1" applyFill="1" applyAlignment="1">
      <alignment vertical="center"/>
    </xf>
    <xf numFmtId="198" fontId="42" fillId="19" borderId="12" xfId="41" applyNumberFormat="1" applyFont="1" applyFill="1" applyBorder="1" applyAlignment="1">
      <alignment horizontal="right" vertical="center"/>
    </xf>
    <xf numFmtId="199" fontId="42" fillId="19" borderId="0" xfId="41" applyNumberFormat="1" applyFont="1" applyFill="1" applyAlignment="1">
      <alignment horizontal="right" vertical="center"/>
    </xf>
    <xf numFmtId="199" fontId="42" fillId="19" borderId="0" xfId="41" applyNumberFormat="1" applyFont="1" applyFill="1" applyAlignment="1">
      <alignment vertical="center"/>
    </xf>
    <xf numFmtId="199" fontId="42" fillId="19" borderId="12" xfId="41" applyNumberFormat="1" applyFont="1" applyFill="1" applyBorder="1" applyAlignment="1">
      <alignment horizontal="right" vertical="center"/>
    </xf>
    <xf numFmtId="200" fontId="42" fillId="19" borderId="0" xfId="41" applyNumberFormat="1" applyFont="1" applyFill="1" applyAlignment="1">
      <alignment horizontal="right" vertical="center"/>
    </xf>
    <xf numFmtId="200" fontId="42" fillId="19" borderId="0" xfId="41" applyNumberFormat="1" applyFont="1" applyFill="1" applyAlignment="1">
      <alignment vertical="center"/>
    </xf>
    <xf numFmtId="200" fontId="42" fillId="19" borderId="12" xfId="41" applyNumberFormat="1" applyFont="1" applyFill="1" applyBorder="1" applyAlignment="1">
      <alignment horizontal="right" vertical="center"/>
    </xf>
    <xf numFmtId="175" fontId="42" fillId="19" borderId="0" xfId="41" applyNumberFormat="1" applyFont="1" applyFill="1" applyAlignment="1">
      <alignment horizontal="center" vertical="center"/>
    </xf>
    <xf numFmtId="175" fontId="42" fillId="19" borderId="12" xfId="41" applyNumberFormat="1" applyFont="1" applyFill="1" applyBorder="1" applyAlignment="1">
      <alignment horizontal="center" vertical="center"/>
    </xf>
    <xf numFmtId="195" fontId="42" fillId="19" borderId="12" xfId="41" applyNumberFormat="1" applyFont="1" applyFill="1" applyBorder="1" applyAlignment="1">
      <alignment vertical="center"/>
    </xf>
    <xf numFmtId="199" fontId="42" fillId="19" borderId="12" xfId="41" applyNumberFormat="1" applyFont="1" applyFill="1" applyBorder="1" applyAlignment="1">
      <alignment vertical="center"/>
    </xf>
    <xf numFmtId="201" fontId="42" fillId="19" borderId="0" xfId="41" applyNumberFormat="1" applyFont="1" applyFill="1" applyAlignment="1">
      <alignment vertical="center"/>
    </xf>
    <xf numFmtId="201" fontId="42" fillId="19" borderId="12" xfId="41" applyNumberFormat="1" applyFont="1" applyFill="1" applyBorder="1" applyAlignment="1">
      <alignment vertical="center"/>
    </xf>
    <xf numFmtId="200" fontId="42" fillId="19" borderId="12" xfId="41" applyNumberFormat="1" applyFont="1" applyFill="1" applyBorder="1" applyAlignment="1">
      <alignment vertical="center"/>
    </xf>
    <xf numFmtId="175" fontId="42" fillId="19" borderId="0" xfId="40" applyNumberFormat="1" applyFont="1" applyFill="1" applyAlignment="1">
      <alignment horizontal="center" vertical="center"/>
    </xf>
    <xf numFmtId="175" fontId="42" fillId="19" borderId="12" xfId="40" applyNumberFormat="1" applyFont="1" applyFill="1" applyBorder="1" applyAlignment="1">
      <alignment horizontal="center" vertical="center"/>
    </xf>
    <xf numFmtId="200" fontId="42" fillId="19" borderId="0" xfId="40" applyNumberFormat="1" applyFont="1" applyFill="1" applyAlignment="1">
      <alignment vertical="center"/>
    </xf>
    <xf numFmtId="200" fontId="42" fillId="19" borderId="12" xfId="40" applyNumberFormat="1" applyFont="1" applyFill="1" applyBorder="1" applyAlignment="1">
      <alignment vertical="center"/>
    </xf>
    <xf numFmtId="199" fontId="42" fillId="19" borderId="0" xfId="40" applyNumberFormat="1" applyFont="1" applyFill="1" applyAlignment="1">
      <alignment vertical="center"/>
    </xf>
    <xf numFmtId="199" fontId="42" fillId="19" borderId="12" xfId="40" applyNumberFormat="1" applyFont="1" applyFill="1" applyBorder="1" applyAlignment="1">
      <alignment vertical="center"/>
    </xf>
    <xf numFmtId="169" fontId="31" fillId="20" borderId="13" xfId="42" applyFont="1" applyFill="1" applyBorder="1" applyAlignment="1">
      <alignment horizontal="center" vertical="center"/>
    </xf>
    <xf numFmtId="169" fontId="31" fillId="20" borderId="19" xfId="42" applyFont="1" applyFill="1" applyBorder="1" applyAlignment="1">
      <alignment horizontal="center" vertical="center"/>
    </xf>
    <xf numFmtId="169" fontId="31" fillId="20" borderId="10" xfId="42" applyFont="1" applyFill="1" applyBorder="1" applyAlignment="1">
      <alignment horizontal="center" vertical="center"/>
    </xf>
    <xf numFmtId="169" fontId="31" fillId="20" borderId="15" xfId="42" applyFont="1" applyFill="1" applyBorder="1" applyAlignment="1">
      <alignment horizontal="center" vertical="center"/>
    </xf>
    <xf numFmtId="37" fontId="42" fillId="20" borderId="19" xfId="42" applyNumberFormat="1" applyFont="1" applyFill="1" applyBorder="1" applyAlignment="1">
      <alignment horizontal="center" vertical="center"/>
    </xf>
    <xf numFmtId="169" fontId="42" fillId="20" borderId="10" xfId="42" applyFont="1" applyFill="1" applyBorder="1" applyAlignment="1">
      <alignment horizontal="center" vertical="center"/>
    </xf>
    <xf numFmtId="169" fontId="42" fillId="20" borderId="15" xfId="42" applyFont="1" applyFill="1" applyBorder="1" applyAlignment="1">
      <alignment horizontal="center" vertical="center"/>
    </xf>
    <xf numFmtId="37" fontId="42" fillId="20" borderId="10" xfId="42" applyNumberFormat="1" applyFont="1" applyFill="1" applyBorder="1" applyAlignment="1">
      <alignment horizontal="center" vertical="center"/>
    </xf>
    <xf numFmtId="169" fontId="31" fillId="19" borderId="10" xfId="42" applyFont="1" applyFill="1" applyBorder="1" applyAlignment="1">
      <alignment horizontal="center" vertical="center"/>
    </xf>
    <xf numFmtId="199" fontId="31" fillId="19" borderId="10" xfId="42" applyNumberFormat="1" applyFont="1" applyFill="1" applyBorder="1" applyAlignment="1">
      <alignment vertical="center"/>
    </xf>
    <xf numFmtId="198" fontId="31" fillId="19" borderId="10" xfId="42" applyNumberFormat="1" applyFont="1" applyFill="1" applyBorder="1" applyAlignment="1">
      <alignment vertical="center"/>
    </xf>
    <xf numFmtId="169" fontId="31" fillId="19" borderId="11" xfId="42" applyFont="1" applyFill="1" applyBorder="1" applyAlignment="1">
      <alignment horizontal="center" vertical="center"/>
    </xf>
    <xf numFmtId="195" fontId="31" fillId="19" borderId="11" xfId="42" applyNumberFormat="1" applyFont="1" applyFill="1" applyBorder="1" applyAlignment="1">
      <alignment vertical="center"/>
    </xf>
    <xf numFmtId="195" fontId="31" fillId="19" borderId="11" xfId="42" applyNumberFormat="1" applyFont="1" applyFill="1" applyBorder="1" applyAlignment="1">
      <alignment horizontal="right" vertical="center"/>
    </xf>
    <xf numFmtId="198" fontId="31" fillId="19" borderId="11" xfId="42" applyNumberFormat="1" applyFont="1" applyFill="1" applyBorder="1" applyAlignment="1">
      <alignment vertical="center"/>
    </xf>
    <xf numFmtId="199" fontId="31" fillId="19" borderId="11" xfId="42" applyNumberFormat="1" applyFont="1" applyFill="1" applyBorder="1" applyAlignment="1">
      <alignment vertical="center"/>
    </xf>
    <xf numFmtId="199" fontId="31" fillId="19" borderId="11" xfId="42" applyNumberFormat="1" applyFont="1" applyFill="1" applyBorder="1" applyAlignment="1">
      <alignment horizontal="right" vertical="center"/>
    </xf>
    <xf numFmtId="0" fontId="31" fillId="20" borderId="13" xfId="38" applyFont="1" applyFill="1" applyBorder="1" applyAlignment="1">
      <alignment horizontal="center" vertical="center"/>
    </xf>
    <xf numFmtId="0" fontId="31" fillId="20" borderId="13" xfId="38" quotePrefix="1" applyFont="1" applyFill="1" applyBorder="1" applyAlignment="1">
      <alignment horizontal="center" vertical="center"/>
    </xf>
    <xf numFmtId="0" fontId="31" fillId="19" borderId="11" xfId="38" quotePrefix="1" applyFont="1" applyFill="1" applyBorder="1" applyAlignment="1">
      <alignment horizontal="center" vertical="center"/>
    </xf>
    <xf numFmtId="199" fontId="31" fillId="19" borderId="11" xfId="38" applyNumberFormat="1" applyFont="1" applyFill="1" applyBorder="1" applyAlignment="1">
      <alignment vertical="center"/>
    </xf>
    <xf numFmtId="199" fontId="31" fillId="19" borderId="11" xfId="0" applyNumberFormat="1" applyFont="1" applyFill="1" applyBorder="1" applyAlignment="1">
      <alignment vertical="center"/>
    </xf>
    <xf numFmtId="200" fontId="31" fillId="19" borderId="11" xfId="38" applyNumberFormat="1" applyFont="1" applyFill="1" applyBorder="1" applyAlignment="1">
      <alignment vertical="center"/>
    </xf>
    <xf numFmtId="200" fontId="31" fillId="19" borderId="11" xfId="0" applyNumberFormat="1" applyFont="1" applyFill="1" applyBorder="1" applyAlignment="1">
      <alignment vertical="center"/>
    </xf>
    <xf numFmtId="181" fontId="31" fillId="19" borderId="11" xfId="38" applyNumberFormat="1" applyFont="1" applyFill="1" applyBorder="1" applyAlignment="1">
      <alignment horizontal="center" vertical="center"/>
    </xf>
    <xf numFmtId="195" fontId="31" fillId="19" borderId="11" xfId="0" applyNumberFormat="1" applyFont="1" applyFill="1" applyBorder="1" applyAlignment="1">
      <alignment vertical="center"/>
    </xf>
    <xf numFmtId="188" fontId="31" fillId="19" borderId="11" xfId="38" applyNumberFormat="1" applyFont="1" applyFill="1" applyBorder="1" applyAlignment="1">
      <alignment horizontal="center" vertical="center"/>
    </xf>
    <xf numFmtId="199" fontId="31" fillId="19" borderId="0" xfId="38" applyNumberFormat="1" applyFont="1" applyFill="1" applyAlignment="1">
      <alignment vertical="center"/>
    </xf>
    <xf numFmtId="200" fontId="31" fillId="19" borderId="0" xfId="38" applyNumberFormat="1" applyFont="1" applyFill="1" applyAlignment="1">
      <alignment vertical="center"/>
    </xf>
    <xf numFmtId="181" fontId="31" fillId="19" borderId="0" xfId="38" applyNumberFormat="1" applyFont="1" applyFill="1" applyAlignment="1">
      <alignment horizontal="center" vertical="center"/>
    </xf>
    <xf numFmtId="195" fontId="31" fillId="19" borderId="0" xfId="38" applyNumberFormat="1" applyFont="1" applyFill="1" applyAlignment="1">
      <alignment vertical="center"/>
    </xf>
    <xf numFmtId="195" fontId="31" fillId="19" borderId="0" xfId="38" applyNumberFormat="1" applyFont="1" applyFill="1" applyAlignment="1">
      <alignment horizontal="right" vertical="center"/>
    </xf>
    <xf numFmtId="199" fontId="31" fillId="19" borderId="0" xfId="38" applyNumberFormat="1" applyFont="1" applyFill="1" applyAlignment="1">
      <alignment horizontal="center" vertical="center"/>
    </xf>
    <xf numFmtId="188" fontId="31" fillId="19" borderId="0" xfId="38" applyNumberFormat="1" applyFont="1" applyFill="1" applyAlignment="1">
      <alignment horizontal="center" vertical="center"/>
    </xf>
    <xf numFmtId="169" fontId="50" fillId="20" borderId="0" xfId="42" applyFont="1" applyFill="1" applyAlignment="1">
      <alignment horizontal="center"/>
    </xf>
    <xf numFmtId="169" fontId="50" fillId="20" borderId="10" xfId="42" applyFont="1" applyFill="1" applyBorder="1" applyAlignment="1">
      <alignment horizontal="center" vertical="top"/>
    </xf>
    <xf numFmtId="169" fontId="50" fillId="20" borderId="10" xfId="42" applyFont="1" applyFill="1" applyBorder="1" applyAlignment="1">
      <alignment horizontal="center" vertical="center"/>
    </xf>
    <xf numFmtId="169" fontId="50" fillId="20" borderId="10" xfId="42" quotePrefix="1" applyFont="1" applyFill="1" applyBorder="1" applyAlignment="1">
      <alignment horizontal="center" vertical="top"/>
    </xf>
    <xf numFmtId="169" fontId="50" fillId="20" borderId="10" xfId="42" applyFont="1" applyFill="1" applyBorder="1" applyAlignment="1">
      <alignment vertical="center"/>
    </xf>
    <xf numFmtId="169" fontId="50" fillId="20" borderId="10" xfId="42" applyFont="1" applyFill="1" applyBorder="1" applyAlignment="1">
      <alignment horizontal="left" vertical="center"/>
    </xf>
    <xf numFmtId="169" fontId="50" fillId="19" borderId="11" xfId="42" applyFont="1" applyFill="1" applyBorder="1" applyAlignment="1">
      <alignment horizontal="center" vertical="center"/>
    </xf>
    <xf numFmtId="199" fontId="50" fillId="19" borderId="11" xfId="42" applyNumberFormat="1" applyFont="1" applyFill="1" applyBorder="1" applyAlignment="1">
      <alignment vertical="center"/>
    </xf>
    <xf numFmtId="169" fontId="50" fillId="20" borderId="0" xfId="42" quotePrefix="1" applyFont="1" applyFill="1" applyAlignment="1">
      <alignment horizontal="center"/>
    </xf>
    <xf numFmtId="169" fontId="50" fillId="20" borderId="0" xfId="42" applyFont="1" applyFill="1" applyAlignment="1">
      <alignment horizontal="center" vertical="center"/>
    </xf>
    <xf numFmtId="169" fontId="50" fillId="20" borderId="10" xfId="42" applyFont="1" applyFill="1" applyBorder="1"/>
    <xf numFmtId="169" fontId="50" fillId="20" borderId="10" xfId="42" applyFont="1" applyFill="1" applyBorder="1" applyAlignment="1">
      <alignment horizontal="left"/>
    </xf>
    <xf numFmtId="169" fontId="50" fillId="20" borderId="10" xfId="42" applyFont="1" applyFill="1" applyBorder="1" applyAlignment="1">
      <alignment horizontal="center"/>
    </xf>
    <xf numFmtId="200" fontId="50" fillId="19" borderId="11" xfId="42" applyNumberFormat="1" applyFont="1" applyFill="1" applyBorder="1" applyAlignment="1">
      <alignment vertical="center"/>
    </xf>
    <xf numFmtId="197" fontId="50" fillId="19" borderId="11" xfId="42" applyNumberFormat="1" applyFont="1" applyFill="1" applyBorder="1" applyAlignment="1">
      <alignment vertical="center"/>
    </xf>
    <xf numFmtId="168" fontId="50" fillId="20" borderId="14" xfId="0" applyFont="1" applyFill="1" applyBorder="1" applyAlignment="1">
      <alignment horizontal="center" vertical="center"/>
    </xf>
    <xf numFmtId="168" fontId="50" fillId="20" borderId="14" xfId="0" applyFont="1" applyFill="1" applyBorder="1" applyAlignment="1">
      <alignment vertical="center"/>
    </xf>
    <xf numFmtId="168" fontId="50" fillId="20" borderId="0" xfId="0" applyFont="1" applyFill="1" applyAlignment="1">
      <alignment horizontal="center" vertical="center"/>
    </xf>
    <xf numFmtId="168" fontId="50" fillId="20" borderId="10" xfId="0" applyFont="1" applyFill="1" applyBorder="1" applyAlignment="1">
      <alignment horizontal="center" vertical="center"/>
    </xf>
    <xf numFmtId="168" fontId="50" fillId="20" borderId="10" xfId="0" applyFont="1" applyFill="1" applyBorder="1" applyAlignment="1">
      <alignment vertical="center"/>
    </xf>
    <xf numFmtId="168" fontId="50" fillId="20" borderId="10" xfId="0" quotePrefix="1" applyFont="1" applyFill="1" applyBorder="1" applyAlignment="1">
      <alignment horizontal="center" vertical="center"/>
    </xf>
    <xf numFmtId="168" fontId="50" fillId="20" borderId="0" xfId="0" applyFont="1" applyFill="1" applyAlignment="1">
      <alignment vertical="center"/>
    </xf>
    <xf numFmtId="168" fontId="50" fillId="20" borderId="0" xfId="0" applyFont="1" applyFill="1" applyAlignment="1">
      <alignment horizontal="center"/>
    </xf>
    <xf numFmtId="168" fontId="50" fillId="20" borderId="0" xfId="0" applyFont="1" applyFill="1" applyAlignment="1">
      <alignment horizontal="center" vertical="top"/>
    </xf>
    <xf numFmtId="195" fontId="50" fillId="19" borderId="0" xfId="0" applyNumberFormat="1" applyFont="1" applyFill="1" applyAlignment="1">
      <alignment horizontal="right" vertical="center"/>
    </xf>
    <xf numFmtId="195" fontId="50" fillId="19" borderId="12" xfId="0" applyNumberFormat="1" applyFont="1" applyFill="1" applyBorder="1" applyAlignment="1">
      <alignment horizontal="right" vertical="center"/>
    </xf>
    <xf numFmtId="175" fontId="50" fillId="19" borderId="0" xfId="0" applyNumberFormat="1" applyFont="1" applyFill="1" applyAlignment="1">
      <alignment horizontal="center" vertical="center"/>
    </xf>
    <xf numFmtId="175" fontId="50" fillId="19" borderId="12" xfId="0" applyNumberFormat="1" applyFont="1" applyFill="1" applyBorder="1" applyAlignment="1">
      <alignment horizontal="center" vertical="center"/>
    </xf>
    <xf numFmtId="169" fontId="31" fillId="20" borderId="0" xfId="41" applyFont="1" applyFill="1" applyAlignment="1">
      <alignment vertical="center"/>
    </xf>
    <xf numFmtId="169" fontId="31" fillId="20" borderId="10" xfId="41" applyFont="1" applyFill="1" applyBorder="1" applyAlignment="1">
      <alignment horizontal="center" vertical="center"/>
    </xf>
    <xf numFmtId="169" fontId="31" fillId="19" borderId="11" xfId="41" applyFont="1" applyFill="1" applyBorder="1" applyAlignment="1">
      <alignment horizontal="center" vertical="center"/>
    </xf>
    <xf numFmtId="4" fontId="31" fillId="19" borderId="11" xfId="41" applyNumberFormat="1" applyFont="1" applyFill="1" applyBorder="1" applyAlignment="1">
      <alignment horizontal="center" vertical="center"/>
    </xf>
    <xf numFmtId="0" fontId="31" fillId="19" borderId="10" xfId="40" applyFont="1" applyFill="1" applyBorder="1" applyAlignment="1">
      <alignment horizontal="center" vertical="center"/>
    </xf>
    <xf numFmtId="2" fontId="31" fillId="19" borderId="10" xfId="40" applyNumberFormat="1" applyFont="1" applyFill="1" applyBorder="1" applyAlignment="1">
      <alignment horizontal="center" vertical="center"/>
    </xf>
    <xf numFmtId="0" fontId="42" fillId="19" borderId="10" xfId="40" applyFont="1" applyFill="1" applyBorder="1" applyAlignment="1">
      <alignment horizontal="center" vertical="center"/>
    </xf>
    <xf numFmtId="2" fontId="42" fillId="19" borderId="10" xfId="40" applyNumberFormat="1" applyFont="1" applyFill="1" applyBorder="1" applyAlignment="1">
      <alignment horizontal="center" vertical="center"/>
    </xf>
    <xf numFmtId="2" fontId="42" fillId="19" borderId="11" xfId="40" applyNumberFormat="1" applyFont="1" applyFill="1" applyBorder="1" applyAlignment="1">
      <alignment horizontal="center" vertical="center"/>
    </xf>
    <xf numFmtId="2" fontId="31" fillId="19" borderId="0" xfId="40" applyNumberFormat="1" applyFont="1" applyFill="1" applyAlignment="1">
      <alignment horizontal="center" vertical="center"/>
    </xf>
    <xf numFmtId="2" fontId="31" fillId="19" borderId="12" xfId="40" applyNumberFormat="1" applyFont="1" applyFill="1" applyBorder="1" applyAlignment="1">
      <alignment horizontal="center" vertical="center"/>
    </xf>
    <xf numFmtId="2" fontId="42" fillId="19" borderId="0" xfId="40" applyNumberFormat="1" applyFont="1" applyFill="1" applyAlignment="1">
      <alignment horizontal="center" vertical="center"/>
    </xf>
    <xf numFmtId="2" fontId="42" fillId="19" borderId="12" xfId="40" applyNumberFormat="1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" vertical="center" wrapText="1"/>
    </xf>
    <xf numFmtId="3" fontId="31" fillId="19" borderId="11" xfId="40" applyNumberFormat="1" applyFont="1" applyFill="1" applyBorder="1" applyAlignment="1">
      <alignment vertical="center"/>
    </xf>
    <xf numFmtId="49" fontId="42" fillId="20" borderId="13" xfId="40" applyNumberFormat="1" applyFont="1" applyFill="1" applyBorder="1" applyAlignment="1">
      <alignment horizontal="center" vertical="center"/>
    </xf>
    <xf numFmtId="37" fontId="42" fillId="20" borderId="13" xfId="38" applyNumberFormat="1" applyFont="1" applyFill="1" applyBorder="1" applyAlignment="1">
      <alignment horizontal="center" vertical="center"/>
    </xf>
    <xf numFmtId="49" fontId="42" fillId="20" borderId="13" xfId="38" applyNumberFormat="1" applyFont="1" applyFill="1" applyBorder="1" applyAlignment="1">
      <alignment horizontal="center" vertical="center"/>
    </xf>
    <xf numFmtId="190" fontId="42" fillId="20" borderId="13" xfId="38" applyNumberFormat="1" applyFont="1" applyFill="1" applyBorder="1" applyAlignment="1">
      <alignment horizontal="center" vertical="center"/>
    </xf>
    <xf numFmtId="200" fontId="31" fillId="19" borderId="11" xfId="40" applyNumberFormat="1" applyFont="1" applyFill="1" applyBorder="1" applyAlignment="1">
      <alignment vertical="center"/>
    </xf>
    <xf numFmtId="199" fontId="31" fillId="19" borderId="11" xfId="40" applyNumberFormat="1" applyFont="1" applyFill="1" applyBorder="1" applyAlignment="1">
      <alignment vertical="center"/>
    </xf>
    <xf numFmtId="195" fontId="31" fillId="19" borderId="11" xfId="40" applyNumberFormat="1" applyFont="1" applyFill="1" applyBorder="1" applyAlignment="1">
      <alignment horizontal="right" vertical="center"/>
    </xf>
    <xf numFmtId="37" fontId="31" fillId="19" borderId="11" xfId="44" applyFont="1" applyFill="1" applyBorder="1" applyAlignment="1">
      <alignment horizontal="center" vertical="center"/>
    </xf>
    <xf numFmtId="195" fontId="31" fillId="19" borderId="11" xfId="44" applyNumberFormat="1" applyFont="1" applyFill="1" applyBorder="1" applyAlignment="1">
      <alignment horizontal="right" vertical="center"/>
    </xf>
    <xf numFmtId="37" fontId="29" fillId="19" borderId="0" xfId="44" applyFont="1" applyFill="1" applyAlignment="1">
      <alignment vertical="center"/>
    </xf>
    <xf numFmtId="195" fontId="29" fillId="19" borderId="0" xfId="44" applyNumberFormat="1" applyFont="1" applyFill="1" applyAlignment="1">
      <alignment horizontal="right" vertical="center"/>
    </xf>
    <xf numFmtId="37" fontId="31" fillId="19" borderId="0" xfId="44" applyFont="1" applyFill="1"/>
    <xf numFmtId="195" fontId="31" fillId="19" borderId="0" xfId="44" applyNumberFormat="1" applyFont="1" applyFill="1" applyAlignment="1">
      <alignment horizontal="right"/>
    </xf>
    <xf numFmtId="195" fontId="31" fillId="19" borderId="0" xfId="44" applyNumberFormat="1" applyFont="1" applyFill="1" applyAlignment="1">
      <alignment horizontal="right" vertical="center"/>
    </xf>
    <xf numFmtId="195" fontId="31" fillId="19" borderId="0" xfId="47" applyNumberFormat="1" applyFont="1" applyFill="1" applyAlignment="1">
      <alignment horizontal="right" vertical="center"/>
    </xf>
    <xf numFmtId="37" fontId="31" fillId="19" borderId="12" xfId="44" applyFont="1" applyFill="1" applyBorder="1" applyAlignment="1">
      <alignment horizontal="right" vertical="center"/>
    </xf>
    <xf numFmtId="37" fontId="31" fillId="19" borderId="0" xfId="44" applyFont="1" applyFill="1" applyAlignment="1">
      <alignment vertical="center"/>
    </xf>
    <xf numFmtId="37" fontId="42" fillId="20" borderId="13" xfId="44" applyFont="1" applyFill="1" applyBorder="1" applyAlignment="1">
      <alignment horizontal="center" vertical="center"/>
    </xf>
    <xf numFmtId="37" fontId="31" fillId="20" borderId="13" xfId="44" applyFont="1" applyFill="1" applyBorder="1" applyAlignment="1">
      <alignment horizontal="center" vertical="center"/>
    </xf>
    <xf numFmtId="37" fontId="42" fillId="19" borderId="11" xfId="44" applyFont="1" applyFill="1" applyBorder="1" applyAlignment="1">
      <alignment horizontal="center" vertical="center"/>
    </xf>
    <xf numFmtId="195" fontId="42" fillId="19" borderId="11" xfId="44" applyNumberFormat="1" applyFont="1" applyFill="1" applyBorder="1" applyAlignment="1">
      <alignment vertical="center"/>
    </xf>
    <xf numFmtId="195" fontId="29" fillId="19" borderId="0" xfId="44" applyNumberFormat="1" applyFont="1" applyFill="1" applyAlignment="1">
      <alignment vertical="center"/>
    </xf>
    <xf numFmtId="37" fontId="31" fillId="19" borderId="0" xfId="44" applyFont="1" applyFill="1" applyAlignment="1">
      <alignment horizontal="left"/>
    </xf>
    <xf numFmtId="195" fontId="42" fillId="19" borderId="0" xfId="44" applyNumberFormat="1" applyFont="1" applyFill="1"/>
    <xf numFmtId="195" fontId="31" fillId="19" borderId="0" xfId="44" applyNumberFormat="1" applyFont="1" applyFill="1"/>
    <xf numFmtId="37" fontId="42" fillId="19" borderId="11" xfId="44" applyFont="1" applyFill="1" applyBorder="1" applyAlignment="1">
      <alignment vertical="center"/>
    </xf>
    <xf numFmtId="37" fontId="42" fillId="19" borderId="0" xfId="44" applyFont="1" applyFill="1"/>
    <xf numFmtId="195" fontId="42" fillId="19" borderId="0" xfId="44" applyNumberFormat="1" applyFont="1" applyFill="1" applyAlignment="1">
      <alignment vertical="center"/>
    </xf>
    <xf numFmtId="37" fontId="42" fillId="19" borderId="0" xfId="44" applyFont="1" applyFill="1" applyAlignment="1">
      <alignment vertical="center"/>
    </xf>
    <xf numFmtId="37" fontId="31" fillId="19" borderId="0" xfId="44" applyFont="1" applyFill="1" applyAlignment="1">
      <alignment horizontal="left" vertical="center"/>
    </xf>
    <xf numFmtId="195" fontId="31" fillId="19" borderId="0" xfId="44" applyNumberFormat="1" applyFont="1" applyFill="1" applyAlignment="1">
      <alignment vertical="center"/>
    </xf>
    <xf numFmtId="170" fontId="31" fillId="20" borderId="11" xfId="45" quotePrefix="1" applyNumberFormat="1" applyFont="1" applyFill="1" applyBorder="1" applyAlignment="1">
      <alignment horizontal="center" vertical="center"/>
    </xf>
    <xf numFmtId="3" fontId="29" fillId="19" borderId="10" xfId="35" applyNumberFormat="1" applyFont="1" applyFill="1" applyBorder="1" applyAlignment="1" applyProtection="1">
      <alignment vertical="center"/>
    </xf>
    <xf numFmtId="175" fontId="29" fillId="19" borderId="10" xfId="35" applyNumberFormat="1" applyFont="1" applyFill="1" applyBorder="1" applyAlignment="1" applyProtection="1">
      <alignment vertical="center"/>
    </xf>
    <xf numFmtId="193" fontId="42" fillId="19" borderId="10" xfId="35" applyNumberFormat="1" applyFont="1" applyFill="1" applyBorder="1" applyAlignment="1" applyProtection="1">
      <alignment vertical="center"/>
    </xf>
    <xf numFmtId="192" fontId="42" fillId="19" borderId="10" xfId="35" applyNumberFormat="1" applyFont="1" applyFill="1" applyBorder="1" applyAlignment="1" applyProtection="1">
      <alignment vertical="center"/>
    </xf>
    <xf numFmtId="192" fontId="31" fillId="19" borderId="10" xfId="35" applyNumberFormat="1" applyFont="1" applyFill="1" applyBorder="1" applyAlignment="1" applyProtection="1">
      <alignment vertical="center"/>
    </xf>
    <xf numFmtId="170" fontId="31" fillId="20" borderId="11" xfId="45" quotePrefix="1" applyNumberFormat="1" applyFont="1" applyFill="1" applyBorder="1" applyAlignment="1">
      <alignment horizontal="right" vertical="center"/>
    </xf>
    <xf numFmtId="4" fontId="31" fillId="19" borderId="10" xfId="35" applyNumberFormat="1" applyFont="1" applyFill="1" applyBorder="1" applyAlignment="1" applyProtection="1">
      <alignment vertical="center"/>
    </xf>
    <xf numFmtId="4" fontId="31" fillId="19" borderId="10" xfId="35" applyNumberFormat="1" applyFont="1" applyFill="1" applyBorder="1" applyAlignment="1" applyProtection="1">
      <alignment horizontal="center" vertical="center"/>
    </xf>
    <xf numFmtId="175" fontId="31" fillId="19" borderId="10" xfId="35" applyNumberFormat="1" applyFont="1" applyFill="1" applyBorder="1" applyAlignment="1" applyProtection="1">
      <alignment vertical="center"/>
    </xf>
    <xf numFmtId="192" fontId="31" fillId="19" borderId="10" xfId="35" applyNumberFormat="1" applyFont="1" applyFill="1" applyBorder="1" applyAlignment="1" applyProtection="1">
      <alignment horizontal="right" vertical="center"/>
    </xf>
    <xf numFmtId="170" fontId="42" fillId="20" borderId="11" xfId="45" quotePrefix="1" applyNumberFormat="1" applyFont="1" applyFill="1" applyBorder="1" applyAlignment="1">
      <alignment horizontal="right" vertical="center"/>
    </xf>
    <xf numFmtId="170" fontId="42" fillId="20" borderId="11" xfId="45" quotePrefix="1" applyNumberFormat="1" applyFont="1" applyFill="1" applyBorder="1" applyAlignment="1">
      <alignment horizontal="center" vertical="center"/>
    </xf>
    <xf numFmtId="195" fontId="42" fillId="19" borderId="10" xfId="35" applyNumberFormat="1" applyFont="1" applyFill="1" applyBorder="1" applyAlignment="1" applyProtection="1">
      <alignment vertical="center"/>
    </xf>
    <xf numFmtId="4" fontId="42" fillId="19" borderId="10" xfId="35" applyNumberFormat="1" applyFont="1" applyFill="1" applyBorder="1" applyAlignment="1" applyProtection="1">
      <alignment horizontal="center" vertical="center"/>
    </xf>
    <xf numFmtId="169" fontId="57" fillId="0" borderId="0" xfId="0" quotePrefix="1" applyNumberFormat="1" applyFont="1" applyAlignment="1">
      <alignment horizontal="left" vertical="center"/>
    </xf>
    <xf numFmtId="170" fontId="57" fillId="0" borderId="0" xfId="0" applyNumberFormat="1" applyFont="1" applyAlignment="1">
      <alignment vertical="center"/>
    </xf>
    <xf numFmtId="0" fontId="57" fillId="0" borderId="0" xfId="38" applyFont="1" applyAlignment="1">
      <alignment vertical="center"/>
    </xf>
    <xf numFmtId="169" fontId="57" fillId="0" borderId="0" xfId="0" applyNumberFormat="1" applyFont="1" applyAlignment="1">
      <alignment horizontal="left" vertical="center"/>
    </xf>
    <xf numFmtId="0" fontId="31" fillId="0" borderId="0" xfId="39" applyFont="1" applyAlignment="1" applyProtection="1">
      <alignment horizontal="center" vertical="center" wrapText="1"/>
      <protection locked="0"/>
    </xf>
    <xf numFmtId="37" fontId="31" fillId="0" borderId="0" xfId="38" applyNumberFormat="1" applyFont="1" applyAlignment="1">
      <alignment horizontal="center" vertical="center"/>
    </xf>
    <xf numFmtId="170" fontId="31" fillId="0" borderId="0" xfId="45" quotePrefix="1" applyNumberFormat="1" applyFont="1" applyAlignment="1">
      <alignment horizontal="center" vertical="center"/>
    </xf>
    <xf numFmtId="0" fontId="57" fillId="0" borderId="0" xfId="39" applyFont="1" applyAlignment="1">
      <alignment horizontal="fill" vertical="center"/>
    </xf>
    <xf numFmtId="0" fontId="57" fillId="0" borderId="0" xfId="39" applyFont="1" applyAlignment="1">
      <alignment vertical="center"/>
    </xf>
    <xf numFmtId="0" fontId="57" fillId="0" borderId="0" xfId="39" applyFont="1" applyAlignment="1">
      <alignment horizontal="right" vertical="center"/>
    </xf>
    <xf numFmtId="3" fontId="57" fillId="0" borderId="0" xfId="38" applyNumberFormat="1" applyFont="1" applyAlignment="1">
      <alignment horizontal="right" vertical="center"/>
    </xf>
    <xf numFmtId="172" fontId="57" fillId="0" borderId="0" xfId="0" applyNumberFormat="1" applyFont="1" applyAlignment="1">
      <alignment vertical="center"/>
    </xf>
    <xf numFmtId="179" fontId="57" fillId="0" borderId="0" xfId="33" applyNumberFormat="1" applyFont="1" applyFill="1" applyAlignment="1">
      <alignment vertical="center"/>
    </xf>
    <xf numFmtId="179" fontId="59" fillId="0" borderId="0" xfId="33" applyNumberFormat="1" applyFont="1" applyFill="1" applyAlignment="1">
      <alignment vertical="center"/>
    </xf>
    <xf numFmtId="168" fontId="57" fillId="0" borderId="0" xfId="0" applyFont="1" applyAlignment="1">
      <alignment vertical="center"/>
    </xf>
    <xf numFmtId="171" fontId="57" fillId="0" borderId="0" xfId="0" applyNumberFormat="1" applyFont="1" applyAlignment="1">
      <alignment vertical="center"/>
    </xf>
    <xf numFmtId="3" fontId="57" fillId="0" borderId="0" xfId="40" applyNumberFormat="1" applyFont="1" applyAlignment="1">
      <alignment vertical="center"/>
    </xf>
    <xf numFmtId="4" fontId="57" fillId="0" borderId="0" xfId="40" applyNumberFormat="1" applyFont="1" applyAlignment="1">
      <alignment vertical="center"/>
    </xf>
    <xf numFmtId="0" fontId="57" fillId="0" borderId="0" xfId="40" applyFont="1" applyAlignment="1">
      <alignment vertical="center"/>
    </xf>
    <xf numFmtId="3" fontId="57" fillId="0" borderId="0" xfId="40" applyNumberFormat="1" applyFont="1" applyAlignment="1">
      <alignment horizontal="right" vertical="center"/>
    </xf>
    <xf numFmtId="185" fontId="57" fillId="0" borderId="0" xfId="40" applyNumberFormat="1" applyFont="1" applyAlignment="1">
      <alignment vertical="center"/>
    </xf>
    <xf numFmtId="204" fontId="57" fillId="0" borderId="0" xfId="40" applyNumberFormat="1" applyFont="1" applyAlignment="1">
      <alignment vertical="center"/>
    </xf>
    <xf numFmtId="0" fontId="42" fillId="20" borderId="13" xfId="40" applyFont="1" applyFill="1" applyBorder="1" applyAlignment="1">
      <alignment horizontal="center" vertical="center" wrapText="1"/>
    </xf>
    <xf numFmtId="0" fontId="42" fillId="20" borderId="13" xfId="40" quotePrefix="1" applyFont="1" applyFill="1" applyBorder="1" applyAlignment="1">
      <alignment horizontal="center" vertical="center" wrapText="1"/>
    </xf>
    <xf numFmtId="0" fontId="57" fillId="0" borderId="0" xfId="40" quotePrefix="1" applyFont="1" applyAlignment="1">
      <alignment horizontal="left" vertical="center"/>
    </xf>
    <xf numFmtId="0" fontId="59" fillId="0" borderId="0" xfId="45" applyFont="1" applyAlignment="1">
      <alignment horizontal="centerContinuous" vertical="center"/>
    </xf>
    <xf numFmtId="0" fontId="60" fillId="0" borderId="0" xfId="45" applyFont="1" applyAlignment="1">
      <alignment vertical="center"/>
    </xf>
    <xf numFmtId="0" fontId="57" fillId="0" borderId="0" xfId="45" applyFont="1" applyAlignment="1">
      <alignment vertical="center"/>
    </xf>
    <xf numFmtId="3" fontId="31" fillId="19" borderId="11" xfId="35" applyNumberFormat="1" applyFont="1" applyFill="1" applyBorder="1" applyAlignment="1" applyProtection="1">
      <alignment horizontal="right" vertical="center"/>
    </xf>
    <xf numFmtId="3" fontId="31" fillId="0" borderId="0" xfId="35" applyNumberFormat="1" applyFont="1" applyFill="1" applyBorder="1" applyAlignment="1" applyProtection="1">
      <alignment horizontal="right" vertical="center"/>
    </xf>
    <xf numFmtId="3" fontId="29" fillId="0" borderId="0" xfId="46" applyNumberFormat="1" applyFont="1" applyAlignment="1">
      <alignment horizontal="right" vertical="center"/>
    </xf>
    <xf numFmtId="3" fontId="29" fillId="0" borderId="12" xfId="45" applyNumberFormat="1" applyFont="1" applyBorder="1" applyAlignment="1">
      <alignment horizontal="right" vertical="center"/>
    </xf>
    <xf numFmtId="3" fontId="29" fillId="0" borderId="12" xfId="46" applyNumberFormat="1" applyFont="1" applyBorder="1" applyAlignment="1">
      <alignment horizontal="right" vertical="center"/>
    </xf>
    <xf numFmtId="169" fontId="57" fillId="0" borderId="0" xfId="41" applyFont="1" applyAlignment="1">
      <alignment vertical="center"/>
    </xf>
    <xf numFmtId="3" fontId="57" fillId="0" borderId="0" xfId="41" applyNumberFormat="1" applyFont="1" applyAlignment="1">
      <alignment vertical="center"/>
    </xf>
    <xf numFmtId="175" fontId="57" fillId="0" borderId="0" xfId="41" applyNumberFormat="1" applyFont="1" applyAlignment="1">
      <alignment vertical="center"/>
    </xf>
    <xf numFmtId="186" fontId="57" fillId="0" borderId="0" xfId="41" applyNumberFormat="1" applyFont="1" applyAlignment="1">
      <alignment vertical="center"/>
    </xf>
    <xf numFmtId="169" fontId="57" fillId="0" borderId="0" xfId="42" applyFont="1" applyAlignment="1">
      <alignment vertical="center"/>
    </xf>
    <xf numFmtId="169" fontId="57" fillId="0" borderId="0" xfId="42" quotePrefix="1" applyFont="1" applyAlignment="1">
      <alignment horizontal="left" vertical="center"/>
    </xf>
    <xf numFmtId="199" fontId="31" fillId="19" borderId="12" xfId="38" applyNumberFormat="1" applyFont="1" applyFill="1" applyBorder="1" applyAlignment="1">
      <alignment horizontal="right" vertical="center"/>
    </xf>
    <xf numFmtId="199" fontId="29" fillId="0" borderId="12" xfId="38" applyNumberFormat="1" applyFont="1" applyBorder="1" applyAlignment="1">
      <alignment horizontal="right" vertical="center"/>
    </xf>
    <xf numFmtId="200" fontId="31" fillId="19" borderId="12" xfId="38" applyNumberFormat="1" applyFont="1" applyFill="1" applyBorder="1" applyAlignment="1">
      <alignment horizontal="right" vertical="center"/>
    </xf>
    <xf numFmtId="200" fontId="29" fillId="0" borderId="12" xfId="38" applyNumberFormat="1" applyFont="1" applyBorder="1" applyAlignment="1">
      <alignment horizontal="right" vertical="center"/>
    </xf>
    <xf numFmtId="181" fontId="31" fillId="19" borderId="12" xfId="38" applyNumberFormat="1" applyFont="1" applyFill="1" applyBorder="1" applyAlignment="1">
      <alignment horizontal="center" vertical="center"/>
    </xf>
    <xf numFmtId="181" fontId="29" fillId="0" borderId="12" xfId="38" applyNumberFormat="1" applyFont="1" applyBorder="1" applyAlignment="1">
      <alignment horizontal="center" vertical="center"/>
    </xf>
    <xf numFmtId="195" fontId="31" fillId="19" borderId="12" xfId="38" applyNumberFormat="1" applyFont="1" applyFill="1" applyBorder="1" applyAlignment="1">
      <alignment horizontal="right" vertical="center"/>
    </xf>
    <xf numFmtId="199" fontId="31" fillId="19" borderId="12" xfId="38" applyNumberFormat="1" applyFont="1" applyFill="1" applyBorder="1" applyAlignment="1">
      <alignment horizontal="center" vertical="center"/>
    </xf>
    <xf numFmtId="199" fontId="31" fillId="19" borderId="12" xfId="38" applyNumberFormat="1" applyFont="1" applyFill="1" applyBorder="1" applyAlignment="1">
      <alignment vertical="center"/>
    </xf>
    <xf numFmtId="199" fontId="29" fillId="0" borderId="12" xfId="38" applyNumberFormat="1" applyFont="1" applyBorder="1" applyAlignment="1">
      <alignment vertical="center"/>
    </xf>
    <xf numFmtId="188" fontId="31" fillId="19" borderId="12" xfId="38" applyNumberFormat="1" applyFont="1" applyFill="1" applyBorder="1" applyAlignment="1">
      <alignment horizontal="center" vertical="center"/>
    </xf>
    <xf numFmtId="188" fontId="29" fillId="0" borderId="12" xfId="38" applyNumberFormat="1" applyFont="1" applyBorder="1" applyAlignment="1">
      <alignment horizontal="center" vertical="center"/>
    </xf>
    <xf numFmtId="187" fontId="57" fillId="0" borderId="0" xfId="38" applyNumberFormat="1" applyFont="1" applyAlignment="1">
      <alignment vertical="center"/>
    </xf>
    <xf numFmtId="188" fontId="57" fillId="0" borderId="0" xfId="38" applyNumberFormat="1" applyFont="1" applyAlignment="1">
      <alignment vertical="center"/>
    </xf>
    <xf numFmtId="181" fontId="57" fillId="0" borderId="0" xfId="38" applyNumberFormat="1" applyFont="1" applyAlignment="1">
      <alignment vertical="center"/>
    </xf>
    <xf numFmtId="187" fontId="59" fillId="0" borderId="0" xfId="38" applyNumberFormat="1" applyFont="1" applyAlignment="1">
      <alignment vertical="center"/>
    </xf>
    <xf numFmtId="187" fontId="59" fillId="0" borderId="0" xfId="38" quotePrefix="1" applyNumberFormat="1" applyFont="1" applyAlignment="1">
      <alignment horizontal="left" vertical="center"/>
    </xf>
    <xf numFmtId="181" fontId="59" fillId="0" borderId="0" xfId="38" applyNumberFormat="1" applyFont="1" applyAlignment="1">
      <alignment horizontal="right" vertical="center"/>
    </xf>
    <xf numFmtId="169" fontId="61" fillId="0" borderId="0" xfId="42" quotePrefix="1" applyFont="1" applyAlignment="1">
      <alignment horizontal="left"/>
    </xf>
    <xf numFmtId="169" fontId="61" fillId="0" borderId="0" xfId="42" applyFont="1"/>
    <xf numFmtId="3" fontId="61" fillId="0" borderId="0" xfId="42" applyNumberFormat="1" applyFont="1"/>
    <xf numFmtId="169" fontId="61" fillId="0" borderId="0" xfId="42" applyFont="1" applyAlignment="1">
      <alignment horizontal="left"/>
    </xf>
    <xf numFmtId="3" fontId="61" fillId="0" borderId="0" xfId="42" quotePrefix="1" applyNumberFormat="1" applyFont="1" applyAlignment="1">
      <alignment horizontal="left"/>
    </xf>
    <xf numFmtId="3" fontId="61" fillId="0" borderId="0" xfId="42" applyNumberFormat="1" applyFont="1" applyAlignment="1">
      <alignment horizontal="left"/>
    </xf>
    <xf numFmtId="169" fontId="61" fillId="0" borderId="0" xfId="0" quotePrefix="1" applyNumberFormat="1" applyFont="1" applyAlignment="1">
      <alignment horizontal="left"/>
    </xf>
    <xf numFmtId="37" fontId="63" fillId="0" borderId="0" xfId="42" applyNumberFormat="1" applyFont="1"/>
    <xf numFmtId="174" fontId="61" fillId="0" borderId="0" xfId="42" applyNumberFormat="1" applyFont="1" applyAlignment="1">
      <alignment horizontal="center" vertical="center"/>
    </xf>
    <xf numFmtId="173" fontId="61" fillId="0" borderId="0" xfId="42" quotePrefix="1" applyNumberFormat="1" applyFont="1" applyAlignment="1">
      <alignment horizontal="left"/>
    </xf>
    <xf numFmtId="169" fontId="61" fillId="0" borderId="0" xfId="0" quotePrefix="1" applyNumberFormat="1" applyFont="1" applyAlignment="1">
      <alignment horizontal="left" vertical="center"/>
    </xf>
    <xf numFmtId="3" fontId="61" fillId="0" borderId="0" xfId="41" applyNumberFormat="1" applyFont="1"/>
    <xf numFmtId="171" fontId="61" fillId="0" borderId="0" xfId="42" applyNumberFormat="1" applyFont="1"/>
    <xf numFmtId="169" fontId="61" fillId="0" borderId="0" xfId="40" quotePrefix="1" applyNumberFormat="1" applyFont="1" applyAlignment="1">
      <alignment horizontal="left" vertical="center"/>
    </xf>
    <xf numFmtId="169" fontId="61" fillId="0" borderId="0" xfId="41" applyFont="1"/>
    <xf numFmtId="0" fontId="61" fillId="0" borderId="0" xfId="40" applyFont="1"/>
    <xf numFmtId="169" fontId="61" fillId="0" borderId="0" xfId="42" applyFont="1" applyAlignment="1">
      <alignment horizontal="left" vertical="center"/>
    </xf>
    <xf numFmtId="3" fontId="61" fillId="0" borderId="0" xfId="42" applyNumberFormat="1" applyFont="1" applyAlignment="1">
      <alignment vertical="center"/>
    </xf>
    <xf numFmtId="169" fontId="61" fillId="0" borderId="0" xfId="42" quotePrefix="1" applyFont="1" applyAlignment="1">
      <alignment horizontal="left" vertical="center"/>
    </xf>
    <xf numFmtId="169" fontId="61" fillId="0" borderId="0" xfId="42" applyFont="1" applyAlignment="1">
      <alignment vertical="center"/>
    </xf>
    <xf numFmtId="37" fontId="61" fillId="0" borderId="0" xfId="42" applyNumberFormat="1" applyFont="1" applyAlignment="1">
      <alignment vertical="center"/>
    </xf>
    <xf numFmtId="174" fontId="61" fillId="0" borderId="0" xfId="42" applyNumberFormat="1" applyFont="1" applyAlignment="1">
      <alignment vertical="center"/>
    </xf>
    <xf numFmtId="168" fontId="61" fillId="0" borderId="0" xfId="0" applyFont="1" applyAlignment="1">
      <alignment vertical="center"/>
    </xf>
    <xf numFmtId="3" fontId="61" fillId="0" borderId="0" xfId="0" applyNumberFormat="1" applyFont="1" applyAlignment="1">
      <alignment vertical="center"/>
    </xf>
    <xf numFmtId="37" fontId="61" fillId="0" borderId="0" xfId="0" applyNumberFormat="1" applyFont="1" applyAlignment="1">
      <alignment vertical="center"/>
    </xf>
    <xf numFmtId="169" fontId="57" fillId="0" borderId="0" xfId="41" quotePrefix="1" applyFont="1" applyAlignment="1">
      <alignment horizontal="left" vertical="center"/>
    </xf>
    <xf numFmtId="176" fontId="57" fillId="0" borderId="0" xfId="41" applyNumberFormat="1" applyFont="1" applyAlignment="1">
      <alignment horizontal="right" vertical="center"/>
    </xf>
    <xf numFmtId="2" fontId="59" fillId="0" borderId="0" xfId="40" applyNumberFormat="1" applyFont="1" applyAlignment="1">
      <alignment vertical="center"/>
    </xf>
    <xf numFmtId="0" fontId="59" fillId="0" borderId="0" xfId="40" quotePrefix="1" applyFont="1" applyAlignment="1">
      <alignment horizontal="left" vertical="center"/>
    </xf>
    <xf numFmtId="0" fontId="59" fillId="0" borderId="0" xfId="40" applyFont="1" applyAlignment="1">
      <alignment vertical="center"/>
    </xf>
    <xf numFmtId="169" fontId="57" fillId="0" borderId="0" xfId="40" quotePrefix="1" applyNumberFormat="1" applyFont="1" applyAlignment="1">
      <alignment horizontal="left" vertical="center"/>
    </xf>
    <xf numFmtId="3" fontId="57" fillId="0" borderId="0" xfId="40" quotePrefix="1" applyNumberFormat="1" applyFont="1" applyAlignment="1">
      <alignment vertical="center"/>
    </xf>
    <xf numFmtId="3" fontId="57" fillId="0" borderId="14" xfId="44" applyNumberFormat="1" applyFont="1" applyBorder="1" applyAlignment="1">
      <alignment vertical="center"/>
    </xf>
    <xf numFmtId="37" fontId="57" fillId="0" borderId="0" xfId="44" applyFont="1" applyAlignment="1">
      <alignment vertical="center"/>
    </xf>
    <xf numFmtId="3" fontId="57" fillId="0" borderId="0" xfId="44" applyNumberFormat="1" applyFont="1" applyAlignment="1">
      <alignment vertical="center"/>
    </xf>
    <xf numFmtId="49" fontId="31" fillId="20" borderId="13" xfId="44" applyNumberFormat="1" applyFont="1" applyFill="1" applyBorder="1" applyAlignment="1">
      <alignment horizontal="center" vertical="center"/>
    </xf>
    <xf numFmtId="0" fontId="57" fillId="0" borderId="0" xfId="40" applyFont="1" applyAlignment="1">
      <alignment horizontal="left" vertical="center"/>
    </xf>
    <xf numFmtId="192" fontId="29" fillId="0" borderId="12" xfId="45" applyNumberFormat="1" applyFont="1" applyBorder="1" applyAlignment="1">
      <alignment horizontal="right" vertical="center"/>
    </xf>
    <xf numFmtId="0" fontId="57" fillId="0" borderId="0" xfId="38" applyFont="1"/>
    <xf numFmtId="0" fontId="59" fillId="0" borderId="0" xfId="45" applyFont="1" applyAlignment="1">
      <alignment horizontal="center"/>
    </xf>
    <xf numFmtId="169" fontId="57" fillId="0" borderId="0" xfId="0" quotePrefix="1" applyNumberFormat="1" applyFont="1" applyAlignment="1">
      <alignment horizontal="left"/>
    </xf>
    <xf numFmtId="0" fontId="60" fillId="0" borderId="0" xfId="45" applyFont="1"/>
    <xf numFmtId="3" fontId="57" fillId="0" borderId="0" xfId="38" applyNumberFormat="1" applyFont="1" applyAlignment="1">
      <alignment horizontal="right"/>
    </xf>
    <xf numFmtId="0" fontId="31" fillId="20" borderId="14" xfId="40" applyFont="1" applyFill="1" applyBorder="1" applyAlignment="1">
      <alignment horizontal="center" vertical="center"/>
    </xf>
    <xf numFmtId="0" fontId="31" fillId="20" borderId="13" xfId="40" applyFont="1" applyFill="1" applyBorder="1" applyAlignment="1">
      <alignment horizontal="centerContinuous" vertical="center"/>
    </xf>
    <xf numFmtId="0" fontId="31" fillId="20" borderId="10" xfId="40" applyFont="1" applyFill="1" applyBorder="1" applyAlignment="1">
      <alignment horizontal="center" vertical="center"/>
    </xf>
    <xf numFmtId="0" fontId="31" fillId="20" borderId="10" xfId="40" quotePrefix="1" applyFont="1" applyFill="1" applyBorder="1" applyAlignment="1">
      <alignment horizontal="center" vertical="center"/>
    </xf>
    <xf numFmtId="0" fontId="34" fillId="0" borderId="0" xfId="45" applyFont="1" applyAlignment="1">
      <alignment horizontal="centerContinuous" vertical="center"/>
    </xf>
    <xf numFmtId="0" fontId="34" fillId="0" borderId="0" xfId="40" applyFont="1" applyAlignment="1">
      <alignment horizontal="center"/>
    </xf>
    <xf numFmtId="3" fontId="31" fillId="19" borderId="16" xfId="40" applyNumberFormat="1" applyFont="1" applyFill="1" applyBorder="1" applyAlignment="1">
      <alignment vertical="center"/>
    </xf>
    <xf numFmtId="3" fontId="29" fillId="0" borderId="16" xfId="40" applyNumberFormat="1" applyFont="1" applyBorder="1" applyAlignment="1">
      <alignment vertical="center"/>
    </xf>
    <xf numFmtId="175" fontId="31" fillId="0" borderId="0" xfId="40" applyNumberFormat="1" applyFont="1" applyAlignment="1">
      <alignment horizontal="center" vertical="center"/>
    </xf>
    <xf numFmtId="200" fontId="31" fillId="0" borderId="0" xfId="40" applyNumberFormat="1" applyFont="1" applyAlignment="1">
      <alignment vertical="center"/>
    </xf>
    <xf numFmtId="200" fontId="29" fillId="0" borderId="0" xfId="40" applyNumberFormat="1" applyFont="1" applyAlignment="1">
      <alignment horizontal="right" vertical="center"/>
    </xf>
    <xf numFmtId="200" fontId="29" fillId="0" borderId="12" xfId="40" applyNumberFormat="1" applyFont="1" applyBorder="1" applyAlignment="1">
      <alignment horizontal="right" vertical="center"/>
    </xf>
    <xf numFmtId="196" fontId="29" fillId="0" borderId="0" xfId="40" applyNumberFormat="1" applyFont="1" applyAlignment="1">
      <alignment horizontal="right" vertical="center"/>
    </xf>
    <xf numFmtId="196" fontId="29" fillId="0" borderId="12" xfId="40" applyNumberFormat="1" applyFont="1" applyBorder="1" applyAlignment="1">
      <alignment horizontal="right" vertical="center"/>
    </xf>
    <xf numFmtId="168" fontId="38" fillId="20" borderId="13" xfId="0" applyFont="1" applyFill="1" applyBorder="1" applyAlignment="1">
      <alignment horizontal="center" vertical="center" wrapText="1"/>
    </xf>
    <xf numFmtId="210" fontId="42" fillId="19" borderId="11" xfId="40" applyNumberFormat="1" applyFont="1" applyFill="1" applyBorder="1" applyAlignment="1">
      <alignment horizontal="right" vertical="center"/>
    </xf>
    <xf numFmtId="210" fontId="31" fillId="0" borderId="0" xfId="40" applyNumberFormat="1" applyFont="1" applyAlignment="1">
      <alignment horizontal="right" vertical="center"/>
    </xf>
    <xf numFmtId="210" fontId="29" fillId="0" borderId="0" xfId="40" applyNumberFormat="1" applyFont="1" applyAlignment="1">
      <alignment horizontal="right" vertical="center"/>
    </xf>
    <xf numFmtId="210" fontId="29" fillId="0" borderId="12" xfId="40" applyNumberFormat="1" applyFont="1" applyBorder="1" applyAlignment="1">
      <alignment horizontal="right" vertical="center"/>
    </xf>
    <xf numFmtId="211" fontId="42" fillId="19" borderId="11" xfId="40" applyNumberFormat="1" applyFont="1" applyFill="1" applyBorder="1" applyAlignment="1">
      <alignment vertical="center"/>
    </xf>
    <xf numFmtId="211" fontId="31" fillId="0" borderId="0" xfId="40" applyNumberFormat="1" applyFont="1" applyAlignment="1">
      <alignment vertical="center"/>
    </xf>
    <xf numFmtId="211" fontId="29" fillId="0" borderId="0" xfId="40" applyNumberFormat="1" applyFont="1" applyAlignment="1">
      <alignment vertical="center"/>
    </xf>
    <xf numFmtId="211" fontId="29" fillId="0" borderId="12" xfId="40" applyNumberFormat="1" applyFont="1" applyBorder="1" applyAlignment="1">
      <alignment vertical="center"/>
    </xf>
    <xf numFmtId="195" fontId="31" fillId="19" borderId="10" xfId="41" applyNumberFormat="1" applyFont="1" applyFill="1" applyBorder="1" applyAlignment="1">
      <alignment vertical="center"/>
    </xf>
    <xf numFmtId="195" fontId="31" fillId="19" borderId="0" xfId="41" applyNumberFormat="1" applyFont="1" applyFill="1" applyAlignment="1">
      <alignment vertical="center"/>
    </xf>
    <xf numFmtId="195" fontId="31" fillId="19" borderId="12" xfId="41" applyNumberFormat="1" applyFont="1" applyFill="1" applyBorder="1" applyAlignment="1">
      <alignment vertical="center"/>
    </xf>
    <xf numFmtId="37" fontId="31" fillId="0" borderId="0" xfId="44" applyFont="1" applyAlignment="1">
      <alignment horizontal="left" vertical="center"/>
    </xf>
    <xf numFmtId="3" fontId="29" fillId="0" borderId="0" xfId="44" applyNumberFormat="1" applyFont="1" applyAlignment="1">
      <alignment vertical="center"/>
    </xf>
    <xf numFmtId="3" fontId="29" fillId="0" borderId="12" xfId="44" applyNumberFormat="1" applyFont="1" applyBorder="1" applyAlignment="1">
      <alignment vertical="center"/>
    </xf>
    <xf numFmtId="0" fontId="31" fillId="0" borderId="0" xfId="40" quotePrefix="1" applyFont="1" applyAlignment="1">
      <alignment horizontal="left"/>
    </xf>
    <xf numFmtId="0" fontId="29" fillId="0" borderId="0" xfId="40" applyFont="1"/>
    <xf numFmtId="0" fontId="31" fillId="0" borderId="0" xfId="40" applyFont="1"/>
    <xf numFmtId="192" fontId="29" fillId="0" borderId="0" xfId="40" applyNumberFormat="1" applyFont="1"/>
    <xf numFmtId="0" fontId="29" fillId="0" borderId="0" xfId="40" quotePrefix="1" applyFont="1" applyAlignment="1">
      <alignment horizontal="left"/>
    </xf>
    <xf numFmtId="175" fontId="29" fillId="0" borderId="0" xfId="40" applyNumberFormat="1" applyFont="1"/>
    <xf numFmtId="181" fontId="29" fillId="0" borderId="0" xfId="40" applyNumberFormat="1" applyFont="1"/>
    <xf numFmtId="1" fontId="29" fillId="0" borderId="0" xfId="40" applyNumberFormat="1" applyFont="1"/>
    <xf numFmtId="195" fontId="29" fillId="0" borderId="0" xfId="40" applyNumberFormat="1" applyFont="1" applyAlignment="1">
      <alignment horizontal="right"/>
    </xf>
    <xf numFmtId="0" fontId="29" fillId="0" borderId="0" xfId="40" applyFont="1" applyAlignment="1">
      <alignment horizontal="left"/>
    </xf>
    <xf numFmtId="203" fontId="29" fillId="0" borderId="0" xfId="40" applyNumberFormat="1" applyFont="1"/>
    <xf numFmtId="174" fontId="29" fillId="0" borderId="0" xfId="40" applyNumberFormat="1" applyFont="1"/>
    <xf numFmtId="204" fontId="29" fillId="0" borderId="0" xfId="40" applyNumberFormat="1" applyFont="1"/>
    <xf numFmtId="204" fontId="29" fillId="0" borderId="0" xfId="40" applyNumberFormat="1" applyFont="1" applyAlignment="1">
      <alignment horizontal="right"/>
    </xf>
    <xf numFmtId="4" fontId="29" fillId="0" borderId="0" xfId="40" applyNumberFormat="1" applyFont="1"/>
    <xf numFmtId="3" fontId="29" fillId="0" borderId="0" xfId="40" applyNumberFormat="1" applyFont="1"/>
    <xf numFmtId="175" fontId="31" fillId="0" borderId="0" xfId="40" applyNumberFormat="1" applyFont="1"/>
    <xf numFmtId="189" fontId="29" fillId="0" borderId="0" xfId="40" applyNumberFormat="1" applyFont="1"/>
    <xf numFmtId="0" fontId="34" fillId="0" borderId="0" xfId="40" quotePrefix="1" applyFont="1" applyAlignment="1">
      <alignment horizontal="center"/>
    </xf>
    <xf numFmtId="169" fontId="41" fillId="0" borderId="12" xfId="42" quotePrefix="1" applyFont="1" applyBorder="1" applyAlignment="1">
      <alignment horizontal="center" vertical="center"/>
    </xf>
    <xf numFmtId="0" fontId="57" fillId="0" borderId="0" xfId="45" applyFont="1" applyAlignment="1">
      <alignment horizontal="centerContinuous" vertical="center"/>
    </xf>
    <xf numFmtId="193" fontId="29" fillId="0" borderId="0" xfId="40" applyNumberFormat="1" applyFont="1" applyAlignment="1">
      <alignment vertical="center"/>
    </xf>
    <xf numFmtId="204" fontId="29" fillId="0" borderId="0" xfId="40" applyNumberFormat="1" applyFont="1" applyAlignment="1">
      <alignment vertical="center"/>
    </xf>
    <xf numFmtId="195" fontId="29" fillId="0" borderId="0" xfId="45" applyNumberFormat="1" applyFont="1" applyAlignment="1">
      <alignment vertical="center"/>
    </xf>
    <xf numFmtId="199" fontId="29" fillId="0" borderId="0" xfId="45" applyNumberFormat="1" applyFont="1" applyAlignment="1">
      <alignment vertical="center"/>
    </xf>
    <xf numFmtId="200" fontId="29" fillId="0" borderId="0" xfId="45" applyNumberFormat="1" applyFont="1" applyAlignment="1">
      <alignment vertical="center"/>
    </xf>
    <xf numFmtId="192" fontId="42" fillId="19" borderId="0" xfId="41" applyNumberFormat="1" applyFont="1" applyFill="1" applyAlignment="1">
      <alignment vertical="center"/>
    </xf>
    <xf numFmtId="192" fontId="42" fillId="19" borderId="0" xfId="41" applyNumberFormat="1" applyFont="1" applyFill="1" applyAlignment="1">
      <alignment horizontal="right" vertical="center"/>
    </xf>
    <xf numFmtId="192" fontId="29" fillId="0" borderId="0" xfId="40" applyNumberFormat="1" applyFont="1" applyAlignment="1">
      <alignment vertical="center"/>
    </xf>
    <xf numFmtId="192" fontId="29" fillId="0" borderId="0" xfId="45" applyNumberFormat="1" applyFont="1" applyAlignment="1">
      <alignment vertical="center"/>
    </xf>
    <xf numFmtId="193" fontId="29" fillId="0" borderId="0" xfId="45" applyNumberFormat="1" applyFont="1" applyAlignment="1">
      <alignment vertical="center"/>
    </xf>
    <xf numFmtId="174" fontId="57" fillId="0" borderId="0" xfId="40" applyNumberFormat="1" applyFont="1" applyAlignment="1">
      <alignment vertical="center"/>
    </xf>
    <xf numFmtId="3" fontId="34" fillId="0" borderId="0" xfId="39" applyNumberFormat="1" applyFont="1" applyAlignment="1">
      <alignment vertical="center"/>
    </xf>
    <xf numFmtId="175" fontId="34" fillId="0" borderId="0" xfId="39" applyNumberFormat="1" applyFont="1" applyAlignment="1">
      <alignment vertical="center"/>
    </xf>
    <xf numFmtId="174" fontId="34" fillId="0" borderId="0" xfId="39" applyNumberFormat="1" applyFont="1" applyAlignment="1">
      <alignment vertical="center"/>
    </xf>
    <xf numFmtId="2" fontId="34" fillId="0" borderId="10" xfId="39" applyNumberFormat="1" applyFont="1" applyBorder="1" applyAlignment="1">
      <alignment vertical="center"/>
    </xf>
    <xf numFmtId="4" fontId="34" fillId="0" borderId="10" xfId="39" applyNumberFormat="1" applyFont="1" applyBorder="1" applyAlignment="1" applyProtection="1">
      <alignment vertical="center"/>
      <protection locked="0"/>
    </xf>
    <xf numFmtId="2" fontId="34" fillId="0" borderId="10" xfId="39" applyNumberFormat="1" applyFont="1" applyBorder="1" applyAlignment="1">
      <alignment horizontal="right" vertical="center"/>
    </xf>
    <xf numFmtId="4" fontId="34" fillId="0" borderId="12" xfId="39" applyNumberFormat="1" applyFont="1" applyBorder="1" applyAlignment="1" applyProtection="1">
      <alignment vertical="center"/>
      <protection locked="0"/>
    </xf>
    <xf numFmtId="0" fontId="34" fillId="0" borderId="0" xfId="39" applyFont="1" applyAlignment="1">
      <alignment vertical="center"/>
    </xf>
    <xf numFmtId="3" fontId="41" fillId="0" borderId="10" xfId="40" applyNumberFormat="1" applyFont="1" applyBorder="1"/>
    <xf numFmtId="3" fontId="41" fillId="0" borderId="16" xfId="40" applyNumberFormat="1" applyFont="1" applyBorder="1"/>
    <xf numFmtId="3" fontId="41" fillId="0" borderId="12" xfId="40" applyNumberFormat="1" applyFont="1" applyBorder="1"/>
    <xf numFmtId="3" fontId="29" fillId="0" borderId="0" xfId="35" applyNumberFormat="1" applyFont="1" applyFill="1" applyBorder="1" applyAlignment="1" applyProtection="1">
      <alignment horizontal="right" vertical="center"/>
    </xf>
    <xf numFmtId="3" fontId="29" fillId="0" borderId="12" xfId="35" applyNumberFormat="1" applyFont="1" applyFill="1" applyBorder="1" applyAlignment="1" applyProtection="1">
      <alignment horizontal="right" vertical="center"/>
    </xf>
    <xf numFmtId="3" fontId="38" fillId="19" borderId="11" xfId="40" applyNumberFormat="1" applyFont="1" applyFill="1" applyBorder="1" applyAlignment="1">
      <alignment vertical="center"/>
    </xf>
    <xf numFmtId="3" fontId="34" fillId="0" borderId="12" xfId="40" applyNumberFormat="1" applyFont="1" applyBorder="1" applyAlignment="1">
      <alignment vertical="center"/>
    </xf>
    <xf numFmtId="37" fontId="42" fillId="19" borderId="12" xfId="44" applyFont="1" applyFill="1" applyBorder="1" applyAlignment="1">
      <alignment vertical="center"/>
    </xf>
    <xf numFmtId="168" fontId="31" fillId="20" borderId="13" xfId="0" applyFont="1" applyFill="1" applyBorder="1" applyAlignment="1">
      <alignment horizontal="center" vertical="center"/>
    </xf>
    <xf numFmtId="0" fontId="31" fillId="0" borderId="0" xfId="39" applyFont="1" applyAlignment="1">
      <alignment horizontal="center" vertical="center"/>
    </xf>
    <xf numFmtId="3" fontId="29" fillId="0" borderId="16" xfId="40" applyNumberFormat="1" applyFont="1" applyBorder="1" applyAlignment="1">
      <alignment horizontal="left" vertical="center"/>
    </xf>
    <xf numFmtId="3" fontId="29" fillId="0" borderId="0" xfId="40" applyNumberFormat="1" applyFont="1" applyAlignment="1">
      <alignment horizontal="left" vertical="center"/>
    </xf>
    <xf numFmtId="3" fontId="29" fillId="0" borderId="12" xfId="40" applyNumberFormat="1" applyFont="1" applyBorder="1" applyAlignment="1">
      <alignment horizontal="left" vertical="center"/>
    </xf>
    <xf numFmtId="3" fontId="29" fillId="0" borderId="10" xfId="40" applyNumberFormat="1" applyFont="1" applyBorder="1" applyAlignment="1">
      <alignment horizontal="left" vertical="center"/>
    </xf>
    <xf numFmtId="0" fontId="42" fillId="20" borderId="13" xfId="40" applyFont="1" applyFill="1" applyBorder="1" applyAlignment="1">
      <alignment horizontal="center" vertical="center"/>
    </xf>
    <xf numFmtId="0" fontId="31" fillId="20" borderId="13" xfId="45" applyFont="1" applyFill="1" applyBorder="1" applyAlignment="1">
      <alignment horizontal="center" vertical="center"/>
    </xf>
    <xf numFmtId="169" fontId="31" fillId="19" borderId="11" xfId="45" applyNumberFormat="1" applyFont="1" applyFill="1" applyBorder="1" applyAlignment="1">
      <alignment horizontal="center" vertical="center"/>
    </xf>
    <xf numFmtId="0" fontId="42" fillId="20" borderId="13" xfId="45" applyFont="1" applyFill="1" applyBorder="1" applyAlignment="1">
      <alignment horizontal="center" vertical="center"/>
    </xf>
    <xf numFmtId="0" fontId="31" fillId="19" borderId="11" xfId="45" applyFont="1" applyFill="1" applyBorder="1" applyAlignment="1">
      <alignment horizontal="center" vertical="center"/>
    </xf>
    <xf numFmtId="169" fontId="29" fillId="0" borderId="12" xfId="41" applyFont="1" applyBorder="1" applyAlignment="1">
      <alignment horizontal="center" vertical="center"/>
    </xf>
    <xf numFmtId="169" fontId="31" fillId="20" borderId="17" xfId="42" applyFont="1" applyFill="1" applyBorder="1" applyAlignment="1">
      <alignment horizontal="center" vertical="center"/>
    </xf>
    <xf numFmtId="169" fontId="31" fillId="20" borderId="13" xfId="42" applyFont="1" applyFill="1" applyBorder="1" applyAlignment="1">
      <alignment horizontal="center" vertical="center"/>
    </xf>
    <xf numFmtId="169" fontId="31" fillId="20" borderId="18" xfId="42" applyFont="1" applyFill="1" applyBorder="1" applyAlignment="1">
      <alignment horizontal="center" vertical="center"/>
    </xf>
    <xf numFmtId="169" fontId="31" fillId="20" borderId="14" xfId="42" applyFont="1" applyFill="1" applyBorder="1" applyAlignment="1">
      <alignment horizontal="center" vertical="center"/>
    </xf>
    <xf numFmtId="169" fontId="31" fillId="20" borderId="10" xfId="42" applyFont="1" applyFill="1" applyBorder="1" applyAlignment="1">
      <alignment horizontal="center" vertical="center"/>
    </xf>
    <xf numFmtId="169" fontId="29" fillId="0" borderId="12" xfId="42" applyFont="1" applyBorder="1" applyAlignment="1">
      <alignment horizontal="center" vertical="center"/>
    </xf>
    <xf numFmtId="169" fontId="42" fillId="20" borderId="17" xfId="42" applyFont="1" applyFill="1" applyBorder="1" applyAlignment="1">
      <alignment horizontal="center" vertical="center"/>
    </xf>
    <xf numFmtId="169" fontId="42" fillId="20" borderId="13" xfId="42" applyFont="1" applyFill="1" applyBorder="1" applyAlignment="1">
      <alignment horizontal="center" vertical="center"/>
    </xf>
    <xf numFmtId="169" fontId="42" fillId="20" borderId="18" xfId="42" applyFont="1" applyFill="1" applyBorder="1" applyAlignment="1">
      <alignment horizontal="center" vertical="center"/>
    </xf>
    <xf numFmtId="169" fontId="42" fillId="20" borderId="14" xfId="42" applyFont="1" applyFill="1" applyBorder="1" applyAlignment="1">
      <alignment horizontal="center" vertical="center"/>
    </xf>
    <xf numFmtId="169" fontId="42" fillId="20" borderId="10" xfId="42" applyFont="1" applyFill="1" applyBorder="1" applyAlignment="1">
      <alignment horizontal="center" vertical="center"/>
    </xf>
    <xf numFmtId="169" fontId="50" fillId="20" borderId="14" xfId="42" applyFont="1" applyFill="1" applyBorder="1" applyAlignment="1">
      <alignment horizontal="center" vertical="center"/>
    </xf>
    <xf numFmtId="169" fontId="50" fillId="20" borderId="10" xfId="42" applyFont="1" applyFill="1" applyBorder="1" applyAlignment="1">
      <alignment horizontal="center" vertical="center"/>
    </xf>
    <xf numFmtId="169" fontId="50" fillId="20" borderId="13" xfId="42" applyFont="1" applyFill="1" applyBorder="1" applyAlignment="1">
      <alignment horizontal="center" vertical="center"/>
    </xf>
    <xf numFmtId="169" fontId="50" fillId="20" borderId="14" xfId="42" quotePrefix="1" applyFont="1" applyFill="1" applyBorder="1" applyAlignment="1">
      <alignment horizontal="center" vertical="center"/>
    </xf>
    <xf numFmtId="169" fontId="50" fillId="20" borderId="10" xfId="42" quotePrefix="1" applyFont="1" applyFill="1" applyBorder="1" applyAlignment="1">
      <alignment horizontal="center" vertical="center"/>
    </xf>
    <xf numFmtId="169" fontId="50" fillId="0" borderId="0" xfId="42" applyFont="1" applyAlignment="1">
      <alignment horizontal="center" vertical="center"/>
    </xf>
    <xf numFmtId="169" fontId="50" fillId="0" borderId="0" xfId="42" quotePrefix="1" applyFont="1" applyAlignment="1">
      <alignment horizontal="center" vertical="center"/>
    </xf>
    <xf numFmtId="169" fontId="50" fillId="0" borderId="12" xfId="42" quotePrefix="1" applyFont="1" applyBorder="1" applyAlignment="1">
      <alignment horizontal="center" vertical="center"/>
    </xf>
    <xf numFmtId="169" fontId="41" fillId="0" borderId="12" xfId="42" quotePrefix="1" applyFont="1" applyBorder="1" applyAlignment="1">
      <alignment horizontal="center" vertical="center"/>
    </xf>
    <xf numFmtId="168" fontId="50" fillId="20" borderId="14" xfId="0" applyFont="1" applyFill="1" applyBorder="1" applyAlignment="1">
      <alignment horizontal="center" vertical="center"/>
    </xf>
    <xf numFmtId="168" fontId="50" fillId="20" borderId="0" xfId="0" applyFont="1" applyFill="1" applyAlignment="1">
      <alignment horizontal="center" vertical="center"/>
    </xf>
    <xf numFmtId="168" fontId="50" fillId="20" borderId="10" xfId="0" applyFont="1" applyFill="1" applyBorder="1" applyAlignment="1">
      <alignment horizontal="center" vertical="center"/>
    </xf>
    <xf numFmtId="168" fontId="50" fillId="20" borderId="13" xfId="0" quotePrefix="1" applyFont="1" applyFill="1" applyBorder="1" applyAlignment="1">
      <alignment horizontal="center" vertical="center"/>
    </xf>
    <xf numFmtId="168" fontId="50" fillId="20" borderId="13" xfId="0" applyFont="1" applyFill="1" applyBorder="1" applyAlignment="1">
      <alignment horizontal="center" vertical="center"/>
    </xf>
    <xf numFmtId="169" fontId="31" fillId="20" borderId="10" xfId="41" quotePrefix="1" applyFont="1" applyFill="1" applyBorder="1" applyAlignment="1">
      <alignment horizontal="center" vertical="center"/>
    </xf>
    <xf numFmtId="169" fontId="31" fillId="20" borderId="13" xfId="41" applyFont="1" applyFill="1" applyBorder="1" applyAlignment="1">
      <alignment horizontal="center" vertical="center"/>
    </xf>
    <xf numFmtId="169" fontId="31" fillId="20" borderId="14" xfId="41" applyFont="1" applyFill="1" applyBorder="1" applyAlignment="1">
      <alignment horizontal="center" vertical="center"/>
    </xf>
    <xf numFmtId="169" fontId="31" fillId="20" borderId="10" xfId="41" applyFont="1" applyFill="1" applyBorder="1" applyAlignment="1">
      <alignment horizontal="center" vertical="center"/>
    </xf>
    <xf numFmtId="0" fontId="31" fillId="20" borderId="14" xfId="40" applyFont="1" applyFill="1" applyBorder="1" applyAlignment="1">
      <alignment horizontal="center" vertical="center"/>
    </xf>
    <xf numFmtId="0" fontId="31" fillId="20" borderId="10" xfId="40" applyFont="1" applyFill="1" applyBorder="1" applyAlignment="1">
      <alignment horizontal="center" vertical="center"/>
    </xf>
    <xf numFmtId="0" fontId="29" fillId="0" borderId="0" xfId="40" applyFont="1" applyAlignment="1">
      <alignment horizontal="center" vertical="center"/>
    </xf>
    <xf numFmtId="0" fontId="31" fillId="20" borderId="13" xfId="40" applyFont="1" applyFill="1" applyBorder="1" applyAlignment="1">
      <alignment horizontal="center" vertical="center"/>
    </xf>
    <xf numFmtId="37" fontId="29" fillId="0" borderId="0" xfId="44" applyFont="1" applyAlignment="1">
      <alignment horizontal="center" vertical="center"/>
    </xf>
    <xf numFmtId="0" fontId="31" fillId="0" borderId="0" xfId="40" applyFont="1" applyAlignment="1">
      <alignment horizontal="center" vertical="center"/>
    </xf>
    <xf numFmtId="169" fontId="42" fillId="19" borderId="11" xfId="45" applyNumberFormat="1" applyFont="1" applyFill="1" applyBorder="1" applyAlignment="1">
      <alignment horizontal="center" vertical="center"/>
    </xf>
    <xf numFmtId="0" fontId="31" fillId="20" borderId="10" xfId="45" applyFont="1" applyFill="1" applyBorder="1" applyAlignment="1">
      <alignment horizontal="center" vertical="center"/>
    </xf>
    <xf numFmtId="0" fontId="42" fillId="20" borderId="10" xfId="45" applyFont="1" applyFill="1" applyBorder="1" applyAlignment="1">
      <alignment horizontal="center" vertical="center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 xr:uid="{00000000-0005-0000-0000-00001D000000}"/>
    <cellStyle name="Incorrecto" xfId="31" builtinId="27" customBuiltin="1"/>
    <cellStyle name="Millares" xfId="32" builtinId="3"/>
    <cellStyle name="Millares [0]" xfId="33" builtinId="6"/>
    <cellStyle name="Millares 2" xfId="34" xr:uid="{00000000-0005-0000-0000-000021000000}"/>
    <cellStyle name="Millares 3" xfId="35" xr:uid="{00000000-0005-0000-0000-000022000000}"/>
    <cellStyle name="Millares_Cuadro N° 1,1-a,1-b" xfId="36" xr:uid="{00000000-0005-0000-0000-000023000000}"/>
    <cellStyle name="Neutral" xfId="37" builtinId="28" customBuiltin="1"/>
    <cellStyle name="Normal" xfId="0" builtinId="0"/>
    <cellStyle name="Normal 2" xfId="38" xr:uid="{00000000-0005-0000-0000-000026000000}"/>
    <cellStyle name="Normal 3" xfId="39" xr:uid="{00000000-0005-0000-0000-000027000000}"/>
    <cellStyle name="Normal 4" xfId="40" xr:uid="{00000000-0005-0000-0000-000028000000}"/>
    <cellStyle name="Normal 5" xfId="41" xr:uid="{00000000-0005-0000-0000-000029000000}"/>
    <cellStyle name="Normal 6" xfId="42" xr:uid="{00000000-0005-0000-0000-00002A000000}"/>
    <cellStyle name="Normal 7" xfId="43" xr:uid="{00000000-0005-0000-0000-00002B000000}"/>
    <cellStyle name="Normal 8" xfId="44" xr:uid="{00000000-0005-0000-0000-00002C000000}"/>
    <cellStyle name="Normal 9" xfId="45" xr:uid="{00000000-0005-0000-0000-00002D000000}"/>
    <cellStyle name="Normal_C-002_a" xfId="46" xr:uid="{00000000-0005-0000-0000-00002E000000}"/>
    <cellStyle name="Normal_C-30" xfId="47" xr:uid="{00000000-0005-0000-0000-00002F000000}"/>
    <cellStyle name="Normal_Hoja1" xfId="48" xr:uid="{00000000-0005-0000-0000-000030000000}"/>
    <cellStyle name="Notas" xfId="49" builtinId="10" customBuiltin="1"/>
    <cellStyle name="Porcentaje 2" xfId="50" xr:uid="{00000000-0005-0000-0000-000032000000}"/>
    <cellStyle name="Salida" xfId="51" builtinId="21" customBuiltin="1"/>
    <cellStyle name="Texto de advertencia" xfId="52" builtinId="11" customBuiltin="1"/>
    <cellStyle name="Texto explicativo" xfId="53" builtinId="53" customBuiltin="1"/>
    <cellStyle name="Título" xfId="54" builtinId="15" customBuiltin="1"/>
    <cellStyle name="Título 1" xfId="55" xr:uid="{00000000-0005-0000-0000-000037000000}"/>
    <cellStyle name="Título 2" xfId="56" builtinId="17" customBuiltin="1"/>
    <cellStyle name="Título 3" xfId="57" builtinId="18" customBuiltin="1"/>
    <cellStyle name="Total" xfId="58" builtinId="25" customBuiltin="1"/>
  </cellStyles>
  <dxfs count="0"/>
  <tableStyles count="0" defaultTableStyle="TableStyleMedium2" defaultPivotStyle="PivotStyleLight16"/>
  <colors>
    <mruColors>
      <color rgb="FFECE3D9"/>
      <color rgb="FFD3BAA4"/>
      <color rgb="FFC9BAB2"/>
      <color rgb="FFD3BFA7"/>
      <color rgb="FFC6DDCE"/>
      <color rgb="FFCDE6D6"/>
      <color rgb="FFD3EDDC"/>
      <color rgb="FFDBF7E3"/>
      <color rgb="FFC2DFBC"/>
      <color rgb="FFDED4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3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B67-C54C-AADD-AD7335DCC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262888"/>
        <c:axId val="115219608"/>
      </c:lineChart>
      <c:catAx>
        <c:axId val="256262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5219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21960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2628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18-BE45-8315-4477CA4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917584"/>
        <c:axId val="163145680"/>
      </c:lineChart>
      <c:catAx>
        <c:axId val="25791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3145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314568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9175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BB0-664A-B728-756736B4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221000"/>
        <c:axId val="164102528"/>
      </c:lineChart>
      <c:catAx>
        <c:axId val="25522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410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410252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221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BE8-8249-9A14-8F1B510C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35536"/>
        <c:axId val="165101568"/>
      </c:lineChart>
      <c:catAx>
        <c:axId val="16503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5101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10156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5035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62-0646-982A-568A37A2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787400"/>
        <c:axId val="256297832"/>
      </c:lineChart>
      <c:catAx>
        <c:axId val="25678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297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629783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6787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E3-194E-BCF9-6ECBF4AA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69544"/>
        <c:axId val="255669936"/>
      </c:lineChart>
      <c:catAx>
        <c:axId val="255669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69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69936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69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C1-764B-9A3A-494B3137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0720"/>
        <c:axId val="255671112"/>
      </c:lineChart>
      <c:catAx>
        <c:axId val="25567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1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7111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0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CC-DB4B-BC81-FE83F9BD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1896"/>
        <c:axId val="255672288"/>
      </c:lineChart>
      <c:catAx>
        <c:axId val="255671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2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56722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18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B46-E54C-AB1C-9B0619C2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72680"/>
        <c:axId val="257383288"/>
      </c:lineChart>
      <c:catAx>
        <c:axId val="255672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3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738328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56726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'[2]ALP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'[2]ALP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A-F340-B55C-5C3642FF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4072"/>
        <c:axId val="257384464"/>
      </c:lineChart>
      <c:catAx>
        <c:axId val="257384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446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446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4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'[2]ALP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'[2]ALP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E-0F43-8883-8535F678B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6032"/>
        <c:axId val="257386424"/>
      </c:lineChart>
      <c:catAx>
        <c:axId val="25738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642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642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60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'[2]ALP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'[2]ALP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7-794D-88EB-4212FA33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387600"/>
        <c:axId val="257389560"/>
      </c:lineChart>
      <c:catAx>
        <c:axId val="25738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95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5738956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7387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09" name="Gráfico 1">
          <a:extLst>
            <a:ext uri="{FF2B5EF4-FFF2-40B4-BE49-F238E27FC236}">
              <a16:creationId xmlns:a16="http://schemas.microsoft.com/office/drawing/2014/main" id="{CC3C6AD9-6D25-FA45-922E-29711D13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10" name="Gráfico 2">
          <a:extLst>
            <a:ext uri="{FF2B5EF4-FFF2-40B4-BE49-F238E27FC236}">
              <a16:creationId xmlns:a16="http://schemas.microsoft.com/office/drawing/2014/main" id="{DF9E610A-5AEF-0342-A718-7703E311F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1" name="Gráfico 1">
          <a:extLst>
            <a:ext uri="{FF2B5EF4-FFF2-40B4-BE49-F238E27FC236}">
              <a16:creationId xmlns:a16="http://schemas.microsoft.com/office/drawing/2014/main" id="{471F76FA-170A-1449-822B-AB02DFE2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2" name="Gráfico 2">
          <a:extLst>
            <a:ext uri="{FF2B5EF4-FFF2-40B4-BE49-F238E27FC236}">
              <a16:creationId xmlns:a16="http://schemas.microsoft.com/office/drawing/2014/main" id="{9DFC6B18-CC73-D34D-A48E-C2A297E2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3" name="Gráfico 1">
          <a:extLst>
            <a:ext uri="{FF2B5EF4-FFF2-40B4-BE49-F238E27FC236}">
              <a16:creationId xmlns:a16="http://schemas.microsoft.com/office/drawing/2014/main" id="{742AE11D-5163-0F41-AF21-5646280A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4" name="Gráfico 2">
          <a:extLst>
            <a:ext uri="{FF2B5EF4-FFF2-40B4-BE49-F238E27FC236}">
              <a16:creationId xmlns:a16="http://schemas.microsoft.com/office/drawing/2014/main" id="{7E4DB0BB-E1D0-6347-9E7A-2FBB3A8DD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graphicFrame macro="">
      <xdr:nvGraphicFramePr>
        <xdr:cNvPr id="13102" name="Gráfico 1">
          <a:extLst>
            <a:ext uri="{FF2B5EF4-FFF2-40B4-BE49-F238E27FC236}">
              <a16:creationId xmlns:a16="http://schemas.microsoft.com/office/drawing/2014/main" id="{498CE5B0-EC76-1A43-A0AD-F529E050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4126" name="Gráfico 1">
          <a:extLst>
            <a:ext uri="{FF2B5EF4-FFF2-40B4-BE49-F238E27FC236}">
              <a16:creationId xmlns:a16="http://schemas.microsoft.com/office/drawing/2014/main" id="{32FABAAF-BF8C-284A-8507-5010605A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15150" name="Gráfico 1">
          <a:extLst>
            <a:ext uri="{FF2B5EF4-FFF2-40B4-BE49-F238E27FC236}">
              <a16:creationId xmlns:a16="http://schemas.microsoft.com/office/drawing/2014/main" id="{5CAF96AC-9A03-3C48-BEA1-EE721B969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5389" name="Gráfico 1">
          <a:extLst>
            <a:ext uri="{FF2B5EF4-FFF2-40B4-BE49-F238E27FC236}">
              <a16:creationId xmlns:a16="http://schemas.microsoft.com/office/drawing/2014/main" id="{E99173EF-56CB-5246-91DE-ADD26A99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6413" name="Gráfico 1">
          <a:extLst>
            <a:ext uri="{FF2B5EF4-FFF2-40B4-BE49-F238E27FC236}">
              <a16:creationId xmlns:a16="http://schemas.microsoft.com/office/drawing/2014/main" id="{88AE0823-A211-CD4F-83E9-87915A18D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7437" name="Gráfico 1">
          <a:extLst>
            <a:ext uri="{FF2B5EF4-FFF2-40B4-BE49-F238E27FC236}">
              <a16:creationId xmlns:a16="http://schemas.microsoft.com/office/drawing/2014/main" id="{138F7FFC-D2F1-A342-A132-BF1ECC541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:/mis%20documentos/PECUARIO2000/COLO1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LEON/Prod-4/WINDOWS/Profiles/randrade/Escritorio/C-ALPACA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LEON/Avicola/Base/Indicadores(c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PPOLLO"/>
      <sheetName val="PROD-POLLO"/>
      <sheetName val="PROD-POLLO%"/>
      <sheetName val="RES-PROD-POLL"/>
      <sheetName val="CDPTOPOLLO"/>
      <sheetName val="CYPPADRES"/>
      <sheetName val="PPADPON"/>
      <sheetName val="res-padpon"/>
      <sheetName val="CDPTOPADRE"/>
      <sheetName val="CYPPONED"/>
      <sheetName val="CDPTOPONE"/>
      <sheetName val="CYPPAPOS"/>
      <sheetName val="CDPTOPAPOST"/>
      <sheetName val="movpoll"/>
      <sheetName val="COL.RES"/>
      <sheetName val="cuad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 02-01"/>
      <sheetName val="C-95-97"/>
    </sheetNames>
    <sheetDataSet>
      <sheetData sheetId="0" refreshError="1">
        <row r="118">
          <cell r="T118" t="str">
            <v>ene</v>
          </cell>
          <cell r="U118" t="str">
            <v>feb</v>
          </cell>
          <cell r="V118" t="str">
            <v>mar</v>
          </cell>
          <cell r="W118" t="str">
            <v>abr</v>
          </cell>
          <cell r="X118" t="str">
            <v>may</v>
          </cell>
          <cell r="Y118" t="str">
            <v>jun</v>
          </cell>
          <cell r="Z118" t="str">
            <v>jul</v>
          </cell>
          <cell r="AA118" t="str">
            <v>ago</v>
          </cell>
          <cell r="AB118" t="str">
            <v>set</v>
          </cell>
          <cell r="AC118" t="str">
            <v>oct</v>
          </cell>
          <cell r="AD118" t="str">
            <v>nov</v>
          </cell>
          <cell r="AE118" t="str">
            <v>dic</v>
          </cell>
        </row>
        <row r="120">
          <cell r="T120">
            <v>5.7350236468733575</v>
          </cell>
          <cell r="U120">
            <v>6.9653179190751455</v>
          </cell>
          <cell r="V120">
            <v>7.6228323699421967</v>
          </cell>
          <cell r="W120">
            <v>10.407251707829742</v>
          </cell>
          <cell r="X120">
            <v>11.617840252233316</v>
          </cell>
          <cell r="Y120">
            <v>11.584997372569628</v>
          </cell>
          <cell r="Z120">
            <v>10.949487651077247</v>
          </cell>
          <cell r="AA120">
            <v>8.920126116657908</v>
          </cell>
          <cell r="AB120">
            <v>8.2294403573305317</v>
          </cell>
          <cell r="AC120">
            <v>6.8181818181818175</v>
          </cell>
          <cell r="AD120">
            <v>5.5599710982658959</v>
          </cell>
          <cell r="AE120">
            <v>5.5895296899632161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I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"/>
  <sheetViews>
    <sheetView topLeftCell="C1" zoomScale="136" zoomScaleNormal="136" workbookViewId="0">
      <selection activeCell="A33" sqref="A33"/>
    </sheetView>
  </sheetViews>
  <sheetFormatPr baseColWidth="10" defaultRowHeight="12"/>
  <sheetData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Hoja2">
    <tabColor theme="4" tint="-0.249977111117893"/>
  </sheetPr>
  <dimension ref="A1:AR93"/>
  <sheetViews>
    <sheetView showGridLines="0" zoomScaleNormal="100" workbookViewId="0">
      <selection activeCell="B45" sqref="B45"/>
    </sheetView>
  </sheetViews>
  <sheetFormatPr baseColWidth="10" defaultColWidth="11" defaultRowHeight="13.25" customHeight="1"/>
  <cols>
    <col min="1" max="1" width="1" style="17" customWidth="1"/>
    <col min="2" max="2" width="15.19921875" style="17" customWidth="1"/>
    <col min="3" max="3" width="7.3984375" style="17" hidden="1" customWidth="1"/>
    <col min="4" max="6" width="6.3984375" style="17" hidden="1" customWidth="1"/>
    <col min="7" max="7" width="7.19921875" style="17" hidden="1" customWidth="1"/>
    <col min="8" max="8" width="7.3984375" style="17" hidden="1" customWidth="1"/>
    <col min="9" max="9" width="7.19921875" style="17" hidden="1" customWidth="1"/>
    <col min="10" max="25" width="7" style="17" customWidth="1"/>
    <col min="26" max="26" width="5.19921875" style="17" customWidth="1"/>
    <col min="27" max="27" width="11.796875" style="17" customWidth="1"/>
    <col min="28" max="31" width="7.3984375" style="17" customWidth="1"/>
    <col min="32" max="32" width="8.3984375" style="17" customWidth="1"/>
    <col min="33" max="46" width="7.3984375" style="17" customWidth="1"/>
    <col min="47" max="16384" width="11" style="17"/>
  </cols>
  <sheetData>
    <row r="1" spans="1:44" ht="1.25" customHeight="1">
      <c r="C1" s="43"/>
      <c r="D1" s="43"/>
    </row>
    <row r="2" spans="1:44" ht="15" customHeight="1">
      <c r="A2" s="57" t="s">
        <v>384</v>
      </c>
      <c r="B2" s="55"/>
      <c r="AR2" s="45" t="s">
        <v>183</v>
      </c>
    </row>
    <row r="3" spans="1:44" ht="12">
      <c r="A3" s="57" t="s">
        <v>472</v>
      </c>
      <c r="B3" s="55"/>
      <c r="AR3" s="45"/>
    </row>
    <row r="4" spans="1:44" ht="12">
      <c r="A4" s="56" t="s">
        <v>220</v>
      </c>
      <c r="B4" s="55"/>
      <c r="AR4" s="45" t="s">
        <v>184</v>
      </c>
    </row>
    <row r="5" spans="1:44" ht="4.25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44" ht="24" customHeight="1">
      <c r="A6" s="955" t="s">
        <v>180</v>
      </c>
      <c r="B6" s="955"/>
      <c r="C6" s="533" t="s">
        <v>0</v>
      </c>
      <c r="D6" s="533" t="s">
        <v>1</v>
      </c>
      <c r="E6" s="533" t="s">
        <v>2</v>
      </c>
      <c r="F6" s="534">
        <v>2003</v>
      </c>
      <c r="G6" s="534">
        <v>2004</v>
      </c>
      <c r="H6" s="534">
        <v>2005</v>
      </c>
      <c r="I6" s="534">
        <v>2006</v>
      </c>
      <c r="J6" s="535">
        <v>2007</v>
      </c>
      <c r="K6" s="535">
        <v>2008</v>
      </c>
      <c r="L6" s="535">
        <v>2009</v>
      </c>
      <c r="M6" s="535">
        <v>2010</v>
      </c>
      <c r="N6" s="535">
        <v>2011</v>
      </c>
      <c r="O6" s="535">
        <v>2012</v>
      </c>
      <c r="P6" s="535">
        <v>2013</v>
      </c>
      <c r="Q6" s="535">
        <v>2014</v>
      </c>
      <c r="R6" s="535">
        <v>2015</v>
      </c>
      <c r="S6" s="535">
        <v>2016</v>
      </c>
      <c r="T6" s="536">
        <v>2017</v>
      </c>
      <c r="U6" s="537">
        <v>2018</v>
      </c>
      <c r="V6" s="537">
        <v>2019</v>
      </c>
      <c r="W6" s="537">
        <v>2020</v>
      </c>
      <c r="X6" s="537">
        <v>2021</v>
      </c>
      <c r="Y6" s="538" t="s">
        <v>471</v>
      </c>
      <c r="Z6" s="892" t="s">
        <v>391</v>
      </c>
    </row>
    <row r="7" spans="1:44" ht="15" customHeight="1">
      <c r="A7" s="519" t="s">
        <v>178</v>
      </c>
      <c r="B7" s="519"/>
      <c r="C7" s="520">
        <v>17474.3</v>
      </c>
      <c r="D7" s="520">
        <v>17601.8</v>
      </c>
      <c r="E7" s="520">
        <v>18603.599999999999</v>
      </c>
      <c r="F7" s="520">
        <v>18969.3</v>
      </c>
      <c r="G7" s="521">
        <v>19096</v>
      </c>
      <c r="H7" s="521">
        <v>20511.900000000001</v>
      </c>
      <c r="I7" s="521">
        <v>22151.7</v>
      </c>
      <c r="J7" s="522">
        <v>22808.2</v>
      </c>
      <c r="K7" s="522">
        <v>24741.8</v>
      </c>
      <c r="L7" s="522">
        <v>25379.1</v>
      </c>
      <c r="M7" s="522">
        <v>26407.4</v>
      </c>
      <c r="N7" s="522">
        <v>27861.200000000001</v>
      </c>
      <c r="O7" s="522">
        <v>29538.1</v>
      </c>
      <c r="P7" s="522">
        <v>30131.9</v>
      </c>
      <c r="Q7" s="522">
        <v>30698.2</v>
      </c>
      <c r="R7" s="522">
        <v>31894</v>
      </c>
      <c r="S7" s="522">
        <v>32592.3</v>
      </c>
      <c r="T7" s="523">
        <v>33502.400000000001</v>
      </c>
      <c r="U7" s="523">
        <v>36117.599999999999</v>
      </c>
      <c r="V7" s="523">
        <v>37417.5</v>
      </c>
      <c r="W7" s="523">
        <v>37800.6</v>
      </c>
      <c r="X7" s="523">
        <v>39530.726000000002</v>
      </c>
      <c r="Y7" s="523">
        <v>41283.517999999996</v>
      </c>
      <c r="Z7" s="524">
        <v>4.4000000000000004</v>
      </c>
      <c r="AR7" s="17">
        <v>3.9</v>
      </c>
    </row>
    <row r="8" spans="1:44" ht="15" customHeight="1">
      <c r="A8" s="519" t="s">
        <v>179</v>
      </c>
      <c r="B8" s="519"/>
      <c r="C8" s="520">
        <v>11577.1</v>
      </c>
      <c r="D8" s="520">
        <v>11537.3</v>
      </c>
      <c r="E8" s="520">
        <v>12282.8</v>
      </c>
      <c r="F8" s="520">
        <v>12444.9</v>
      </c>
      <c r="G8" s="521">
        <v>12391.7</v>
      </c>
      <c r="H8" s="521">
        <v>13289.3</v>
      </c>
      <c r="I8" s="521">
        <v>14340.7</v>
      </c>
      <c r="J8" s="522">
        <v>14533.2</v>
      </c>
      <c r="K8" s="522">
        <v>15862.1</v>
      </c>
      <c r="L8" s="522">
        <v>15991.2</v>
      </c>
      <c r="M8" s="522">
        <v>16616</v>
      </c>
      <c r="N8" s="522">
        <v>17377.3</v>
      </c>
      <c r="O8" s="522">
        <v>18471.3</v>
      </c>
      <c r="P8" s="522">
        <v>18672.8</v>
      </c>
      <c r="Q8" s="522">
        <v>18833.5</v>
      </c>
      <c r="R8" s="522">
        <v>19407.900000000001</v>
      </c>
      <c r="S8" s="522">
        <v>19601</v>
      </c>
      <c r="T8" s="525">
        <v>20149</v>
      </c>
      <c r="U8" s="525">
        <v>22019.3</v>
      </c>
      <c r="V8" s="525">
        <v>22754.466</v>
      </c>
      <c r="W8" s="525">
        <v>23395.877</v>
      </c>
      <c r="X8" s="525">
        <v>24838.221000000001</v>
      </c>
      <c r="Y8" s="525">
        <v>26231.073</v>
      </c>
      <c r="Z8" s="524">
        <v>5.6</v>
      </c>
      <c r="AR8" s="17">
        <v>3.3</v>
      </c>
    </row>
    <row r="9" spans="1:44" ht="15" customHeight="1">
      <c r="A9" s="519" t="s">
        <v>3</v>
      </c>
      <c r="B9" s="519"/>
      <c r="C9" s="526">
        <v>5897.2</v>
      </c>
      <c r="D9" s="526">
        <v>6064.5</v>
      </c>
      <c r="E9" s="526">
        <v>6320.8</v>
      </c>
      <c r="F9" s="526">
        <v>6524.4</v>
      </c>
      <c r="G9" s="527">
        <v>6704.3</v>
      </c>
      <c r="H9" s="527">
        <v>7222.6</v>
      </c>
      <c r="I9" s="527">
        <v>7811</v>
      </c>
      <c r="J9" s="528">
        <v>8275</v>
      </c>
      <c r="K9" s="528">
        <v>8879.7000000000007</v>
      </c>
      <c r="L9" s="528">
        <v>9387.9</v>
      </c>
      <c r="M9" s="528">
        <v>9791.4</v>
      </c>
      <c r="N9" s="528">
        <v>10483.9</v>
      </c>
      <c r="O9" s="528">
        <v>11066.7</v>
      </c>
      <c r="P9" s="528">
        <v>11459.1</v>
      </c>
      <c r="Q9" s="528">
        <v>11864.7</v>
      </c>
      <c r="R9" s="528">
        <v>12486.1</v>
      </c>
      <c r="S9" s="528">
        <v>12991.3</v>
      </c>
      <c r="T9" s="528">
        <v>13353.4</v>
      </c>
      <c r="U9" s="528">
        <v>14098.3</v>
      </c>
      <c r="V9" s="528">
        <v>14663.039000000001</v>
      </c>
      <c r="W9" s="528">
        <v>14404.683000000001</v>
      </c>
      <c r="X9" s="528">
        <v>14692.504999999999</v>
      </c>
      <c r="Y9" s="528">
        <v>15052.445</v>
      </c>
      <c r="Z9" s="524">
        <v>2.4</v>
      </c>
      <c r="AR9" s="17">
        <v>4.9000000000000004</v>
      </c>
    </row>
    <row r="10" spans="1:44" ht="3" customHeight="1">
      <c r="A10" s="1"/>
      <c r="B10" s="2"/>
      <c r="C10" s="3"/>
      <c r="D10" s="3"/>
      <c r="E10" s="3"/>
      <c r="F10" s="3"/>
      <c r="G10" s="3"/>
      <c r="H10" s="3"/>
      <c r="I10" s="3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45"/>
    </row>
    <row r="11" spans="1:44" ht="14" customHeight="1">
      <c r="A11" s="1"/>
      <c r="B11" s="2" t="s">
        <v>200</v>
      </c>
      <c r="C11" s="4">
        <f t="shared" ref="C11:I11" si="0">SUM(C12:C14)</f>
        <v>2892.6</v>
      </c>
      <c r="D11" s="4">
        <f t="shared" si="0"/>
        <v>2958.5</v>
      </c>
      <c r="E11" s="4">
        <f t="shared" si="0"/>
        <v>3140.8999999999996</v>
      </c>
      <c r="F11" s="4">
        <f t="shared" si="0"/>
        <v>3262.9</v>
      </c>
      <c r="G11" s="4">
        <f t="shared" si="0"/>
        <v>3280.1</v>
      </c>
      <c r="H11" s="4">
        <f t="shared" si="0"/>
        <v>3623.2</v>
      </c>
      <c r="I11" s="4">
        <f t="shared" si="0"/>
        <v>4017.6000000000004</v>
      </c>
      <c r="J11" s="211">
        <f t="shared" ref="J11:U11" si="1">J12+J14</f>
        <v>4330.6000000000004</v>
      </c>
      <c r="K11" s="211">
        <f t="shared" si="1"/>
        <v>4847.7</v>
      </c>
      <c r="L11" s="211">
        <f t="shared" si="1"/>
        <v>5254.6</v>
      </c>
      <c r="M11" s="211">
        <f t="shared" si="1"/>
        <v>5560.0999999999995</v>
      </c>
      <c r="N11" s="211">
        <f t="shared" si="1"/>
        <v>6092.8</v>
      </c>
      <c r="O11" s="211">
        <f t="shared" si="1"/>
        <v>6526.6</v>
      </c>
      <c r="P11" s="211">
        <f t="shared" si="1"/>
        <v>6835.4</v>
      </c>
      <c r="Q11" s="211">
        <f t="shared" si="1"/>
        <v>7152.1</v>
      </c>
      <c r="R11" s="211">
        <f t="shared" si="1"/>
        <v>7724.4</v>
      </c>
      <c r="S11" s="211">
        <f t="shared" si="1"/>
        <v>8184.5</v>
      </c>
      <c r="T11" s="211">
        <f t="shared" si="1"/>
        <v>8482.7999999999993</v>
      </c>
      <c r="U11" s="211">
        <f t="shared" si="1"/>
        <v>9139.7999999999993</v>
      </c>
      <c r="V11" s="211">
        <f>V12+V14</f>
        <v>9596.8060000000005</v>
      </c>
      <c r="W11" s="211">
        <f>W12+W14</f>
        <v>9444.1610000000001</v>
      </c>
      <c r="X11" s="211">
        <f t="shared" ref="X11:Y11" si="2">X12+X14</f>
        <v>9593.4760000000006</v>
      </c>
      <c r="Y11" s="211">
        <f t="shared" si="2"/>
        <v>9844.8040000000001</v>
      </c>
      <c r="Z11" s="46">
        <v>2.6</v>
      </c>
      <c r="AR11" s="17">
        <v>6.5</v>
      </c>
    </row>
    <row r="12" spans="1:44" ht="14" customHeight="1">
      <c r="A12" s="5">
        <v>1</v>
      </c>
      <c r="B12" s="6" t="s">
        <v>4</v>
      </c>
      <c r="C12" s="4">
        <v>2340.6</v>
      </c>
      <c r="D12" s="4">
        <v>2376.6</v>
      </c>
      <c r="E12" s="4">
        <v>2551.1999999999998</v>
      </c>
      <c r="F12" s="4">
        <v>2651.8</v>
      </c>
      <c r="G12" s="4">
        <v>2655</v>
      </c>
      <c r="H12" s="4">
        <v>2983.5</v>
      </c>
      <c r="I12" s="4">
        <v>3259.4</v>
      </c>
      <c r="J12" s="211">
        <v>3534.8</v>
      </c>
      <c r="K12" s="211">
        <v>4024.4</v>
      </c>
      <c r="L12" s="211">
        <v>4424.6000000000004</v>
      </c>
      <c r="M12" s="211">
        <v>4679.3999999999996</v>
      </c>
      <c r="N12" s="211">
        <v>5111.6000000000004</v>
      </c>
      <c r="O12" s="211">
        <v>5556.6</v>
      </c>
      <c r="P12" s="211">
        <v>5754.9</v>
      </c>
      <c r="Q12" s="211">
        <v>6044.3</v>
      </c>
      <c r="R12" s="211">
        <v>6531.3</v>
      </c>
      <c r="S12" s="211">
        <v>6945.9</v>
      </c>
      <c r="T12" s="211">
        <v>7199.8</v>
      </c>
      <c r="U12" s="211">
        <v>7742.8</v>
      </c>
      <c r="V12" s="211">
        <v>8087.8779999999997</v>
      </c>
      <c r="W12" s="211">
        <v>7907.3050000000003</v>
      </c>
      <c r="X12" s="211">
        <v>8036.2740000000003</v>
      </c>
      <c r="Y12" s="211">
        <v>8266.4439999999995</v>
      </c>
      <c r="Z12" s="46">
        <v>2.9</v>
      </c>
      <c r="AR12" s="17">
        <v>6.8</v>
      </c>
    </row>
    <row r="13" spans="1:44" ht="14" customHeight="1">
      <c r="A13" s="5"/>
      <c r="B13" s="6" t="s">
        <v>400</v>
      </c>
      <c r="C13" s="4"/>
      <c r="D13" s="4"/>
      <c r="E13" s="4"/>
      <c r="F13" s="4"/>
      <c r="G13" s="4"/>
      <c r="H13" s="4"/>
      <c r="I13" s="4"/>
      <c r="J13" s="211">
        <v>3273.1</v>
      </c>
      <c r="K13" s="211">
        <v>3727.9</v>
      </c>
      <c r="L13" s="211">
        <v>4121.7</v>
      </c>
      <c r="M13" s="211">
        <v>4362.7</v>
      </c>
      <c r="N13" s="211">
        <v>4582.8999999999996</v>
      </c>
      <c r="O13" s="211">
        <v>5195.8</v>
      </c>
      <c r="P13" s="211">
        <v>5394.3</v>
      </c>
      <c r="Q13" s="211">
        <v>5657.9</v>
      </c>
      <c r="R13" s="211">
        <v>6101.3</v>
      </c>
      <c r="S13" s="211">
        <v>6448.2</v>
      </c>
      <c r="T13" s="211">
        <v>6719.3</v>
      </c>
      <c r="U13" s="211">
        <v>7257.1</v>
      </c>
      <c r="V13" s="211">
        <v>7579.0429999999997</v>
      </c>
      <c r="W13" s="211">
        <v>7415.8819999999996</v>
      </c>
      <c r="X13" s="211">
        <v>7520.4690000000001</v>
      </c>
      <c r="Y13" s="211">
        <v>7739.0309999999999</v>
      </c>
      <c r="Z13" s="46">
        <v>2.9</v>
      </c>
    </row>
    <row r="14" spans="1:44" ht="14" customHeight="1">
      <c r="A14" s="5"/>
      <c r="B14" s="6" t="s">
        <v>237</v>
      </c>
      <c r="C14" s="4">
        <v>552</v>
      </c>
      <c r="D14" s="4">
        <v>581.9</v>
      </c>
      <c r="E14" s="4">
        <v>589.70000000000005</v>
      </c>
      <c r="F14" s="4">
        <v>611.1</v>
      </c>
      <c r="G14" s="4">
        <v>625.1</v>
      </c>
      <c r="H14" s="4">
        <v>639.70000000000005</v>
      </c>
      <c r="I14" s="4">
        <v>758.2</v>
      </c>
      <c r="J14" s="211">
        <v>795.8</v>
      </c>
      <c r="K14" s="211">
        <v>823.3</v>
      </c>
      <c r="L14" s="211">
        <v>830</v>
      </c>
      <c r="M14" s="211">
        <v>880.7</v>
      </c>
      <c r="N14" s="211">
        <v>981.2</v>
      </c>
      <c r="O14" s="211">
        <v>970</v>
      </c>
      <c r="P14" s="211">
        <v>1080.5</v>
      </c>
      <c r="Q14" s="211">
        <v>1107.8</v>
      </c>
      <c r="R14" s="211">
        <v>1193.0999999999999</v>
      </c>
      <c r="S14" s="211">
        <v>1238.5999999999999</v>
      </c>
      <c r="T14" s="211">
        <v>1283</v>
      </c>
      <c r="U14" s="211">
        <v>1397</v>
      </c>
      <c r="V14" s="211">
        <v>1508.9280000000001</v>
      </c>
      <c r="W14" s="211">
        <v>1536.856</v>
      </c>
      <c r="X14" s="211">
        <v>1557.202</v>
      </c>
      <c r="Y14" s="211">
        <v>1578.36</v>
      </c>
      <c r="Z14" s="46">
        <v>1.4</v>
      </c>
      <c r="AR14" s="17">
        <v>5.0999999999999996</v>
      </c>
    </row>
    <row r="15" spans="1:44" ht="14" customHeight="1">
      <c r="A15" s="5">
        <v>2</v>
      </c>
      <c r="B15" s="6" t="s">
        <v>5</v>
      </c>
      <c r="C15" s="4">
        <v>378.7</v>
      </c>
      <c r="D15" s="4">
        <v>388.4</v>
      </c>
      <c r="E15" s="4">
        <v>383.2</v>
      </c>
      <c r="F15" s="4">
        <v>389.2</v>
      </c>
      <c r="G15" s="4">
        <v>410.8</v>
      </c>
      <c r="H15" s="4">
        <v>410.6</v>
      </c>
      <c r="I15" s="4">
        <v>413.3</v>
      </c>
      <c r="J15" s="211">
        <v>412.5</v>
      </c>
      <c r="K15" s="211">
        <v>406.5</v>
      </c>
      <c r="L15" s="211">
        <v>407.8</v>
      </c>
      <c r="M15" s="211">
        <v>410.4</v>
      </c>
      <c r="N15" s="211">
        <v>417.6</v>
      </c>
      <c r="O15" s="211">
        <v>430.3</v>
      </c>
      <c r="P15" s="211">
        <v>425.5</v>
      </c>
      <c r="Q15" s="211">
        <v>419.6</v>
      </c>
      <c r="R15" s="211">
        <v>404.2</v>
      </c>
      <c r="S15" s="211">
        <v>413.9</v>
      </c>
      <c r="T15" s="211">
        <v>407.8</v>
      </c>
      <c r="U15" s="211">
        <v>410.4</v>
      </c>
      <c r="V15" s="211">
        <v>411.76799999999997</v>
      </c>
      <c r="W15" s="211">
        <v>395.15499999999997</v>
      </c>
      <c r="X15" s="211">
        <v>405.40899999999999</v>
      </c>
      <c r="Y15" s="211">
        <v>408.786</v>
      </c>
      <c r="Z15" s="46">
        <v>0.8</v>
      </c>
      <c r="AR15" s="17">
        <v>0.4</v>
      </c>
    </row>
    <row r="16" spans="1:44" ht="14" customHeight="1">
      <c r="A16" s="5">
        <v>3</v>
      </c>
      <c r="B16" s="6" t="s">
        <v>6</v>
      </c>
      <c r="C16" s="4">
        <v>433.8</v>
      </c>
      <c r="D16" s="4">
        <v>442.2</v>
      </c>
      <c r="E16" s="4">
        <v>438.5</v>
      </c>
      <c r="F16" s="4">
        <v>439.5</v>
      </c>
      <c r="G16" s="4">
        <v>468.6</v>
      </c>
      <c r="H16" s="4">
        <v>494</v>
      </c>
      <c r="I16" s="4">
        <v>516.6</v>
      </c>
      <c r="J16" s="211">
        <v>542.70000000000005</v>
      </c>
      <c r="K16" s="211">
        <v>545.9</v>
      </c>
      <c r="L16" s="211">
        <v>543.6</v>
      </c>
      <c r="M16" s="211">
        <v>548.1</v>
      </c>
      <c r="N16" s="211">
        <v>557.20000000000005</v>
      </c>
      <c r="O16" s="211">
        <v>579.79999999999995</v>
      </c>
      <c r="P16" s="211">
        <v>605</v>
      </c>
      <c r="Q16" s="211">
        <v>641.6</v>
      </c>
      <c r="R16" s="211">
        <v>677.3</v>
      </c>
      <c r="S16" s="211">
        <v>708</v>
      </c>
      <c r="T16" s="211">
        <v>747.5</v>
      </c>
      <c r="U16" s="211">
        <v>781.6</v>
      </c>
      <c r="V16" s="211">
        <v>821.01300000000003</v>
      </c>
      <c r="W16" s="211">
        <v>805.12199999999996</v>
      </c>
      <c r="X16" s="211">
        <v>834.71299999999997</v>
      </c>
      <c r="Y16" s="211">
        <v>859.61400000000003</v>
      </c>
      <c r="Z16" s="46">
        <v>3</v>
      </c>
      <c r="AR16" s="17">
        <v>3.3</v>
      </c>
    </row>
    <row r="17" spans="1:44" ht="14" customHeight="1">
      <c r="A17" s="5">
        <v>4</v>
      </c>
      <c r="B17" s="6" t="s">
        <v>7</v>
      </c>
      <c r="C17" s="4">
        <v>1114.0999999999999</v>
      </c>
      <c r="D17" s="4">
        <v>1114.3</v>
      </c>
      <c r="E17" s="4">
        <v>1147.4000000000001</v>
      </c>
      <c r="F17" s="4">
        <v>1174.2</v>
      </c>
      <c r="G17" s="4">
        <v>1227.9000000000001</v>
      </c>
      <c r="H17" s="4">
        <v>1304.4000000000001</v>
      </c>
      <c r="I17" s="4">
        <v>1382.1</v>
      </c>
      <c r="J17" s="211">
        <v>1396.3</v>
      </c>
      <c r="K17" s="211">
        <v>1397</v>
      </c>
      <c r="L17" s="211">
        <v>1408.9</v>
      </c>
      <c r="M17" s="211">
        <v>1470.2</v>
      </c>
      <c r="N17" s="211">
        <v>1531.9</v>
      </c>
      <c r="O17" s="211">
        <v>1596.3</v>
      </c>
      <c r="P17" s="211">
        <v>1651.6</v>
      </c>
      <c r="Q17" s="211">
        <v>1678.5</v>
      </c>
      <c r="R17" s="211">
        <v>1676.7</v>
      </c>
      <c r="S17" s="211">
        <v>1648.4</v>
      </c>
      <c r="T17" s="211">
        <v>1614.4</v>
      </c>
      <c r="U17" s="211">
        <v>1622.7</v>
      </c>
      <c r="V17" s="211">
        <v>1650.213</v>
      </c>
      <c r="W17" s="211">
        <v>1573.412</v>
      </c>
      <c r="X17" s="211">
        <v>1624.579</v>
      </c>
      <c r="Y17" s="211">
        <v>1648.491</v>
      </c>
      <c r="Z17" s="46">
        <v>1.5</v>
      </c>
      <c r="AR17" s="17">
        <v>2.2000000000000002</v>
      </c>
    </row>
    <row r="18" spans="1:44" ht="14" customHeight="1">
      <c r="A18" s="5">
        <v>5</v>
      </c>
      <c r="B18" s="6" t="s">
        <v>8</v>
      </c>
      <c r="C18" s="4">
        <v>57.6</v>
      </c>
      <c r="D18" s="4">
        <v>54.4</v>
      </c>
      <c r="E18" s="4">
        <v>53.3</v>
      </c>
      <c r="F18" s="4">
        <v>57.9</v>
      </c>
      <c r="G18" s="4">
        <v>59.5</v>
      </c>
      <c r="H18" s="4">
        <v>60.8</v>
      </c>
      <c r="I18" s="4">
        <v>62.3</v>
      </c>
      <c r="J18" s="211">
        <v>61.5</v>
      </c>
      <c r="K18" s="211">
        <v>59</v>
      </c>
      <c r="L18" s="211">
        <v>56.6</v>
      </c>
      <c r="M18" s="211">
        <v>56.4</v>
      </c>
      <c r="N18" s="211">
        <v>56.5</v>
      </c>
      <c r="O18" s="211">
        <v>57.4</v>
      </c>
      <c r="P18" s="211">
        <v>59.2</v>
      </c>
      <c r="Q18" s="211">
        <v>56.7</v>
      </c>
      <c r="R18" s="211">
        <v>54.3</v>
      </c>
      <c r="S18" s="211">
        <v>53.6</v>
      </c>
      <c r="T18" s="211">
        <v>50.5</v>
      </c>
      <c r="U18" s="211">
        <v>45.7</v>
      </c>
      <c r="V18" s="211">
        <v>46.912999999999997</v>
      </c>
      <c r="W18" s="211">
        <v>1573.412</v>
      </c>
      <c r="X18" s="211">
        <v>45.496000000000002</v>
      </c>
      <c r="Y18" s="211">
        <v>45.323</v>
      </c>
      <c r="Z18" s="46">
        <v>-0.4</v>
      </c>
      <c r="AR18" s="17">
        <v>-0.7</v>
      </c>
    </row>
    <row r="19" spans="1:44" ht="14" customHeight="1">
      <c r="A19" s="5">
        <v>6</v>
      </c>
      <c r="B19" s="6" t="s">
        <v>9</v>
      </c>
      <c r="C19" s="4">
        <v>130.1</v>
      </c>
      <c r="D19" s="4">
        <v>137.30000000000001</v>
      </c>
      <c r="E19" s="4">
        <v>147.30000000000001</v>
      </c>
      <c r="F19" s="4">
        <v>146</v>
      </c>
      <c r="G19" s="4">
        <v>148.19999999999999</v>
      </c>
      <c r="H19" s="4">
        <v>154.4</v>
      </c>
      <c r="I19" s="4">
        <v>156.5</v>
      </c>
      <c r="J19" s="211">
        <v>166.7</v>
      </c>
      <c r="K19" s="211">
        <v>169.6</v>
      </c>
      <c r="L19" s="211">
        <v>181.4</v>
      </c>
      <c r="M19" s="211">
        <v>191.6</v>
      </c>
      <c r="N19" s="211">
        <v>201.5</v>
      </c>
      <c r="O19" s="211">
        <v>213.6</v>
      </c>
      <c r="P19" s="211">
        <v>216.6</v>
      </c>
      <c r="Q19" s="211">
        <v>224.2</v>
      </c>
      <c r="R19" s="211">
        <v>212.1</v>
      </c>
      <c r="S19" s="211">
        <v>221.5</v>
      </c>
      <c r="T19" s="211">
        <v>226.9</v>
      </c>
      <c r="U19" s="211">
        <v>225.9</v>
      </c>
      <c r="V19" s="211">
        <v>223.935</v>
      </c>
      <c r="W19" s="211">
        <v>45.581000000000003</v>
      </c>
      <c r="X19" s="211">
        <v>223.96299999999999</v>
      </c>
      <c r="Y19" s="211">
        <v>227.03399999999999</v>
      </c>
      <c r="Z19" s="46">
        <v>1.4</v>
      </c>
      <c r="AR19" s="17">
        <v>3.3</v>
      </c>
    </row>
    <row r="20" spans="1:44" ht="14" customHeight="1">
      <c r="A20" s="5">
        <v>7</v>
      </c>
      <c r="B20" s="6" t="s">
        <v>10</v>
      </c>
      <c r="C20" s="4">
        <v>25.2</v>
      </c>
      <c r="D20" s="4">
        <v>25.5</v>
      </c>
      <c r="E20" s="4">
        <v>25.5</v>
      </c>
      <c r="F20" s="4">
        <v>27.5</v>
      </c>
      <c r="G20" s="4">
        <v>29.1</v>
      </c>
      <c r="H20" s="4">
        <v>30.4</v>
      </c>
      <c r="I20" s="4">
        <v>30.3</v>
      </c>
      <c r="J20" s="211">
        <v>31.9</v>
      </c>
      <c r="K20" s="211">
        <v>31.3</v>
      </c>
      <c r="L20" s="211">
        <v>32.9</v>
      </c>
      <c r="M20" s="211">
        <v>32.1</v>
      </c>
      <c r="N20" s="211">
        <v>33.4</v>
      </c>
      <c r="O20" s="211">
        <v>34.299999999999997</v>
      </c>
      <c r="P20" s="211">
        <v>32.9</v>
      </c>
      <c r="Q20" s="211">
        <v>32.9</v>
      </c>
      <c r="R20" s="211">
        <v>31.4</v>
      </c>
      <c r="S20" s="211">
        <v>31.3</v>
      </c>
      <c r="T20" s="211">
        <v>31.6</v>
      </c>
      <c r="U20" s="211">
        <v>31.5</v>
      </c>
      <c r="V20" s="211">
        <v>30.318999999999999</v>
      </c>
      <c r="W20" s="211">
        <v>220.072</v>
      </c>
      <c r="X20" s="211">
        <v>31.045999999999999</v>
      </c>
      <c r="Y20" s="211">
        <v>31.292999999999999</v>
      </c>
      <c r="Z20" s="46">
        <v>0.8</v>
      </c>
      <c r="AR20" s="17">
        <v>1.3</v>
      </c>
    </row>
    <row r="21" spans="1:44" ht="14" customHeight="1">
      <c r="A21" s="5">
        <v>9</v>
      </c>
      <c r="B21" s="6" t="s">
        <v>235</v>
      </c>
      <c r="C21" s="4">
        <v>750.6</v>
      </c>
      <c r="D21" s="4">
        <v>822.4</v>
      </c>
      <c r="E21" s="4">
        <v>873.8</v>
      </c>
      <c r="F21" s="4">
        <v>918.1</v>
      </c>
      <c r="G21" s="4">
        <v>968.1</v>
      </c>
      <c r="H21" s="4">
        <v>1027.8</v>
      </c>
      <c r="I21" s="4">
        <v>1119.3</v>
      </c>
      <c r="J21" s="211">
        <v>1209.8</v>
      </c>
      <c r="K21" s="211">
        <v>1301</v>
      </c>
      <c r="L21" s="211">
        <v>1372.9</v>
      </c>
      <c r="M21" s="211">
        <v>1394.7</v>
      </c>
      <c r="N21" s="211">
        <v>1458.8</v>
      </c>
      <c r="O21" s="211">
        <v>1488</v>
      </c>
      <c r="P21" s="211">
        <v>1502.3</v>
      </c>
      <c r="Q21" s="211">
        <v>1529.2</v>
      </c>
      <c r="R21" s="211">
        <v>1581.5</v>
      </c>
      <c r="S21" s="211">
        <v>1624</v>
      </c>
      <c r="T21" s="211">
        <v>1673.4</v>
      </c>
      <c r="U21" s="211">
        <v>1717.8</v>
      </c>
      <c r="V21" s="211">
        <v>1762.855</v>
      </c>
      <c r="W21" s="211">
        <v>1774.9169999999999</v>
      </c>
      <c r="X21" s="211">
        <v>1815.68</v>
      </c>
      <c r="Y21" s="211">
        <v>1867.204</v>
      </c>
      <c r="Z21" s="46">
        <v>2.8</v>
      </c>
      <c r="AR21" s="17">
        <v>4.8</v>
      </c>
    </row>
    <row r="22" spans="1:44" ht="14" customHeight="1">
      <c r="A22" s="5">
        <v>10</v>
      </c>
      <c r="B22" s="6" t="s">
        <v>11</v>
      </c>
      <c r="C22" s="4">
        <v>57</v>
      </c>
      <c r="D22" s="4">
        <v>62.3</v>
      </c>
      <c r="E22" s="4">
        <v>58</v>
      </c>
      <c r="F22" s="4">
        <v>56.9</v>
      </c>
      <c r="G22" s="4">
        <v>59.6</v>
      </c>
      <c r="H22" s="4">
        <v>66</v>
      </c>
      <c r="I22" s="4">
        <v>64.3</v>
      </c>
      <c r="J22" s="211">
        <v>71.400000000000006</v>
      </c>
      <c r="K22" s="211">
        <v>73.7</v>
      </c>
      <c r="L22" s="211">
        <v>80.400000000000006</v>
      </c>
      <c r="M22" s="211">
        <v>79.8</v>
      </c>
      <c r="N22" s="211">
        <v>85.5</v>
      </c>
      <c r="O22" s="211">
        <v>88</v>
      </c>
      <c r="P22" s="211">
        <v>81</v>
      </c>
      <c r="Q22" s="211">
        <v>82.2</v>
      </c>
      <c r="R22" s="211">
        <v>81.400000000000006</v>
      </c>
      <c r="S22" s="211">
        <v>82.7</v>
      </c>
      <c r="T22" s="211">
        <v>79.099999999999994</v>
      </c>
      <c r="U22" s="211">
        <v>83.9</v>
      </c>
      <c r="V22" s="211">
        <v>81.647000000000006</v>
      </c>
      <c r="W22" s="211">
        <v>79.789000000000001</v>
      </c>
      <c r="X22" s="211">
        <v>80.736000000000004</v>
      </c>
      <c r="Y22" s="211">
        <v>81.076999999999998</v>
      </c>
      <c r="Z22" s="46">
        <v>0.4</v>
      </c>
      <c r="AR22" s="17">
        <v>1.9</v>
      </c>
    </row>
    <row r="23" spans="1:44" ht="14" customHeight="1">
      <c r="A23" s="5">
        <v>11</v>
      </c>
      <c r="B23" s="6" t="s">
        <v>12</v>
      </c>
      <c r="C23" s="4">
        <v>4.5999999999999996</v>
      </c>
      <c r="D23" s="4">
        <v>4.7</v>
      </c>
      <c r="E23" s="4">
        <v>3.8</v>
      </c>
      <c r="F23" s="4">
        <v>3.9</v>
      </c>
      <c r="G23" s="4">
        <v>3.8</v>
      </c>
      <c r="H23" s="4">
        <v>3.7</v>
      </c>
      <c r="I23" s="4">
        <v>3.8</v>
      </c>
      <c r="J23" s="211">
        <v>4.5</v>
      </c>
      <c r="K23" s="211">
        <v>4.3</v>
      </c>
      <c r="L23" s="211">
        <v>4.3</v>
      </c>
      <c r="M23" s="211">
        <v>3.9</v>
      </c>
      <c r="N23" s="211">
        <v>4.2</v>
      </c>
      <c r="O23" s="211">
        <v>4.5999999999999996</v>
      </c>
      <c r="P23" s="211">
        <v>4.4000000000000004</v>
      </c>
      <c r="Q23" s="211">
        <v>4.5999999999999996</v>
      </c>
      <c r="R23" s="211">
        <v>4</v>
      </c>
      <c r="S23" s="211">
        <v>4.0999999999999996</v>
      </c>
      <c r="T23" s="211">
        <v>4.2</v>
      </c>
      <c r="U23" s="211">
        <v>4</v>
      </c>
      <c r="V23" s="211">
        <v>4.0279999999999996</v>
      </c>
      <c r="W23" s="211">
        <v>4.0731999999999999</v>
      </c>
      <c r="X23" s="211">
        <v>4.1239999999999997</v>
      </c>
      <c r="Y23" s="211">
        <v>4.2641</v>
      </c>
      <c r="Z23" s="46">
        <v>3.4</v>
      </c>
      <c r="AR23" s="17">
        <v>-0.5</v>
      </c>
    </row>
    <row r="24" spans="1:44" ht="14" customHeight="1" thickBot="1">
      <c r="A24" s="7">
        <v>12</v>
      </c>
      <c r="B24" s="8" t="s">
        <v>225</v>
      </c>
      <c r="C24" s="20">
        <v>53.5</v>
      </c>
      <c r="D24" s="20">
        <v>54.4</v>
      </c>
      <c r="E24" s="20">
        <v>48.9</v>
      </c>
      <c r="F24" s="20">
        <v>49</v>
      </c>
      <c r="G24" s="20">
        <v>48.6</v>
      </c>
      <c r="H24" s="20">
        <v>47.2</v>
      </c>
      <c r="I24" s="20">
        <v>44.9</v>
      </c>
      <c r="J24" s="212">
        <v>47.2</v>
      </c>
      <c r="K24" s="212">
        <v>43.6</v>
      </c>
      <c r="L24" s="212">
        <v>44.5</v>
      </c>
      <c r="M24" s="212">
        <v>44.2</v>
      </c>
      <c r="N24" s="212">
        <v>44.5</v>
      </c>
      <c r="O24" s="212">
        <v>47.7</v>
      </c>
      <c r="P24" s="212">
        <v>45</v>
      </c>
      <c r="Q24" s="212">
        <v>43.2</v>
      </c>
      <c r="R24" s="212">
        <v>38.799999999999997</v>
      </c>
      <c r="S24" s="212">
        <v>40.5</v>
      </c>
      <c r="T24" s="212">
        <v>35.200000000000003</v>
      </c>
      <c r="U24" s="212">
        <v>34.9</v>
      </c>
      <c r="V24" s="212">
        <v>33.542999999999999</v>
      </c>
      <c r="W24" s="212">
        <v>32.314999999999998</v>
      </c>
      <c r="X24" s="212">
        <v>33.283000000000001</v>
      </c>
      <c r="Y24" s="212">
        <v>34.554000000000002</v>
      </c>
      <c r="Z24" s="47">
        <v>3.8</v>
      </c>
      <c r="AR24" s="17">
        <v>-2.4</v>
      </c>
    </row>
    <row r="25" spans="1:44" ht="9" customHeight="1">
      <c r="A25" s="778" t="s">
        <v>402</v>
      </c>
      <c r="B25" s="779"/>
      <c r="C25" s="50"/>
      <c r="D25" s="50"/>
      <c r="E25" s="51"/>
      <c r="F25" s="52"/>
      <c r="G25" s="52"/>
      <c r="H25" s="52"/>
      <c r="I25" s="52"/>
      <c r="J25" s="52"/>
      <c r="K25" s="52"/>
      <c r="L25" s="52"/>
    </row>
    <row r="26" spans="1:44" ht="9" customHeight="1">
      <c r="A26" s="778" t="s">
        <v>403</v>
      </c>
      <c r="B26" s="779"/>
      <c r="C26" s="50"/>
      <c r="D26" s="50"/>
      <c r="E26" s="51"/>
      <c r="F26" s="52"/>
      <c r="G26" s="52"/>
      <c r="H26" s="52"/>
      <c r="I26" s="52"/>
      <c r="J26" s="52"/>
      <c r="K26" s="52"/>
      <c r="L26" s="52"/>
      <c r="S26" s="48"/>
    </row>
    <row r="27" spans="1:44" ht="9" customHeight="1">
      <c r="A27" s="778" t="s">
        <v>359</v>
      </c>
      <c r="B27" s="779"/>
      <c r="C27" s="50"/>
      <c r="D27" s="50"/>
      <c r="E27" s="51"/>
      <c r="F27" s="52"/>
      <c r="G27" s="52"/>
      <c r="H27" s="52"/>
      <c r="I27" s="52"/>
      <c r="J27" s="52"/>
      <c r="K27" s="52"/>
      <c r="L27" s="52"/>
      <c r="S27" s="48"/>
    </row>
    <row r="28" spans="1:44" ht="9" customHeight="1">
      <c r="A28" s="780" t="s">
        <v>358</v>
      </c>
      <c r="B28" s="781"/>
      <c r="C28" s="53"/>
      <c r="D28" s="54"/>
      <c r="E28" s="54"/>
      <c r="F28" s="54"/>
      <c r="G28" s="54"/>
      <c r="H28" s="54"/>
      <c r="I28" s="54"/>
      <c r="J28" s="54"/>
      <c r="K28" s="54"/>
      <c r="L28" s="54"/>
      <c r="M28" s="12"/>
      <c r="N28" s="12"/>
      <c r="O28" s="12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44" ht="13.25" customHeight="1">
      <c r="B29" s="12"/>
      <c r="C29" s="12"/>
      <c r="D29" s="12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44" ht="12">
      <c r="A30" s="180" t="s">
        <v>473</v>
      </c>
      <c r="B30" s="58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1:44" ht="13.25" customHeight="1">
      <c r="A31" s="56" t="s">
        <v>219</v>
      </c>
      <c r="B31" s="55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44" ht="4.25" customHeight="1" thickBo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5" ht="15" customHeight="1">
      <c r="A33" s="955" t="s">
        <v>180</v>
      </c>
      <c r="B33" s="955"/>
      <c r="C33" s="540" t="s">
        <v>0</v>
      </c>
      <c r="D33" s="540" t="s">
        <v>1</v>
      </c>
      <c r="E33" s="540" t="s">
        <v>2</v>
      </c>
      <c r="F33" s="541">
        <v>2003</v>
      </c>
      <c r="G33" s="541">
        <v>2004</v>
      </c>
      <c r="H33" s="541">
        <v>2005</v>
      </c>
      <c r="I33" s="541">
        <v>2006</v>
      </c>
      <c r="J33" s="539">
        <v>2007</v>
      </c>
      <c r="K33" s="539">
        <v>2008</v>
      </c>
      <c r="L33" s="539">
        <v>2009</v>
      </c>
      <c r="M33" s="539">
        <v>2010</v>
      </c>
      <c r="N33" s="539">
        <v>2011</v>
      </c>
      <c r="O33" s="539">
        <v>2012</v>
      </c>
      <c r="P33" s="539">
        <v>2013</v>
      </c>
      <c r="Q33" s="539">
        <v>2014</v>
      </c>
      <c r="R33" s="539">
        <v>2015</v>
      </c>
      <c r="S33" s="539">
        <v>2016</v>
      </c>
      <c r="T33" s="542">
        <v>2017</v>
      </c>
      <c r="U33" s="542">
        <v>2018</v>
      </c>
      <c r="V33" s="543">
        <v>2019</v>
      </c>
      <c r="W33" s="543">
        <v>2020</v>
      </c>
      <c r="X33" s="543">
        <v>2021</v>
      </c>
      <c r="Y33" s="544" t="s">
        <v>471</v>
      </c>
    </row>
    <row r="34" spans="1:25" ht="15" customHeight="1">
      <c r="A34" s="519" t="s">
        <v>178</v>
      </c>
      <c r="B34" s="519"/>
      <c r="C34" s="529">
        <f>C7/$C$7*100</f>
        <v>100</v>
      </c>
      <c r="D34" s="529">
        <f>D7/$D$7*100</f>
        <v>100</v>
      </c>
      <c r="E34" s="529">
        <f>E7/$E$7*100</f>
        <v>100</v>
      </c>
      <c r="F34" s="529">
        <f>F7/$F$7*100</f>
        <v>100</v>
      </c>
      <c r="G34" s="529">
        <f>G7/$G$7*100</f>
        <v>100</v>
      </c>
      <c r="H34" s="529">
        <f>H7/$H$7*100</f>
        <v>100</v>
      </c>
      <c r="I34" s="529">
        <f>I7/$I$7*100</f>
        <v>100</v>
      </c>
      <c r="J34" s="530">
        <f>J7/$J$7*100</f>
        <v>100</v>
      </c>
      <c r="K34" s="530">
        <f>K7/$K$7*100</f>
        <v>100</v>
      </c>
      <c r="L34" s="530">
        <f>L7/$L$7*100</f>
        <v>100</v>
      </c>
      <c r="M34" s="530">
        <f>M7/$M$7*100</f>
        <v>100</v>
      </c>
      <c r="N34" s="530">
        <f>N7/$N$7*100</f>
        <v>100</v>
      </c>
      <c r="O34" s="530">
        <f>O7/$O$7*100</f>
        <v>100</v>
      </c>
      <c r="P34" s="530">
        <f>P7/$P$7*100</f>
        <v>100</v>
      </c>
      <c r="Q34" s="530">
        <f>Q7/$Q$7*100</f>
        <v>100</v>
      </c>
      <c r="R34" s="530">
        <f>R7/$R$7*100</f>
        <v>100</v>
      </c>
      <c r="S34" s="530">
        <f>S7/$S$7*100</f>
        <v>100</v>
      </c>
      <c r="T34" s="530">
        <f>T7/$T$7*100</f>
        <v>100</v>
      </c>
      <c r="U34" s="530">
        <f>U7/$U$7*100</f>
        <v>100</v>
      </c>
      <c r="V34" s="530">
        <f>V7/$V$7*100</f>
        <v>100</v>
      </c>
      <c r="W34" s="530">
        <f t="shared" ref="W34:W36" si="3">W7/$W$7*100</f>
        <v>100</v>
      </c>
      <c r="X34" s="530">
        <f>X7/$X$7*100</f>
        <v>100</v>
      </c>
      <c r="Y34" s="530">
        <f>Y7/$Y$7*100</f>
        <v>100</v>
      </c>
    </row>
    <row r="35" spans="1:25" ht="15" customHeight="1">
      <c r="A35" s="519" t="s">
        <v>179</v>
      </c>
      <c r="B35" s="519"/>
      <c r="C35" s="529">
        <f>C8/$C$7*100</f>
        <v>66.252153162072304</v>
      </c>
      <c r="D35" s="529">
        <f>D8/$D$7*100</f>
        <v>65.546137326864297</v>
      </c>
      <c r="E35" s="529">
        <f>E8/$E$7*100</f>
        <v>66.023780343589408</v>
      </c>
      <c r="F35" s="529">
        <f>F8/$F$7*100</f>
        <v>65.60547832550489</v>
      </c>
      <c r="G35" s="529">
        <f>G8/$G$7*100</f>
        <v>64.891600335148723</v>
      </c>
      <c r="H35" s="529">
        <f>H8/$H$7*100</f>
        <v>64.788244872488647</v>
      </c>
      <c r="I35" s="529">
        <f>I8/$I$7*100</f>
        <v>64.738597940564375</v>
      </c>
      <c r="J35" s="530">
        <f>J8/$J$7*100</f>
        <v>63.719188712831354</v>
      </c>
      <c r="K35" s="530">
        <f>K8/$K$7*100</f>
        <v>64.110533590927105</v>
      </c>
      <c r="L35" s="530">
        <f>L8/$L$7*100</f>
        <v>63.009326571864257</v>
      </c>
      <c r="M35" s="530">
        <f>M8/$M$7*100</f>
        <v>62.921756780296434</v>
      </c>
      <c r="N35" s="530">
        <f>N8/$N$7*100</f>
        <v>62.370967510372843</v>
      </c>
      <c r="O35" s="530">
        <f>O8/$O$7*100</f>
        <v>62.533812262806343</v>
      </c>
      <c r="P35" s="530">
        <f>P8/$P$7*100</f>
        <v>61.970204334940703</v>
      </c>
      <c r="Q35" s="530">
        <f>Q8/$Q$7*100</f>
        <v>61.350502635333669</v>
      </c>
      <c r="R35" s="530">
        <f>R8/$R$7*100</f>
        <v>60.851257289772377</v>
      </c>
      <c r="S35" s="530">
        <f>S8/$S$7*100</f>
        <v>60.139971711109688</v>
      </c>
      <c r="T35" s="530">
        <f>T8/$T$7*100</f>
        <v>60.141959978986584</v>
      </c>
      <c r="U35" s="530">
        <f>U8/$U$7*100</f>
        <v>60.965568033313403</v>
      </c>
      <c r="V35" s="530">
        <f>V8/$V$7*100</f>
        <v>60.81236319903789</v>
      </c>
      <c r="W35" s="530">
        <f t="shared" si="3"/>
        <v>61.892872070813695</v>
      </c>
      <c r="X35" s="530">
        <f>X8/$X$7*100</f>
        <v>62.832696267708307</v>
      </c>
      <c r="Y35" s="530">
        <f>Y8/$Y$7*100</f>
        <v>63.538851025244512</v>
      </c>
    </row>
    <row r="36" spans="1:25" ht="15" customHeight="1">
      <c r="A36" s="531" t="s">
        <v>181</v>
      </c>
      <c r="B36" s="532"/>
      <c r="C36" s="529">
        <f>C9/$C$7*100</f>
        <v>33.747846837927696</v>
      </c>
      <c r="D36" s="529">
        <f>D9/$D$7*100</f>
        <v>34.453862673135703</v>
      </c>
      <c r="E36" s="529">
        <f>E9/$E$7*100</f>
        <v>33.976219656410592</v>
      </c>
      <c r="F36" s="529">
        <f>F9/$F$7*100</f>
        <v>34.394521674495103</v>
      </c>
      <c r="G36" s="529">
        <f>G9/$G$7*100</f>
        <v>35.108399664851284</v>
      </c>
      <c r="H36" s="529">
        <f>H9/$H$7*100</f>
        <v>35.211755127511346</v>
      </c>
      <c r="I36" s="529">
        <f>I9/$I$7*100</f>
        <v>35.261402059435618</v>
      </c>
      <c r="J36" s="530">
        <f>J9/$J$7*100</f>
        <v>36.280811287168646</v>
      </c>
      <c r="K36" s="530">
        <f>K9/$K$7*100</f>
        <v>35.889466409072909</v>
      </c>
      <c r="L36" s="530">
        <f>L9/$L$7*100</f>
        <v>36.99067342813575</v>
      </c>
      <c r="M36" s="530">
        <f>M9/$M$7*100</f>
        <v>37.078243219703566</v>
      </c>
      <c r="N36" s="530">
        <f>N9/$N$7*100</f>
        <v>37.62903248962715</v>
      </c>
      <c r="O36" s="530">
        <f>O9/$O$7*100</f>
        <v>37.465849191383342</v>
      </c>
      <c r="P36" s="530">
        <f>P9/$P$7*100</f>
        <v>38.029795665059289</v>
      </c>
      <c r="Q36" s="530">
        <f>Q9/$Q$7*100</f>
        <v>38.649497364666338</v>
      </c>
      <c r="R36" s="530">
        <f>R9/$R$7*100</f>
        <v>39.14874271022763</v>
      </c>
      <c r="S36" s="530">
        <f>S9/$S$7*100</f>
        <v>39.860028288890319</v>
      </c>
      <c r="T36" s="530">
        <f>T9/$T$7*100</f>
        <v>39.858040021013416</v>
      </c>
      <c r="U36" s="530">
        <f>U9/$U$7*100</f>
        <v>39.034431966686597</v>
      </c>
      <c r="V36" s="530">
        <f>V9/$V$7*100</f>
        <v>39.187650163693462</v>
      </c>
      <c r="W36" s="530">
        <f t="shared" si="3"/>
        <v>38.107022110760155</v>
      </c>
      <c r="X36" s="530">
        <f>X9/$X$7*100</f>
        <v>37.167303732291685</v>
      </c>
      <c r="Y36" s="530">
        <f>Y9/$Y$7*100</f>
        <v>36.461148974755496</v>
      </c>
    </row>
    <row r="37" spans="1:25" ht="1.25" customHeight="1">
      <c r="A37" s="6"/>
      <c r="C37" s="4"/>
      <c r="D37" s="4"/>
      <c r="E37" s="4"/>
      <c r="F37" s="4"/>
      <c r="G37" s="4"/>
      <c r="H37" s="4"/>
      <c r="I37" s="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</row>
    <row r="38" spans="1:25" ht="14" customHeight="1">
      <c r="A38" s="1"/>
      <c r="B38" s="2" t="s">
        <v>200</v>
      </c>
      <c r="C38" s="14">
        <f>C11/$C$7*100</f>
        <v>16.553452784947037</v>
      </c>
      <c r="D38" s="14">
        <f>D11/$D$7*100</f>
        <v>16.80794009703553</v>
      </c>
      <c r="E38" s="14">
        <f>E11/$E$7*100</f>
        <v>16.883291405964439</v>
      </c>
      <c r="F38" s="14">
        <f>F11/$F$7*100</f>
        <v>17.200951010316672</v>
      </c>
      <c r="G38" s="14">
        <f>G11/$G$7*100</f>
        <v>17.176895684960201</v>
      </c>
      <c r="H38" s="14">
        <f>H11/$H$7*100</f>
        <v>17.663892667183436</v>
      </c>
      <c r="I38" s="14">
        <f>I11/$I$7*100</f>
        <v>18.136756998334214</v>
      </c>
      <c r="J38" s="215">
        <f t="shared" ref="J38:J51" si="4">J11/$J$7*100</f>
        <v>18.987030980086111</v>
      </c>
      <c r="K38" s="215">
        <f t="shared" ref="K38:K51" si="5">K11/$K$7*100</f>
        <v>19.593158137241428</v>
      </c>
      <c r="L38" s="215">
        <f t="shared" ref="L38:L51" si="6">L11/$L$7*100</f>
        <v>20.704437903629366</v>
      </c>
      <c r="M38" s="215">
        <f t="shared" ref="M38:M51" si="7">M11/$M$7*100</f>
        <v>21.055083044904077</v>
      </c>
      <c r="N38" s="215">
        <f t="shared" ref="N38:N51" si="8">N11/$N$7*100</f>
        <v>21.868404806684566</v>
      </c>
      <c r="O38" s="215">
        <f t="shared" ref="O38:O51" si="9">O11/$O$7*100</f>
        <v>22.095530856757883</v>
      </c>
      <c r="P38" s="215">
        <f t="shared" ref="P38:P51" si="10">P11/$P$7*100</f>
        <v>22.684928597267344</v>
      </c>
      <c r="Q38" s="215">
        <f t="shared" ref="Q38:Q51" si="11">Q11/$Q$7*100</f>
        <v>23.298108683896775</v>
      </c>
      <c r="R38" s="215">
        <f t="shared" ref="R38:R51" si="12">R11/$R$7*100</f>
        <v>24.218975355866306</v>
      </c>
      <c r="S38" s="215">
        <f t="shared" ref="S38:S51" si="13">S11/$S$7*100</f>
        <v>25.111759526023018</v>
      </c>
      <c r="T38" s="215">
        <f t="shared" ref="T38:T51" si="14">T11/$T$7*100</f>
        <v>25.319977076269161</v>
      </c>
      <c r="U38" s="215">
        <f t="shared" ref="U38:U51" si="15">U11/$U$7*100</f>
        <v>25.305668150707689</v>
      </c>
      <c r="V38" s="215">
        <f t="shared" ref="V38:V51" si="16">V11/$V$7*100</f>
        <v>25.647908064408366</v>
      </c>
      <c r="W38" s="215">
        <f t="shared" ref="W38:W51" si="17">W11/$W$7*100</f>
        <v>24.984156336142814</v>
      </c>
      <c r="X38" s="215">
        <f>X11/$X$7*100</f>
        <v>24.268403266866386</v>
      </c>
      <c r="Y38" s="215">
        <f>Y11/$Y$7*100</f>
        <v>23.846814605286308</v>
      </c>
    </row>
    <row r="39" spans="1:25" ht="14" customHeight="1">
      <c r="A39" s="1"/>
      <c r="B39" s="6" t="s">
        <v>4</v>
      </c>
      <c r="C39" s="14">
        <f>C12/$C$7*100</f>
        <v>13.394527963924164</v>
      </c>
      <c r="D39" s="14">
        <f>D12/$D$7*100</f>
        <v>13.502028201661192</v>
      </c>
      <c r="E39" s="14">
        <f>E12/$E$7*100</f>
        <v>13.71347481132684</v>
      </c>
      <c r="F39" s="14">
        <f>F12/$F$7*100</f>
        <v>13.979429920977582</v>
      </c>
      <c r="G39" s="14">
        <f>G12/$G$7*100</f>
        <v>13.903435274403018</v>
      </c>
      <c r="H39" s="14">
        <f>H12/$H$7*100</f>
        <v>14.545215216532842</v>
      </c>
      <c r="I39" s="14">
        <f>I12/$I$7*100</f>
        <v>14.713994862696769</v>
      </c>
      <c r="J39" s="215">
        <f t="shared" si="4"/>
        <v>15.497934953218579</v>
      </c>
      <c r="K39" s="215">
        <f t="shared" si="5"/>
        <v>16.265591024096874</v>
      </c>
      <c r="L39" s="215">
        <f t="shared" si="6"/>
        <v>17.434030363566873</v>
      </c>
      <c r="M39" s="215">
        <f t="shared" si="7"/>
        <v>17.720033021047129</v>
      </c>
      <c r="N39" s="215">
        <f t="shared" si="8"/>
        <v>18.346661306763529</v>
      </c>
      <c r="O39" s="215">
        <f t="shared" si="9"/>
        <v>18.811636496592538</v>
      </c>
      <c r="P39" s="215">
        <f t="shared" si="10"/>
        <v>19.099027940488316</v>
      </c>
      <c r="Q39" s="215">
        <f t="shared" si="11"/>
        <v>19.689428044641055</v>
      </c>
      <c r="R39" s="215">
        <f t="shared" si="12"/>
        <v>20.478146359816893</v>
      </c>
      <c r="S39" s="215">
        <f t="shared" si="13"/>
        <v>21.311475409836063</v>
      </c>
      <c r="T39" s="215">
        <f t="shared" si="14"/>
        <v>21.490400687711926</v>
      </c>
      <c r="U39" s="215">
        <f t="shared" si="15"/>
        <v>21.4377478016258</v>
      </c>
      <c r="V39" s="215">
        <f t="shared" si="16"/>
        <v>21.615228168637667</v>
      </c>
      <c r="W39" s="215">
        <f t="shared" si="17"/>
        <v>20.918464257181103</v>
      </c>
      <c r="X39" s="215">
        <f>X12/$X$7*100</f>
        <v>20.329183936566203</v>
      </c>
      <c r="Y39" s="215">
        <f>Y12/$Y$7*100</f>
        <v>20.023593919491066</v>
      </c>
    </row>
    <row r="40" spans="1:25" ht="14" customHeight="1">
      <c r="A40" s="1"/>
      <c r="B40" s="6" t="s">
        <v>400</v>
      </c>
      <c r="C40" s="14"/>
      <c r="D40" s="14"/>
      <c r="E40" s="14"/>
      <c r="F40" s="14"/>
      <c r="G40" s="14"/>
      <c r="H40" s="14"/>
      <c r="I40" s="14"/>
      <c r="J40" s="215">
        <f t="shared" si="4"/>
        <v>14.35054059504915</v>
      </c>
      <c r="K40" s="215">
        <f t="shared" si="5"/>
        <v>15.067214188135058</v>
      </c>
      <c r="L40" s="215">
        <f t="shared" si="6"/>
        <v>16.240528623946478</v>
      </c>
      <c r="M40" s="215">
        <f t="shared" si="7"/>
        <v>16.520747972159317</v>
      </c>
      <c r="N40" s="215">
        <f t="shared" si="8"/>
        <v>16.449040242344189</v>
      </c>
      <c r="O40" s="215">
        <f t="shared" si="9"/>
        <v>17.59016321293516</v>
      </c>
      <c r="P40" s="215">
        <f t="shared" si="10"/>
        <v>17.90228960005841</v>
      </c>
      <c r="Q40" s="215">
        <v>18.430722322481447</v>
      </c>
      <c r="R40" s="215">
        <v>19.129930394431554</v>
      </c>
      <c r="S40" s="215">
        <v>19.78442761020241</v>
      </c>
      <c r="T40" s="215">
        <v>20.056175079994269</v>
      </c>
      <c r="U40" s="215">
        <v>20.092974062506926</v>
      </c>
      <c r="V40" s="215">
        <v>20.255343088127212</v>
      </c>
      <c r="W40" s="215">
        <v>19.618424046179161</v>
      </c>
      <c r="X40" s="215">
        <v>19.024363478677319</v>
      </c>
      <c r="Y40" s="215">
        <v>18.746055023702198</v>
      </c>
    </row>
    <row r="41" spans="1:25" ht="14" customHeight="1">
      <c r="A41" s="5">
        <v>1</v>
      </c>
      <c r="B41" s="6" t="s">
        <v>237</v>
      </c>
      <c r="C41" s="14">
        <f t="shared" ref="C41:C51" si="18">C14/$C$7*100</f>
        <v>3.1589248210228735</v>
      </c>
      <c r="D41" s="14">
        <f t="shared" ref="D41:D51" si="19">D14/$D$7*100</f>
        <v>3.3059118953743369</v>
      </c>
      <c r="E41" s="14">
        <f t="shared" ref="E41:E51" si="20">E14/$E$7*100</f>
        <v>3.1698165946375978</v>
      </c>
      <c r="F41" s="14">
        <f t="shared" ref="F41:F51" si="21">F14/$F$7*100</f>
        <v>3.2215210893390904</v>
      </c>
      <c r="G41" s="14">
        <f t="shared" ref="G41:G51" si="22">G14/$G$7*100</f>
        <v>3.2734604105571852</v>
      </c>
      <c r="H41" s="14">
        <f t="shared" ref="H41:H51" si="23">H14/$H$7*100</f>
        <v>3.1186774506505981</v>
      </c>
      <c r="I41" s="14">
        <f t="shared" ref="I41:I51" si="24">I14/$I$7*100</f>
        <v>3.4227621356374458</v>
      </c>
      <c r="J41" s="215">
        <f t="shared" si="4"/>
        <v>3.4890960268675295</v>
      </c>
      <c r="K41" s="215">
        <f t="shared" si="5"/>
        <v>3.327567113144557</v>
      </c>
      <c r="L41" s="215">
        <f t="shared" si="6"/>
        <v>3.270407540062493</v>
      </c>
      <c r="M41" s="215">
        <f t="shared" si="7"/>
        <v>3.3350500238569487</v>
      </c>
      <c r="N41" s="215">
        <f t="shared" si="8"/>
        <v>3.5217434999210373</v>
      </c>
      <c r="O41" s="215">
        <f t="shared" si="9"/>
        <v>3.2838943601653456</v>
      </c>
      <c r="P41" s="215">
        <f t="shared" si="10"/>
        <v>3.5859006567790277</v>
      </c>
      <c r="Q41" s="215">
        <f t="shared" si="11"/>
        <v>3.6086806392557214</v>
      </c>
      <c r="R41" s="215">
        <f t="shared" si="12"/>
        <v>3.7408289960494132</v>
      </c>
      <c r="S41" s="215">
        <f t="shared" si="13"/>
        <v>3.8002841161869521</v>
      </c>
      <c r="T41" s="215">
        <f t="shared" si="14"/>
        <v>3.8295763885572374</v>
      </c>
      <c r="U41" s="215">
        <f t="shared" si="15"/>
        <v>3.8679203490818881</v>
      </c>
      <c r="V41" s="215">
        <f t="shared" si="16"/>
        <v>4.0326798957706957</v>
      </c>
      <c r="W41" s="215">
        <f t="shared" si="17"/>
        <v>4.0656920789617104</v>
      </c>
      <c r="X41" s="215">
        <f t="shared" ref="X41:X51" si="25">X14/$X$7*100</f>
        <v>3.9392193303001819</v>
      </c>
      <c r="Y41" s="215">
        <f t="shared" ref="Y41:Y51" si="26">Y14/$Y$7*100</f>
        <v>3.8232206857952367</v>
      </c>
    </row>
    <row r="42" spans="1:25" ht="14" customHeight="1">
      <c r="A42" s="5"/>
      <c r="B42" s="6" t="s">
        <v>5</v>
      </c>
      <c r="C42" s="14">
        <f t="shared" si="18"/>
        <v>2.1671826625386998</v>
      </c>
      <c r="D42" s="14">
        <f t="shared" si="19"/>
        <v>2.2065925075844515</v>
      </c>
      <c r="E42" s="14">
        <f t="shared" si="20"/>
        <v>2.0598163796254489</v>
      </c>
      <c r="F42" s="14">
        <f t="shared" si="21"/>
        <v>2.0517362264290195</v>
      </c>
      <c r="G42" s="14">
        <f t="shared" si="22"/>
        <v>2.15123586091328</v>
      </c>
      <c r="H42" s="14">
        <f t="shared" si="23"/>
        <v>2.0017648291967101</v>
      </c>
      <c r="I42" s="14">
        <f t="shared" si="24"/>
        <v>1.8657710243457613</v>
      </c>
      <c r="J42" s="215">
        <f t="shared" si="4"/>
        <v>1.8085600792697363</v>
      </c>
      <c r="K42" s="215">
        <f t="shared" si="5"/>
        <v>1.6429685794889619</v>
      </c>
      <c r="L42" s="215">
        <f t="shared" si="6"/>
        <v>1.6068339696837162</v>
      </c>
      <c r="M42" s="215">
        <f t="shared" si="7"/>
        <v>1.5541098328498828</v>
      </c>
      <c r="N42" s="215">
        <f t="shared" si="8"/>
        <v>1.4988586277690839</v>
      </c>
      <c r="O42" s="215">
        <f t="shared" si="9"/>
        <v>1.4567626218341736</v>
      </c>
      <c r="P42" s="215">
        <f t="shared" si="10"/>
        <v>1.4121246917718431</v>
      </c>
      <c r="Q42" s="215">
        <f t="shared" si="11"/>
        <v>1.3668553856577912</v>
      </c>
      <c r="R42" s="215">
        <f t="shared" si="12"/>
        <v>1.2673230074622186</v>
      </c>
      <c r="S42" s="215">
        <f t="shared" si="13"/>
        <v>1.2699318550700625</v>
      </c>
      <c r="T42" s="215">
        <f t="shared" si="14"/>
        <v>1.2172262285686994</v>
      </c>
      <c r="U42" s="215">
        <f t="shared" si="15"/>
        <v>1.1362881254568409</v>
      </c>
      <c r="V42" s="215">
        <f t="shared" si="16"/>
        <v>1.100469031870114</v>
      </c>
      <c r="W42" s="215">
        <f t="shared" si="17"/>
        <v>1.0453670047565382</v>
      </c>
      <c r="X42" s="215">
        <f t="shared" si="25"/>
        <v>1.0255541474244616</v>
      </c>
      <c r="Y42" s="215">
        <f t="shared" si="26"/>
        <v>0.99019177580747852</v>
      </c>
    </row>
    <row r="43" spans="1:25" ht="14" customHeight="1">
      <c r="A43" s="5"/>
      <c r="B43" s="6" t="s">
        <v>6</v>
      </c>
      <c r="C43" s="14">
        <f t="shared" si="18"/>
        <v>2.4825028756516718</v>
      </c>
      <c r="D43" s="14">
        <f t="shared" si="19"/>
        <v>2.512243066050063</v>
      </c>
      <c r="E43" s="14">
        <f t="shared" si="20"/>
        <v>2.3570706744931091</v>
      </c>
      <c r="F43" s="14">
        <f t="shared" si="21"/>
        <v>2.3169015198241367</v>
      </c>
      <c r="G43" s="14">
        <f t="shared" si="22"/>
        <v>2.4539170506912447</v>
      </c>
      <c r="H43" s="14">
        <f t="shared" si="23"/>
        <v>2.4083580750686182</v>
      </c>
      <c r="I43" s="14">
        <f t="shared" si="24"/>
        <v>2.3321009222768456</v>
      </c>
      <c r="J43" s="215">
        <f t="shared" si="4"/>
        <v>2.3794074061083297</v>
      </c>
      <c r="K43" s="215">
        <f t="shared" si="5"/>
        <v>2.2063875708315481</v>
      </c>
      <c r="L43" s="215">
        <f t="shared" si="6"/>
        <v>2.1419199262385193</v>
      </c>
      <c r="M43" s="215">
        <f t="shared" si="7"/>
        <v>2.0755545793981987</v>
      </c>
      <c r="N43" s="215">
        <f t="shared" si="8"/>
        <v>1.9999138586995535</v>
      </c>
      <c r="O43" s="215">
        <f t="shared" si="9"/>
        <v>1.9628886082720283</v>
      </c>
      <c r="P43" s="215">
        <f t="shared" si="10"/>
        <v>2.007838868441751</v>
      </c>
      <c r="Q43" s="215">
        <f t="shared" si="11"/>
        <v>2.090024822302285</v>
      </c>
      <c r="R43" s="215">
        <f t="shared" si="12"/>
        <v>2.1235969147802094</v>
      </c>
      <c r="S43" s="215">
        <f t="shared" si="13"/>
        <v>2.1722922285325059</v>
      </c>
      <c r="T43" s="215">
        <f t="shared" si="14"/>
        <v>2.2311834376044701</v>
      </c>
      <c r="U43" s="215">
        <f t="shared" si="15"/>
        <v>2.1640419075464594</v>
      </c>
      <c r="V43" s="215">
        <f t="shared" si="16"/>
        <v>2.1941952295049107</v>
      </c>
      <c r="W43" s="215">
        <f t="shared" si="17"/>
        <v>2.1299185727210679</v>
      </c>
      <c r="X43" s="215">
        <f t="shared" si="25"/>
        <v>2.1115549458919625</v>
      </c>
      <c r="Y43" s="215">
        <f t="shared" si="26"/>
        <v>2.0822208029848621</v>
      </c>
    </row>
    <row r="44" spans="1:25" ht="14" customHeight="1">
      <c r="A44" s="5"/>
      <c r="B44" s="6" t="s">
        <v>7</v>
      </c>
      <c r="C44" s="14">
        <f t="shared" si="18"/>
        <v>6.375648809966636</v>
      </c>
      <c r="D44" s="14">
        <f t="shared" si="19"/>
        <v>6.3306025520117259</v>
      </c>
      <c r="E44" s="14">
        <f t="shared" si="20"/>
        <v>6.1676234707260971</v>
      </c>
      <c r="F44" s="14">
        <f t="shared" si="21"/>
        <v>6.1900017396530185</v>
      </c>
      <c r="G44" s="14">
        <f t="shared" si="22"/>
        <v>6.4301424382069552</v>
      </c>
      <c r="H44" s="14">
        <f t="shared" si="23"/>
        <v>6.3592353706872595</v>
      </c>
      <c r="I44" s="14">
        <f t="shared" si="24"/>
        <v>6.2392502607023381</v>
      </c>
      <c r="J44" s="215">
        <f t="shared" si="4"/>
        <v>6.1219210634771706</v>
      </c>
      <c r="K44" s="215">
        <f t="shared" si="5"/>
        <v>5.6463151427947844</v>
      </c>
      <c r="L44" s="215">
        <f t="shared" si="6"/>
        <v>5.5514182930048745</v>
      </c>
      <c r="M44" s="215">
        <f t="shared" si="7"/>
        <v>5.5673788407794786</v>
      </c>
      <c r="N44" s="215">
        <f t="shared" si="8"/>
        <v>5.4983274230829968</v>
      </c>
      <c r="O44" s="215">
        <f t="shared" si="9"/>
        <v>5.4042067702391154</v>
      </c>
      <c r="P44" s="215">
        <f t="shared" si="10"/>
        <v>5.4812341737494146</v>
      </c>
      <c r="Q44" s="215">
        <f t="shared" si="11"/>
        <v>5.4677472946296524</v>
      </c>
      <c r="R44" s="215">
        <f t="shared" si="12"/>
        <v>5.257101649213018</v>
      </c>
      <c r="S44" s="215">
        <f t="shared" si="13"/>
        <v>5.0576363128714457</v>
      </c>
      <c r="T44" s="215">
        <f t="shared" si="14"/>
        <v>4.8187592530684373</v>
      </c>
      <c r="U44" s="215">
        <f t="shared" si="15"/>
        <v>4.4928234434181675</v>
      </c>
      <c r="V44" s="215">
        <f t="shared" si="16"/>
        <v>4.4102705953096812</v>
      </c>
      <c r="W44" s="215">
        <f t="shared" si="17"/>
        <v>4.1623995386316626</v>
      </c>
      <c r="X44" s="215">
        <f t="shared" si="25"/>
        <v>4.1096614314647288</v>
      </c>
      <c r="Y44" s="215">
        <f t="shared" si="26"/>
        <v>3.9930971968038196</v>
      </c>
    </row>
    <row r="45" spans="1:25" ht="14" customHeight="1">
      <c r="A45" s="5"/>
      <c r="B45" s="6" t="s">
        <v>8</v>
      </c>
      <c r="C45" s="14">
        <f t="shared" si="18"/>
        <v>0.32962693784586505</v>
      </c>
      <c r="D45" s="14">
        <f t="shared" si="19"/>
        <v>0.30905930075333204</v>
      </c>
      <c r="E45" s="14">
        <f t="shared" si="20"/>
        <v>0.28650368745834143</v>
      </c>
      <c r="F45" s="14">
        <f t="shared" si="21"/>
        <v>0.30523002957410134</v>
      </c>
      <c r="G45" s="14">
        <f t="shared" si="22"/>
        <v>0.31158357771260997</v>
      </c>
      <c r="H45" s="14">
        <f t="shared" si="23"/>
        <v>0.29641330154690693</v>
      </c>
      <c r="I45" s="14">
        <f t="shared" si="24"/>
        <v>0.2812425231472076</v>
      </c>
      <c r="J45" s="215">
        <f t="shared" si="4"/>
        <v>0.26963986636385157</v>
      </c>
      <c r="K45" s="215">
        <f t="shared" si="5"/>
        <v>0.23846284425547049</v>
      </c>
      <c r="L45" s="215">
        <f t="shared" si="6"/>
        <v>0.2230181527319724</v>
      </c>
      <c r="M45" s="215">
        <f t="shared" si="7"/>
        <v>0.21357649749691371</v>
      </c>
      <c r="N45" s="215">
        <f t="shared" si="8"/>
        <v>0.20279097813446656</v>
      </c>
      <c r="O45" s="215">
        <f t="shared" si="9"/>
        <v>0.19432529512731017</v>
      </c>
      <c r="P45" s="215">
        <f t="shared" si="10"/>
        <v>0.19646952233347381</v>
      </c>
      <c r="Q45" s="215">
        <f t="shared" si="11"/>
        <v>0.18470138314298559</v>
      </c>
      <c r="R45" s="215">
        <f t="shared" si="12"/>
        <v>0.17025145795447419</v>
      </c>
      <c r="S45" s="215">
        <f t="shared" si="13"/>
        <v>0.164456021821105</v>
      </c>
      <c r="T45" s="215">
        <f t="shared" si="14"/>
        <v>0.1507354696976933</v>
      </c>
      <c r="U45" s="215">
        <f t="shared" si="15"/>
        <v>0.12653110948678761</v>
      </c>
      <c r="V45" s="215">
        <f t="shared" si="16"/>
        <v>0.12537716309213601</v>
      </c>
      <c r="W45" s="215">
        <f t="shared" si="17"/>
        <v>4.1623995386316626</v>
      </c>
      <c r="X45" s="215">
        <f t="shared" si="25"/>
        <v>0.11509022121172276</v>
      </c>
      <c r="Y45" s="215">
        <f t="shared" si="26"/>
        <v>0.10978473297745604</v>
      </c>
    </row>
    <row r="46" spans="1:25" ht="14" customHeight="1">
      <c r="A46" s="5"/>
      <c r="B46" s="6" t="s">
        <v>9</v>
      </c>
      <c r="C46" s="14">
        <f t="shared" si="18"/>
        <v>0.74452195509977515</v>
      </c>
      <c r="D46" s="14">
        <f t="shared" si="19"/>
        <v>0.78003386017339149</v>
      </c>
      <c r="E46" s="14">
        <f t="shared" si="20"/>
        <v>0.79178223569631689</v>
      </c>
      <c r="F46" s="14">
        <f t="shared" si="21"/>
        <v>0.76966466870153361</v>
      </c>
      <c r="G46" s="14">
        <f t="shared" si="22"/>
        <v>0.77607875994972764</v>
      </c>
      <c r="H46" s="14">
        <f t="shared" si="23"/>
        <v>0.75273377892832938</v>
      </c>
      <c r="I46" s="14">
        <f t="shared" si="24"/>
        <v>0.70649205252869973</v>
      </c>
      <c r="J46" s="215">
        <f t="shared" si="4"/>
        <v>0.73087749142852121</v>
      </c>
      <c r="K46" s="215">
        <f t="shared" si="5"/>
        <v>0.6854796336564033</v>
      </c>
      <c r="L46" s="215">
        <f t="shared" si="6"/>
        <v>0.71476135875582669</v>
      </c>
      <c r="M46" s="215">
        <f t="shared" si="7"/>
        <v>0.72555420071646581</v>
      </c>
      <c r="N46" s="215">
        <f t="shared" si="8"/>
        <v>0.72322800166539847</v>
      </c>
      <c r="O46" s="215">
        <f t="shared" si="9"/>
        <v>0.72313385085702864</v>
      </c>
      <c r="P46" s="215">
        <f t="shared" si="10"/>
        <v>0.71883950232145988</v>
      </c>
      <c r="Q46" s="215">
        <f t="shared" si="11"/>
        <v>0.73033598061124105</v>
      </c>
      <c r="R46" s="215">
        <f t="shared" si="12"/>
        <v>0.66501536339123346</v>
      </c>
      <c r="S46" s="215">
        <f t="shared" si="13"/>
        <v>0.67960837375699168</v>
      </c>
      <c r="T46" s="215">
        <f t="shared" si="14"/>
        <v>0.67726491236448738</v>
      </c>
      <c r="U46" s="215">
        <f t="shared" si="15"/>
        <v>0.62545684098611209</v>
      </c>
      <c r="V46" s="215">
        <f t="shared" si="16"/>
        <v>0.59847664862697936</v>
      </c>
      <c r="W46" s="215">
        <f t="shared" si="17"/>
        <v>0.12058274207287717</v>
      </c>
      <c r="X46" s="215">
        <f t="shared" si="25"/>
        <v>0.5665542292342417</v>
      </c>
      <c r="Y46" s="215">
        <f t="shared" si="26"/>
        <v>0.54993859777163379</v>
      </c>
    </row>
    <row r="47" spans="1:25" ht="14" customHeight="1">
      <c r="A47" s="5"/>
      <c r="B47" s="6" t="s">
        <v>10</v>
      </c>
      <c r="C47" s="14">
        <f t="shared" si="18"/>
        <v>0.14421178530756598</v>
      </c>
      <c r="D47" s="14">
        <f t="shared" si="19"/>
        <v>0.1448715472281244</v>
      </c>
      <c r="E47" s="14">
        <f t="shared" si="20"/>
        <v>0.1370702444688125</v>
      </c>
      <c r="F47" s="14">
        <f t="shared" si="21"/>
        <v>0.14497108485816557</v>
      </c>
      <c r="G47" s="14">
        <f t="shared" si="22"/>
        <v>0.15238793464599917</v>
      </c>
      <c r="H47" s="14">
        <f t="shared" si="23"/>
        <v>0.14820665077345346</v>
      </c>
      <c r="I47" s="14">
        <f t="shared" si="24"/>
        <v>0.13678408429149908</v>
      </c>
      <c r="J47" s="215">
        <f t="shared" si="4"/>
        <v>0.13986197946352627</v>
      </c>
      <c r="K47" s="215">
        <f t="shared" si="5"/>
        <v>0.12650655974908859</v>
      </c>
      <c r="L47" s="215">
        <f t="shared" si="6"/>
        <v>0.12963422658801926</v>
      </c>
      <c r="M47" s="215">
        <f t="shared" si="7"/>
        <v>0.12155683634132855</v>
      </c>
      <c r="N47" s="215">
        <f t="shared" si="8"/>
        <v>0.1198799764547112</v>
      </c>
      <c r="O47" s="215">
        <f t="shared" si="9"/>
        <v>0.11612121294192923</v>
      </c>
      <c r="P47" s="215">
        <f t="shared" si="10"/>
        <v>0.10918660954005555</v>
      </c>
      <c r="Q47" s="215">
        <f t="shared" si="11"/>
        <v>0.10717240750272002</v>
      </c>
      <c r="R47" s="215">
        <f t="shared" si="12"/>
        <v>9.8451119332789855E-2</v>
      </c>
      <c r="S47" s="215">
        <f t="shared" si="13"/>
        <v>9.6034953041055721E-2</v>
      </c>
      <c r="T47" s="215">
        <f t="shared" si="14"/>
        <v>9.4321600840536798E-2</v>
      </c>
      <c r="U47" s="215">
        <f t="shared" si="15"/>
        <v>8.721509734866105E-2</v>
      </c>
      <c r="V47" s="215">
        <f t="shared" si="16"/>
        <v>8.1028930313356048E-2</v>
      </c>
      <c r="W47" s="215">
        <f t="shared" si="17"/>
        <v>0.5821918170611049</v>
      </c>
      <c r="X47" s="215">
        <f t="shared" si="25"/>
        <v>7.8536376994442242E-2</v>
      </c>
      <c r="Y47" s="215">
        <f t="shared" si="26"/>
        <v>7.5800226133829016E-2</v>
      </c>
    </row>
    <row r="48" spans="1:25" ht="14" customHeight="1">
      <c r="A48" s="5"/>
      <c r="B48" s="6" t="s">
        <v>235</v>
      </c>
      <c r="C48" s="14">
        <f t="shared" si="18"/>
        <v>4.2954510338039293</v>
      </c>
      <c r="D48" s="14">
        <f t="shared" si="19"/>
        <v>4.6722494290356664</v>
      </c>
      <c r="E48" s="14">
        <f t="shared" si="20"/>
        <v>4.6969403771313081</v>
      </c>
      <c r="F48" s="14">
        <f t="shared" si="21"/>
        <v>4.8399255639375198</v>
      </c>
      <c r="G48" s="14">
        <f t="shared" si="22"/>
        <v>5.0696480938416419</v>
      </c>
      <c r="H48" s="14">
        <f t="shared" si="23"/>
        <v>5.0107498573998503</v>
      </c>
      <c r="I48" s="14">
        <f t="shared" si="24"/>
        <v>5.0528853315998319</v>
      </c>
      <c r="J48" s="215">
        <f t="shared" si="4"/>
        <v>5.304232688243701</v>
      </c>
      <c r="K48" s="215">
        <f t="shared" si="5"/>
        <v>5.2583078029892736</v>
      </c>
      <c r="L48" s="215">
        <f t="shared" si="6"/>
        <v>5.4095692912672249</v>
      </c>
      <c r="M48" s="215">
        <f t="shared" si="7"/>
        <v>5.2814741322508079</v>
      </c>
      <c r="N48" s="215">
        <f t="shared" si="8"/>
        <v>5.2359553788063691</v>
      </c>
      <c r="O48" s="215">
        <f t="shared" si="9"/>
        <v>5.0375616576557061</v>
      </c>
      <c r="P48" s="215">
        <f t="shared" si="10"/>
        <v>4.9857460034050289</v>
      </c>
      <c r="Q48" s="215">
        <f t="shared" si="11"/>
        <v>4.981399560886306</v>
      </c>
      <c r="R48" s="215">
        <f t="shared" si="12"/>
        <v>4.9586129052486365</v>
      </c>
      <c r="S48" s="215">
        <f t="shared" si="13"/>
        <v>4.9827720044304948</v>
      </c>
      <c r="T48" s="215">
        <f t="shared" si="14"/>
        <v>4.9948660394479205</v>
      </c>
      <c r="U48" s="215">
        <f t="shared" si="15"/>
        <v>4.756129975413649</v>
      </c>
      <c r="V48" s="215">
        <f t="shared" si="16"/>
        <v>4.711311552081245</v>
      </c>
      <c r="W48" s="215">
        <f t="shared" si="17"/>
        <v>4.6954730877287663</v>
      </c>
      <c r="X48" s="215">
        <f t="shared" si="25"/>
        <v>4.5930853888188139</v>
      </c>
      <c r="Y48" s="215">
        <f t="shared" si="26"/>
        <v>4.5228800510654157</v>
      </c>
    </row>
    <row r="49" spans="1:37" ht="14" customHeight="1">
      <c r="A49" s="5"/>
      <c r="B49" s="6" t="s">
        <v>11</v>
      </c>
      <c r="C49" s="14">
        <f t="shared" si="18"/>
        <v>0.32619332390997063</v>
      </c>
      <c r="D49" s="14">
        <f t="shared" si="19"/>
        <v>0.35394107420831961</v>
      </c>
      <c r="E49" s="14">
        <f t="shared" si="20"/>
        <v>0.31176761487024018</v>
      </c>
      <c r="F49" s="14">
        <f t="shared" si="21"/>
        <v>0.2999583537610771</v>
      </c>
      <c r="G49" s="14">
        <f t="shared" si="22"/>
        <v>0.31210724759111858</v>
      </c>
      <c r="H49" s="14">
        <f t="shared" si="23"/>
        <v>0.32176443917920816</v>
      </c>
      <c r="I49" s="14">
        <f t="shared" si="24"/>
        <v>0.29027117557568943</v>
      </c>
      <c r="J49" s="215">
        <f t="shared" si="4"/>
        <v>0.31304530826632532</v>
      </c>
      <c r="K49" s="215">
        <f t="shared" si="5"/>
        <v>0.29787646816318941</v>
      </c>
      <c r="L49" s="215">
        <f t="shared" si="6"/>
        <v>0.3167961038807523</v>
      </c>
      <c r="M49" s="215">
        <f t="shared" si="7"/>
        <v>0.30218802305414388</v>
      </c>
      <c r="N49" s="215">
        <f t="shared" si="8"/>
        <v>0.30687838284065294</v>
      </c>
      <c r="O49" s="215">
        <f t="shared" si="9"/>
        <v>0.29792031308716538</v>
      </c>
      <c r="P49" s="215">
        <f t="shared" si="10"/>
        <v>0.26881809643600302</v>
      </c>
      <c r="Q49" s="215">
        <f t="shared" si="11"/>
        <v>0.26776814275755584</v>
      </c>
      <c r="R49" s="215">
        <f t="shared" si="12"/>
        <v>0.25522041763341069</v>
      </c>
      <c r="S49" s="215">
        <f t="shared" si="13"/>
        <v>0.25374091426502582</v>
      </c>
      <c r="T49" s="215">
        <f t="shared" si="14"/>
        <v>0.23610248817995125</v>
      </c>
      <c r="U49" s="215">
        <f t="shared" si="15"/>
        <v>0.23229671960484644</v>
      </c>
      <c r="V49" s="215">
        <f t="shared" si="16"/>
        <v>0.21820538518073093</v>
      </c>
      <c r="W49" s="215">
        <f t="shared" si="17"/>
        <v>0.21107866012708792</v>
      </c>
      <c r="X49" s="215">
        <f t="shared" si="25"/>
        <v>0.20423606690147811</v>
      </c>
      <c r="Y49" s="215">
        <f t="shared" si="26"/>
        <v>0.1963907242594975</v>
      </c>
    </row>
    <row r="50" spans="1:37" ht="14" customHeight="1">
      <c r="A50" s="5"/>
      <c r="B50" s="6" t="s">
        <v>12</v>
      </c>
      <c r="C50" s="14">
        <f t="shared" si="18"/>
        <v>2.6324373508523943E-2</v>
      </c>
      <c r="D50" s="14">
        <f t="shared" si="19"/>
        <v>2.6701814587144497E-2</v>
      </c>
      <c r="E50" s="14">
        <f t="shared" si="20"/>
        <v>2.0426154077705389E-2</v>
      </c>
      <c r="F50" s="14">
        <f t="shared" si="21"/>
        <v>2.0559535670794389E-2</v>
      </c>
      <c r="G50" s="14">
        <f t="shared" si="22"/>
        <v>1.989945538332635E-2</v>
      </c>
      <c r="H50" s="14">
        <f t="shared" si="23"/>
        <v>1.8038309469137426E-2</v>
      </c>
      <c r="I50" s="14">
        <f t="shared" si="24"/>
        <v>1.7154439614115394E-2</v>
      </c>
      <c r="J50" s="215">
        <f t="shared" si="4"/>
        <v>1.9729746319306213E-2</v>
      </c>
      <c r="K50" s="215">
        <f t="shared" si="5"/>
        <v>1.7379495428788527E-2</v>
      </c>
      <c r="L50" s="215">
        <f t="shared" si="6"/>
        <v>1.6943075207552671E-2</v>
      </c>
      <c r="M50" s="215">
        <f t="shared" si="7"/>
        <v>1.4768587592871694E-2</v>
      </c>
      <c r="N50" s="215">
        <f t="shared" si="8"/>
        <v>1.507472757813734E-2</v>
      </c>
      <c r="O50" s="215">
        <f t="shared" si="9"/>
        <v>1.5573107275010918E-2</v>
      </c>
      <c r="P50" s="215">
        <f t="shared" si="10"/>
        <v>1.460246449775819E-2</v>
      </c>
      <c r="Q50" s="215">
        <f t="shared" si="11"/>
        <v>1.4984591930471492E-2</v>
      </c>
      <c r="R50" s="215">
        <f t="shared" si="12"/>
        <v>1.2541543864049666E-2</v>
      </c>
      <c r="S50" s="215">
        <f t="shared" si="13"/>
        <v>1.2579658385569598E-2</v>
      </c>
      <c r="T50" s="215">
        <f t="shared" si="14"/>
        <v>1.2536415301590335E-2</v>
      </c>
      <c r="U50" s="215">
        <f t="shared" si="15"/>
        <v>1.107493299665537E-2</v>
      </c>
      <c r="V50" s="215">
        <f t="shared" si="16"/>
        <v>1.0765016369345893E-2</v>
      </c>
      <c r="W50" s="215">
        <f t="shared" si="17"/>
        <v>1.077549033613223E-2</v>
      </c>
      <c r="X50" s="215">
        <f t="shared" si="25"/>
        <v>1.0432391249277839E-2</v>
      </c>
      <c r="Y50" s="215">
        <f t="shared" si="26"/>
        <v>1.0328819360791879E-2</v>
      </c>
    </row>
    <row r="51" spans="1:37" ht="14" customHeight="1" thickBot="1">
      <c r="A51" s="7">
        <v>3</v>
      </c>
      <c r="B51" s="8" t="s">
        <v>74</v>
      </c>
      <c r="C51" s="15">
        <f t="shared" si="18"/>
        <v>0.30616390928391984</v>
      </c>
      <c r="D51" s="15">
        <f t="shared" si="19"/>
        <v>0.30905930075333204</v>
      </c>
      <c r="E51" s="15">
        <f t="shared" si="20"/>
        <v>0.26285235115784045</v>
      </c>
      <c r="F51" s="15">
        <f t="shared" si="21"/>
        <v>0.25831211483818589</v>
      </c>
      <c r="G51" s="15">
        <f t="shared" si="22"/>
        <v>0.25450356095517385</v>
      </c>
      <c r="H51" s="15">
        <f t="shared" si="23"/>
        <v>0.23011032620088825</v>
      </c>
      <c r="I51" s="15">
        <f t="shared" si="24"/>
        <v>0.2026932470194161</v>
      </c>
      <c r="J51" s="216">
        <f t="shared" si="4"/>
        <v>0.20694311694916742</v>
      </c>
      <c r="K51" s="216">
        <f t="shared" si="5"/>
        <v>0.17622000016166975</v>
      </c>
      <c r="L51" s="216">
        <f t="shared" si="6"/>
        <v>0.17534112714792882</v>
      </c>
      <c r="M51" s="216">
        <f t="shared" si="7"/>
        <v>0.16737732605254588</v>
      </c>
      <c r="N51" s="216">
        <f t="shared" si="8"/>
        <v>0.15972032791121704</v>
      </c>
      <c r="O51" s="216">
        <f t="shared" si="9"/>
        <v>0.16148635152565671</v>
      </c>
      <c r="P51" s="216">
        <f t="shared" si="10"/>
        <v>0.14934338690889057</v>
      </c>
      <c r="Q51" s="216">
        <f t="shared" si="11"/>
        <v>0.14072486334703666</v>
      </c>
      <c r="R51" s="216">
        <f t="shared" si="12"/>
        <v>0.12165297548128173</v>
      </c>
      <c r="S51" s="216">
        <f t="shared" si="13"/>
        <v>0.12426247917452894</v>
      </c>
      <c r="T51" s="216">
        <f t="shared" si="14"/>
        <v>0.10506709967047137</v>
      </c>
      <c r="U51" s="216">
        <f t="shared" si="15"/>
        <v>9.6628790395818107E-2</v>
      </c>
      <c r="V51" s="216">
        <f t="shared" si="16"/>
        <v>8.964521948286229E-2</v>
      </c>
      <c r="W51" s="216">
        <f t="shared" si="17"/>
        <v>8.5488061036068208E-2</v>
      </c>
      <c r="X51" s="216">
        <f t="shared" si="25"/>
        <v>8.4195266234169341E-2</v>
      </c>
      <c r="Y51" s="216">
        <f t="shared" si="26"/>
        <v>8.3699262257639975E-2</v>
      </c>
    </row>
    <row r="52" spans="1:37" ht="9" customHeight="1">
      <c r="A52" s="778" t="s">
        <v>402</v>
      </c>
      <c r="B52" s="779"/>
      <c r="C52" s="789"/>
      <c r="D52" s="789"/>
      <c r="E52" s="791"/>
      <c r="F52" s="792"/>
      <c r="G52" s="792"/>
      <c r="H52" s="792"/>
      <c r="I52" s="792"/>
      <c r="J52" s="792"/>
      <c r="K52" s="792"/>
      <c r="L52" s="792"/>
      <c r="M52" s="52"/>
      <c r="O52" s="4"/>
      <c r="P52" s="4"/>
      <c r="Q52" s="4"/>
      <c r="R52" s="4"/>
      <c r="S52" s="4"/>
    </row>
    <row r="53" spans="1:37" ht="9" customHeight="1">
      <c r="A53" s="778" t="s">
        <v>406</v>
      </c>
      <c r="B53" s="779"/>
      <c r="C53" s="789"/>
      <c r="D53" s="789"/>
      <c r="E53" s="791"/>
      <c r="F53" s="792"/>
      <c r="G53" s="792"/>
      <c r="H53" s="792"/>
      <c r="I53" s="792"/>
      <c r="J53" s="792"/>
      <c r="K53" s="792"/>
      <c r="L53" s="792"/>
      <c r="M53" s="52"/>
      <c r="O53" s="4"/>
      <c r="P53" s="4"/>
      <c r="Q53" s="4"/>
      <c r="R53" s="4"/>
      <c r="S53" s="4"/>
    </row>
    <row r="54" spans="1:37" ht="9" customHeight="1">
      <c r="A54" s="778" t="s">
        <v>359</v>
      </c>
      <c r="B54" s="779"/>
      <c r="C54" s="789"/>
      <c r="D54" s="789"/>
      <c r="E54" s="791"/>
      <c r="F54" s="792"/>
      <c r="G54" s="792"/>
      <c r="H54" s="792"/>
      <c r="I54" s="792"/>
      <c r="J54" s="792"/>
      <c r="K54" s="792"/>
      <c r="L54" s="792"/>
      <c r="M54" s="52"/>
      <c r="O54" s="4"/>
      <c r="P54" s="4"/>
      <c r="Q54" s="4"/>
      <c r="R54" s="4"/>
      <c r="S54" s="4"/>
    </row>
    <row r="55" spans="1:37" ht="9" customHeight="1">
      <c r="A55" s="780" t="s">
        <v>358</v>
      </c>
      <c r="B55" s="781"/>
      <c r="C55" s="781"/>
      <c r="D55" s="793"/>
      <c r="E55" s="793"/>
      <c r="F55" s="793"/>
      <c r="G55" s="793"/>
      <c r="H55" s="793"/>
      <c r="I55" s="793"/>
      <c r="J55" s="793"/>
      <c r="K55" s="793"/>
      <c r="L55" s="793"/>
      <c r="M55" s="54"/>
      <c r="N55" s="12"/>
      <c r="O55" s="4"/>
      <c r="P55" s="4"/>
      <c r="Q55" s="215"/>
      <c r="R55" s="215"/>
      <c r="S55" s="215"/>
      <c r="T55" s="215"/>
      <c r="U55" s="215"/>
      <c r="V55" s="215"/>
      <c r="W55" s="215"/>
      <c r="X55" s="215"/>
      <c r="Y55" s="215"/>
    </row>
    <row r="56" spans="1:37" ht="10.25" customHeight="1">
      <c r="A56" s="29"/>
      <c r="B56" s="53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12"/>
      <c r="N56" s="12"/>
      <c r="O56" s="4"/>
      <c r="P56" s="4"/>
      <c r="Q56" s="4"/>
      <c r="R56" s="4"/>
      <c r="S56" s="4"/>
      <c r="T56" s="12"/>
      <c r="U56" s="12"/>
      <c r="V56" s="12"/>
      <c r="W56" s="12"/>
      <c r="X56" s="12"/>
      <c r="Y56" s="12"/>
    </row>
    <row r="57" spans="1:37" ht="16.25" customHeight="1">
      <c r="A57" s="57" t="s">
        <v>474</v>
      </c>
      <c r="B57" s="57"/>
      <c r="C57" s="55"/>
      <c r="D57" s="55"/>
      <c r="E57" s="55"/>
      <c r="F57" s="55"/>
      <c r="G57" s="55"/>
      <c r="H57" s="55"/>
      <c r="I57" s="55"/>
      <c r="J57" s="55"/>
      <c r="K57" s="59"/>
    </row>
    <row r="58" spans="1:37" ht="13.25" customHeight="1">
      <c r="A58" s="56" t="s">
        <v>383</v>
      </c>
      <c r="B58" s="56"/>
      <c r="C58" s="55"/>
      <c r="D58" s="55"/>
      <c r="E58" s="55"/>
      <c r="F58" s="55"/>
      <c r="G58" s="55"/>
      <c r="H58" s="55"/>
      <c r="I58" s="55"/>
      <c r="J58" s="55"/>
      <c r="K58" s="59"/>
    </row>
    <row r="59" spans="1:37" ht="4.25" customHeight="1" thickBo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37" ht="15" customHeight="1">
      <c r="A60" s="955" t="s">
        <v>17</v>
      </c>
      <c r="B60" s="955"/>
      <c r="C60" s="540" t="s">
        <v>0</v>
      </c>
      <c r="D60" s="540" t="s">
        <v>1</v>
      </c>
      <c r="E60" s="540" t="s">
        <v>2</v>
      </c>
      <c r="F60" s="541">
        <v>2003</v>
      </c>
      <c r="G60" s="541">
        <v>2004</v>
      </c>
      <c r="H60" s="541">
        <v>2005</v>
      </c>
      <c r="I60" s="541">
        <v>2006</v>
      </c>
      <c r="J60" s="539">
        <v>2007</v>
      </c>
      <c r="K60" s="539">
        <v>2008</v>
      </c>
      <c r="L60" s="539">
        <v>2009</v>
      </c>
      <c r="M60" s="539">
        <v>2010</v>
      </c>
      <c r="N60" s="539">
        <v>2011</v>
      </c>
      <c r="O60" s="539">
        <v>2012</v>
      </c>
      <c r="P60" s="539">
        <v>2013</v>
      </c>
      <c r="Q60" s="539">
        <v>2014</v>
      </c>
      <c r="R60" s="539">
        <v>2015</v>
      </c>
      <c r="S60" s="539">
        <v>2016</v>
      </c>
      <c r="T60" s="542">
        <v>2017</v>
      </c>
      <c r="U60" s="542">
        <v>2018</v>
      </c>
      <c r="V60" s="543">
        <v>2019</v>
      </c>
      <c r="W60" s="543">
        <v>2020</v>
      </c>
      <c r="X60" s="543">
        <v>2021</v>
      </c>
      <c r="Y60" s="544" t="s">
        <v>471</v>
      </c>
    </row>
    <row r="61" spans="1:37" ht="3" customHeight="1">
      <c r="A61" s="1"/>
      <c r="B61" s="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9"/>
      <c r="AA61" s="49"/>
    </row>
    <row r="62" spans="1:37" ht="14" customHeight="1">
      <c r="A62" s="1"/>
      <c r="B62" s="1" t="s">
        <v>3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37" ht="14" customHeight="1">
      <c r="B63" s="9" t="s">
        <v>201</v>
      </c>
      <c r="C63" s="4">
        <v>622.1</v>
      </c>
      <c r="D63" s="4">
        <v>631.70000000000005</v>
      </c>
      <c r="E63" s="4">
        <v>678.1</v>
      </c>
      <c r="F63" s="4">
        <v>704.9</v>
      </c>
      <c r="G63" s="4">
        <v>705.7</v>
      </c>
      <c r="H63" s="4">
        <v>793</v>
      </c>
      <c r="I63" s="4">
        <v>866.4</v>
      </c>
      <c r="J63" s="213">
        <v>939.6</v>
      </c>
      <c r="K63" s="213">
        <v>1069.7</v>
      </c>
      <c r="L63" s="213">
        <v>1176.0999999999999</v>
      </c>
      <c r="M63" s="213">
        <v>1243.8</v>
      </c>
      <c r="N63" s="213">
        <v>1358.7</v>
      </c>
      <c r="O63" s="213">
        <v>1477</v>
      </c>
      <c r="P63" s="213">
        <v>1529.7</v>
      </c>
      <c r="Q63" s="213">
        <v>1606.6</v>
      </c>
      <c r="R63" s="213">
        <v>1736.1</v>
      </c>
      <c r="S63" s="213">
        <v>1846.3</v>
      </c>
      <c r="T63" s="213">
        <v>1913.8</v>
      </c>
      <c r="U63" s="213">
        <v>2058.1</v>
      </c>
      <c r="V63" s="213">
        <v>2149.8240000000001</v>
      </c>
      <c r="W63" s="213">
        <v>2101.826</v>
      </c>
      <c r="X63" s="213">
        <v>2136.107</v>
      </c>
      <c r="Y63" s="213">
        <v>2197.288</v>
      </c>
      <c r="AB63" s="9"/>
      <c r="AC63" s="9"/>
      <c r="AD63" s="9"/>
      <c r="AE63" s="9"/>
      <c r="AF63" s="4"/>
      <c r="AG63" s="4"/>
      <c r="AH63" s="18"/>
      <c r="AI63" s="18"/>
      <c r="AJ63" s="4"/>
      <c r="AK63" s="4"/>
    </row>
    <row r="64" spans="1:37" ht="14" customHeight="1">
      <c r="B64" s="9" t="s">
        <v>401</v>
      </c>
      <c r="C64" s="4"/>
      <c r="D64" s="4"/>
      <c r="E64" s="4"/>
      <c r="F64" s="4"/>
      <c r="G64" s="4"/>
      <c r="H64" s="4"/>
      <c r="I64" s="4"/>
      <c r="J64" s="213">
        <v>870</v>
      </c>
      <c r="K64" s="213">
        <v>990.9</v>
      </c>
      <c r="L64" s="213">
        <v>1095.5999999999999</v>
      </c>
      <c r="M64" s="213">
        <v>1159.5999999999999</v>
      </c>
      <c r="N64" s="213">
        <v>1218.2</v>
      </c>
      <c r="O64" s="213">
        <v>1381.1</v>
      </c>
      <c r="P64" s="213">
        <v>1433.8</v>
      </c>
      <c r="Q64" s="213">
        <v>1503.9</v>
      </c>
      <c r="R64" s="213">
        <v>1621.8</v>
      </c>
      <c r="S64" s="213">
        <v>1714</v>
      </c>
      <c r="T64" s="213">
        <v>1786</v>
      </c>
      <c r="U64" s="213">
        <v>1929</v>
      </c>
      <c r="V64" s="213">
        <v>2014.5719999999999</v>
      </c>
      <c r="W64" s="213">
        <v>1971.202</v>
      </c>
      <c r="X64" s="213">
        <v>1999.002</v>
      </c>
      <c r="Y64" s="213">
        <v>2057.098</v>
      </c>
      <c r="AA64" s="9"/>
      <c r="AB64" s="9"/>
      <c r="AC64" s="9"/>
      <c r="AD64" s="4"/>
      <c r="AE64" s="9"/>
      <c r="AF64" s="4"/>
      <c r="AG64" s="4"/>
      <c r="AH64" s="18"/>
      <c r="AI64" s="18"/>
      <c r="AJ64" s="4"/>
      <c r="AK64" s="4"/>
    </row>
    <row r="65" spans="1:37" ht="14" customHeight="1">
      <c r="B65" s="9" t="s">
        <v>202</v>
      </c>
      <c r="C65" s="4">
        <v>77.7</v>
      </c>
      <c r="D65" s="4">
        <v>79.7</v>
      </c>
      <c r="E65" s="4">
        <v>78.599999999999994</v>
      </c>
      <c r="F65" s="4">
        <v>79.8</v>
      </c>
      <c r="G65" s="4">
        <v>84.2</v>
      </c>
      <c r="H65" s="4">
        <v>84.2</v>
      </c>
      <c r="I65" s="4">
        <v>84.8</v>
      </c>
      <c r="J65" s="213">
        <v>84.6</v>
      </c>
      <c r="K65" s="213">
        <v>83.4</v>
      </c>
      <c r="L65" s="213">
        <v>83.6</v>
      </c>
      <c r="M65" s="213">
        <v>84.2</v>
      </c>
      <c r="N65" s="213">
        <v>85.6</v>
      </c>
      <c r="O65" s="213">
        <v>88.3</v>
      </c>
      <c r="P65" s="213">
        <v>87.3</v>
      </c>
      <c r="Q65" s="213">
        <v>86.1</v>
      </c>
      <c r="R65" s="213">
        <v>82.9</v>
      </c>
      <c r="S65" s="213">
        <v>84.9</v>
      </c>
      <c r="T65" s="213">
        <v>83.6</v>
      </c>
      <c r="U65" s="213">
        <v>84.2</v>
      </c>
      <c r="V65" s="213">
        <v>84.451999999999998</v>
      </c>
      <c r="W65" s="213">
        <v>81.045000000000002</v>
      </c>
      <c r="X65" s="213">
        <v>83.147999999999996</v>
      </c>
      <c r="Y65" s="213">
        <v>83.840999999999994</v>
      </c>
      <c r="AA65" s="9"/>
      <c r="AB65" s="9"/>
      <c r="AC65" s="9"/>
      <c r="AD65" s="9"/>
      <c r="AE65" s="4"/>
      <c r="AF65" s="4"/>
      <c r="AG65" s="4"/>
      <c r="AH65" s="18"/>
      <c r="AI65" s="18"/>
      <c r="AJ65" s="4"/>
      <c r="AK65" s="4"/>
    </row>
    <row r="66" spans="1:37" ht="14" customHeight="1">
      <c r="B66" s="9" t="s">
        <v>203</v>
      </c>
      <c r="C66" s="4">
        <v>122.1</v>
      </c>
      <c r="D66" s="4">
        <v>124.4</v>
      </c>
      <c r="E66" s="4">
        <v>123.4</v>
      </c>
      <c r="F66" s="4">
        <v>123.7</v>
      </c>
      <c r="G66" s="4">
        <v>131.80000000000001</v>
      </c>
      <c r="H66" s="4">
        <v>139</v>
      </c>
      <c r="I66" s="4">
        <v>145.30000000000001</v>
      </c>
      <c r="J66" s="213">
        <v>152.69999999999999</v>
      </c>
      <c r="K66" s="213">
        <v>153.6</v>
      </c>
      <c r="L66" s="213">
        <v>153</v>
      </c>
      <c r="M66" s="213">
        <v>154.19999999999999</v>
      </c>
      <c r="N66" s="213">
        <v>156.80000000000001</v>
      </c>
      <c r="O66" s="213">
        <v>163.1</v>
      </c>
      <c r="P66" s="213">
        <v>170.2</v>
      </c>
      <c r="Q66" s="213">
        <v>180.5</v>
      </c>
      <c r="R66" s="213">
        <v>190.6</v>
      </c>
      <c r="S66" s="213">
        <v>199.2</v>
      </c>
      <c r="T66" s="213">
        <v>210.3</v>
      </c>
      <c r="U66" s="213">
        <v>219.9</v>
      </c>
      <c r="V66" s="213">
        <v>231.012</v>
      </c>
      <c r="W66" s="213">
        <v>226.54</v>
      </c>
      <c r="X66" s="213">
        <v>234.86600000000001</v>
      </c>
      <c r="Y66" s="213">
        <v>241.87299999999999</v>
      </c>
      <c r="AA66" s="9"/>
      <c r="AB66" s="9"/>
      <c r="AC66" s="9"/>
      <c r="AD66" s="9"/>
      <c r="AE66" s="4"/>
      <c r="AF66" s="4"/>
      <c r="AG66" s="4"/>
      <c r="AH66" s="18"/>
      <c r="AI66" s="18"/>
      <c r="AJ66" s="4"/>
      <c r="AK66" s="4"/>
    </row>
    <row r="67" spans="1:37" ht="14" customHeight="1">
      <c r="B67" s="9" t="s">
        <v>204</v>
      </c>
      <c r="C67" s="4">
        <v>255.4</v>
      </c>
      <c r="D67" s="4">
        <v>255.4</v>
      </c>
      <c r="E67" s="4">
        <v>263</v>
      </c>
      <c r="F67" s="4">
        <v>269.2</v>
      </c>
      <c r="G67" s="4">
        <v>281.5</v>
      </c>
      <c r="H67" s="4">
        <v>299</v>
      </c>
      <c r="I67" s="4">
        <v>316.8</v>
      </c>
      <c r="J67" s="213">
        <v>320.10000000000002</v>
      </c>
      <c r="K67" s="213">
        <v>320.2</v>
      </c>
      <c r="L67" s="213">
        <v>322.89999999999998</v>
      </c>
      <c r="M67" s="213">
        <v>337</v>
      </c>
      <c r="N67" s="213">
        <v>351.1</v>
      </c>
      <c r="O67" s="213">
        <v>365.9</v>
      </c>
      <c r="P67" s="213">
        <v>378.6</v>
      </c>
      <c r="Q67" s="213">
        <v>384.8</v>
      </c>
      <c r="R67" s="213">
        <v>384.3</v>
      </c>
      <c r="S67" s="213">
        <v>373</v>
      </c>
      <c r="T67" s="213">
        <v>370.1</v>
      </c>
      <c r="U67" s="213">
        <v>372</v>
      </c>
      <c r="V67" s="213">
        <v>378.27370000000002</v>
      </c>
      <c r="W67" s="213">
        <v>360.66899999999998</v>
      </c>
      <c r="X67" s="213">
        <v>372.39800000000002</v>
      </c>
      <c r="Y67" s="213">
        <v>377.87900000000002</v>
      </c>
      <c r="AA67" s="9"/>
      <c r="AB67" s="9"/>
      <c r="AC67" s="9"/>
      <c r="AD67" s="9"/>
      <c r="AE67" s="4"/>
      <c r="AF67" s="4"/>
      <c r="AG67" s="4"/>
      <c r="AH67" s="18"/>
      <c r="AI67" s="18"/>
      <c r="AJ67" s="4"/>
      <c r="AK67" s="4"/>
    </row>
    <row r="68" spans="1:37" ht="14" customHeight="1">
      <c r="B68" s="9" t="s">
        <v>205</v>
      </c>
      <c r="C68" s="4">
        <v>15.5</v>
      </c>
      <c r="D68" s="4">
        <v>14.8</v>
      </c>
      <c r="E68" s="4">
        <v>14.5</v>
      </c>
      <c r="F68" s="4">
        <v>15.7</v>
      </c>
      <c r="G68" s="4">
        <v>16.2</v>
      </c>
      <c r="H68" s="4">
        <v>16.5</v>
      </c>
      <c r="I68" s="4">
        <v>16.899999999999999</v>
      </c>
      <c r="J68" s="213">
        <v>16.7</v>
      </c>
      <c r="K68" s="213">
        <v>16</v>
      </c>
      <c r="L68" s="213">
        <v>15.4</v>
      </c>
      <c r="M68" s="213">
        <v>15.3</v>
      </c>
      <c r="N68" s="213">
        <v>15.4</v>
      </c>
      <c r="O68" s="213">
        <v>15.6</v>
      </c>
      <c r="P68" s="213">
        <v>16.100000000000001</v>
      </c>
      <c r="Q68" s="213">
        <v>15.4</v>
      </c>
      <c r="R68" s="213">
        <v>14.8</v>
      </c>
      <c r="S68" s="213">
        <v>14.6</v>
      </c>
      <c r="T68" s="213">
        <v>13.7</v>
      </c>
      <c r="U68" s="213">
        <v>12.4</v>
      </c>
      <c r="V68" s="213">
        <v>12.756</v>
      </c>
      <c r="W68" s="213">
        <v>12.393000000000001</v>
      </c>
      <c r="X68" s="213">
        <v>12.37</v>
      </c>
      <c r="Y68" s="213">
        <v>12.323</v>
      </c>
      <c r="AA68" s="9"/>
      <c r="AB68" s="9"/>
      <c r="AC68" s="9"/>
      <c r="AD68" s="9"/>
      <c r="AE68" s="4"/>
      <c r="AF68" s="4"/>
      <c r="AG68" s="4"/>
      <c r="AH68" s="18"/>
      <c r="AI68" s="18"/>
      <c r="AJ68" s="4"/>
      <c r="AK68" s="4"/>
    </row>
    <row r="69" spans="1:37" ht="14" customHeight="1">
      <c r="B69" s="9" t="s">
        <v>206</v>
      </c>
      <c r="C69" s="4">
        <v>16.2</v>
      </c>
      <c r="D69" s="4">
        <v>17.100000000000001</v>
      </c>
      <c r="E69" s="4">
        <v>18.399999999999999</v>
      </c>
      <c r="F69" s="4">
        <v>18.2</v>
      </c>
      <c r="G69" s="4">
        <v>18.5</v>
      </c>
      <c r="H69" s="4">
        <v>19.3</v>
      </c>
      <c r="I69" s="4">
        <v>19.5</v>
      </c>
      <c r="J69" s="213">
        <v>20.8</v>
      </c>
      <c r="K69" s="213">
        <v>21.2</v>
      </c>
      <c r="L69" s="213">
        <v>22.6</v>
      </c>
      <c r="M69" s="213">
        <v>23.9</v>
      </c>
      <c r="N69" s="213">
        <v>25.2</v>
      </c>
      <c r="O69" s="213">
        <v>26.7</v>
      </c>
      <c r="P69" s="213">
        <v>27</v>
      </c>
      <c r="Q69" s="213">
        <v>28</v>
      </c>
      <c r="R69" s="213">
        <v>26.5</v>
      </c>
      <c r="S69" s="213">
        <v>27.7</v>
      </c>
      <c r="T69" s="213">
        <v>28.3</v>
      </c>
      <c r="U69" s="213">
        <v>28.2</v>
      </c>
      <c r="V69" s="213">
        <v>27.954999999999998</v>
      </c>
      <c r="W69" s="213">
        <v>27.472999999999999</v>
      </c>
      <c r="X69" s="213">
        <v>27.957999999999998</v>
      </c>
      <c r="Y69" s="213">
        <v>28.341999999999999</v>
      </c>
      <c r="AA69" s="9"/>
      <c r="AB69" s="9"/>
      <c r="AC69" s="9"/>
      <c r="AD69" s="9"/>
      <c r="AE69" s="4"/>
      <c r="AF69" s="4"/>
      <c r="AG69" s="4"/>
      <c r="AH69" s="18"/>
      <c r="AI69" s="18"/>
      <c r="AJ69" s="4"/>
      <c r="AK69" s="4"/>
    </row>
    <row r="70" spans="1:37" ht="14" customHeight="1">
      <c r="B70" s="9" t="s">
        <v>207</v>
      </c>
      <c r="C70" s="4">
        <v>7.1</v>
      </c>
      <c r="D70" s="4">
        <v>7.2</v>
      </c>
      <c r="E70" s="4">
        <v>7.2</v>
      </c>
      <c r="F70" s="4">
        <v>7.8</v>
      </c>
      <c r="G70" s="4">
        <v>8.1999999999999993</v>
      </c>
      <c r="H70" s="4">
        <v>8.6</v>
      </c>
      <c r="I70" s="4">
        <v>8.5</v>
      </c>
      <c r="J70" s="213">
        <v>9</v>
      </c>
      <c r="K70" s="213">
        <v>8.8000000000000007</v>
      </c>
      <c r="L70" s="213">
        <v>9.3000000000000007</v>
      </c>
      <c r="M70" s="213">
        <v>9.1</v>
      </c>
      <c r="N70" s="213">
        <v>9.4</v>
      </c>
      <c r="O70" s="213">
        <v>9.6999999999999993</v>
      </c>
      <c r="P70" s="213">
        <v>9.3000000000000007</v>
      </c>
      <c r="Q70" s="213">
        <v>9.3000000000000007</v>
      </c>
      <c r="R70" s="213">
        <v>8.8000000000000007</v>
      </c>
      <c r="S70" s="213">
        <v>8.8000000000000007</v>
      </c>
      <c r="T70" s="213">
        <v>8.9</v>
      </c>
      <c r="U70" s="213">
        <v>8.9</v>
      </c>
      <c r="V70" s="213">
        <v>8.5500000000000007</v>
      </c>
      <c r="W70" s="213">
        <v>8.4849999999999994</v>
      </c>
      <c r="X70" s="213">
        <v>8.7560000000000002</v>
      </c>
      <c r="Y70" s="213">
        <v>8.8249999999999993</v>
      </c>
      <c r="AA70" s="9"/>
      <c r="AB70" s="9"/>
      <c r="AC70" s="9"/>
      <c r="AD70" s="9"/>
      <c r="AE70" s="4"/>
      <c r="AF70" s="4"/>
      <c r="AG70" s="4"/>
      <c r="AH70" s="18"/>
      <c r="AI70" s="18"/>
      <c r="AJ70" s="4"/>
      <c r="AK70" s="4"/>
    </row>
    <row r="71" spans="1:37" ht="14" customHeight="1">
      <c r="B71" s="6" t="s">
        <v>223</v>
      </c>
      <c r="C71" s="4">
        <v>178.7</v>
      </c>
      <c r="D71" s="4">
        <v>188.4</v>
      </c>
      <c r="E71" s="4">
        <v>190.9</v>
      </c>
      <c r="F71" s="4">
        <v>197.8</v>
      </c>
      <c r="G71" s="4">
        <v>202.4</v>
      </c>
      <c r="H71" s="4">
        <v>207.1</v>
      </c>
      <c r="I71" s="4">
        <v>245.5</v>
      </c>
      <c r="J71" s="213">
        <v>257.60000000000002</v>
      </c>
      <c r="K71" s="213">
        <v>266.5</v>
      </c>
      <c r="L71" s="213">
        <v>268.7</v>
      </c>
      <c r="M71" s="213">
        <v>285.10000000000002</v>
      </c>
      <c r="N71" s="213">
        <v>317.7</v>
      </c>
      <c r="O71" s="213">
        <v>314</v>
      </c>
      <c r="P71" s="213">
        <v>349.8</v>
      </c>
      <c r="Q71" s="213">
        <v>358.6</v>
      </c>
      <c r="R71" s="213">
        <v>386.3</v>
      </c>
      <c r="S71" s="213">
        <v>401</v>
      </c>
      <c r="T71" s="213">
        <v>415.3</v>
      </c>
      <c r="U71" s="213">
        <v>452.2</v>
      </c>
      <c r="V71" s="213">
        <v>488.48399999999998</v>
      </c>
      <c r="W71" s="213">
        <v>497.52499999999998</v>
      </c>
      <c r="X71" s="213">
        <v>504.11200000000002</v>
      </c>
      <c r="Y71" s="213">
        <v>510.96199999999999</v>
      </c>
      <c r="AA71" s="9"/>
      <c r="AB71" s="9"/>
      <c r="AC71" s="9"/>
      <c r="AH71" s="18"/>
      <c r="AI71" s="18"/>
    </row>
    <row r="72" spans="1:37" ht="14" customHeight="1">
      <c r="B72" s="6" t="s">
        <v>235</v>
      </c>
      <c r="C72" s="4">
        <v>903.2</v>
      </c>
      <c r="D72" s="4">
        <v>989.7</v>
      </c>
      <c r="E72" s="4">
        <v>1051.5</v>
      </c>
      <c r="F72" s="4">
        <v>1104.8</v>
      </c>
      <c r="G72" s="4">
        <v>1165</v>
      </c>
      <c r="H72" s="4">
        <v>1236.8</v>
      </c>
      <c r="I72" s="4">
        <v>1347</v>
      </c>
      <c r="J72" s="213">
        <v>1455.8</v>
      </c>
      <c r="K72" s="213">
        <v>1565.5</v>
      </c>
      <c r="L72" s="213">
        <v>1652.1</v>
      </c>
      <c r="M72" s="213">
        <v>1678.4</v>
      </c>
      <c r="N72" s="213">
        <v>1755.5</v>
      </c>
      <c r="O72" s="213">
        <v>1790.7</v>
      </c>
      <c r="P72" s="213">
        <v>1807.8</v>
      </c>
      <c r="Q72" s="213">
        <v>1840.2</v>
      </c>
      <c r="R72" s="213">
        <v>1903.2</v>
      </c>
      <c r="S72" s="213">
        <v>1954.2</v>
      </c>
      <c r="T72" s="213">
        <v>2013.7</v>
      </c>
      <c r="U72" s="213">
        <v>2067.1</v>
      </c>
      <c r="V72" s="213">
        <v>2121.366</v>
      </c>
      <c r="W72" s="213">
        <v>2135.8809999999999</v>
      </c>
      <c r="X72" s="213">
        <v>2184.9340000000002</v>
      </c>
      <c r="Y72" s="213">
        <v>2246.9360000000001</v>
      </c>
      <c r="AA72" s="9"/>
      <c r="AB72" s="9"/>
      <c r="AC72" s="9"/>
      <c r="AH72" s="18"/>
      <c r="AI72" s="18"/>
    </row>
    <row r="73" spans="1:37" ht="14" customHeight="1">
      <c r="B73" s="6" t="s">
        <v>11</v>
      </c>
      <c r="C73" s="4">
        <v>3.1</v>
      </c>
      <c r="D73" s="4">
        <v>3.4</v>
      </c>
      <c r="E73" s="4">
        <v>3.2</v>
      </c>
      <c r="F73" s="4">
        <v>3.1</v>
      </c>
      <c r="G73" s="4">
        <v>3.2</v>
      </c>
      <c r="H73" s="4">
        <v>3.6</v>
      </c>
      <c r="I73" s="4">
        <v>3.5</v>
      </c>
      <c r="J73" s="213">
        <v>3.9</v>
      </c>
      <c r="K73" s="213">
        <v>4</v>
      </c>
      <c r="L73" s="213">
        <v>4.4000000000000004</v>
      </c>
      <c r="M73" s="213">
        <v>4.4000000000000004</v>
      </c>
      <c r="N73" s="213">
        <v>4.7</v>
      </c>
      <c r="O73" s="213">
        <v>4.8</v>
      </c>
      <c r="P73" s="213">
        <v>4.4000000000000004</v>
      </c>
      <c r="Q73" s="213">
        <v>4.5</v>
      </c>
      <c r="R73" s="213">
        <v>4.4000000000000004</v>
      </c>
      <c r="S73" s="213">
        <v>4.5</v>
      </c>
      <c r="T73" s="213">
        <v>4.3</v>
      </c>
      <c r="U73" s="213">
        <v>4.5999999999999996</v>
      </c>
      <c r="V73" s="213">
        <v>4.4530000000000003</v>
      </c>
      <c r="W73" s="213">
        <v>4.3520000000000003</v>
      </c>
      <c r="X73" s="213">
        <v>4.4032999999999998</v>
      </c>
      <c r="Y73" s="213">
        <v>4.4219999999999997</v>
      </c>
      <c r="AA73" s="9"/>
      <c r="AB73" s="9"/>
      <c r="AC73" s="9"/>
      <c r="AH73" s="18"/>
      <c r="AI73" s="18"/>
    </row>
    <row r="74" spans="1:37" ht="14" customHeight="1">
      <c r="B74" s="6" t="s">
        <v>12</v>
      </c>
      <c r="C74" s="4">
        <v>0.7</v>
      </c>
      <c r="D74" s="4">
        <v>0.8</v>
      </c>
      <c r="E74" s="4">
        <v>0.6</v>
      </c>
      <c r="F74" s="4">
        <v>0.6</v>
      </c>
      <c r="G74" s="4">
        <v>0.6</v>
      </c>
      <c r="H74" s="4">
        <v>0.6</v>
      </c>
      <c r="I74" s="4">
        <v>0.6</v>
      </c>
      <c r="J74" s="213">
        <v>0.7</v>
      </c>
      <c r="K74" s="213">
        <v>0.7</v>
      </c>
      <c r="L74" s="213">
        <v>0.7</v>
      </c>
      <c r="M74" s="213">
        <v>0.6</v>
      </c>
      <c r="N74" s="213">
        <v>0.7</v>
      </c>
      <c r="O74" s="213">
        <v>0.7</v>
      </c>
      <c r="P74" s="213">
        <v>0.7</v>
      </c>
      <c r="Q74" s="213">
        <v>0.7</v>
      </c>
      <c r="R74" s="213">
        <v>0.7</v>
      </c>
      <c r="S74" s="213">
        <v>0.7</v>
      </c>
      <c r="T74" s="213">
        <v>0.7</v>
      </c>
      <c r="U74" s="213">
        <v>0.7</v>
      </c>
      <c r="V74" s="213">
        <v>0.65700000000000003</v>
      </c>
      <c r="W74" s="213">
        <v>0.66500000000000004</v>
      </c>
      <c r="X74" s="213">
        <v>0.67300000000000004</v>
      </c>
      <c r="Y74" s="213">
        <v>0.69599999999999995</v>
      </c>
      <c r="AA74" s="9"/>
      <c r="AB74" s="9"/>
      <c r="AC74" s="9"/>
      <c r="AH74" s="18"/>
      <c r="AI74" s="18"/>
    </row>
    <row r="75" spans="1:37" ht="14" customHeight="1" thickBot="1">
      <c r="A75" s="19"/>
      <c r="B75" s="8" t="s">
        <v>225</v>
      </c>
      <c r="C75" s="20">
        <v>12.4</v>
      </c>
      <c r="D75" s="20">
        <v>12.6</v>
      </c>
      <c r="E75" s="20">
        <v>11.3</v>
      </c>
      <c r="F75" s="20">
        <v>11.3</v>
      </c>
      <c r="G75" s="20">
        <v>11.2</v>
      </c>
      <c r="H75" s="20">
        <v>10.9</v>
      </c>
      <c r="I75" s="20">
        <v>10.4</v>
      </c>
      <c r="J75" s="217">
        <v>10.9</v>
      </c>
      <c r="K75" s="217">
        <v>10.1</v>
      </c>
      <c r="L75" s="217">
        <v>10.3</v>
      </c>
      <c r="M75" s="217">
        <v>10.199999999999999</v>
      </c>
      <c r="N75" s="217">
        <v>10.3</v>
      </c>
      <c r="O75" s="217">
        <v>11</v>
      </c>
      <c r="P75" s="217">
        <v>10.4</v>
      </c>
      <c r="Q75" s="217">
        <v>10</v>
      </c>
      <c r="R75" s="217">
        <v>9</v>
      </c>
      <c r="S75" s="217">
        <v>9.4</v>
      </c>
      <c r="T75" s="217">
        <v>8.1</v>
      </c>
      <c r="U75" s="217">
        <v>8.1</v>
      </c>
      <c r="V75" s="217">
        <v>7.75</v>
      </c>
      <c r="W75" s="217">
        <v>7.4660000000000002</v>
      </c>
      <c r="X75" s="217">
        <v>7.69</v>
      </c>
      <c r="Y75" s="217">
        <v>7.984</v>
      </c>
      <c r="AA75" s="9"/>
      <c r="AB75" s="9"/>
      <c r="AC75" s="9"/>
      <c r="AH75" s="18"/>
      <c r="AI75" s="18"/>
    </row>
    <row r="76" spans="1:37" ht="9" customHeight="1">
      <c r="A76" s="778" t="s">
        <v>402</v>
      </c>
      <c r="B76" s="779"/>
      <c r="C76" s="789"/>
      <c r="D76" s="789"/>
      <c r="E76" s="790"/>
      <c r="F76" s="781"/>
      <c r="G76" s="790"/>
      <c r="H76" s="790"/>
      <c r="I76" s="781"/>
      <c r="J76" s="790"/>
      <c r="K76" s="790"/>
      <c r="L76" s="790"/>
      <c r="M76" s="790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37" ht="9" customHeight="1">
      <c r="A77" s="778" t="s">
        <v>405</v>
      </c>
      <c r="B77" s="779"/>
      <c r="C77" s="789"/>
      <c r="D77" s="789"/>
      <c r="E77" s="790"/>
      <c r="F77" s="781"/>
      <c r="G77" s="790"/>
      <c r="H77" s="790"/>
      <c r="I77" s="781"/>
      <c r="J77" s="790"/>
      <c r="K77" s="790"/>
      <c r="L77" s="790"/>
      <c r="M77" s="790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37" ht="9" customHeight="1">
      <c r="A78" s="778" t="s">
        <v>359</v>
      </c>
      <c r="B78" s="779"/>
      <c r="C78" s="789"/>
      <c r="D78" s="789"/>
      <c r="E78" s="790"/>
      <c r="F78" s="781"/>
      <c r="G78" s="790"/>
      <c r="H78" s="790"/>
      <c r="I78" s="781"/>
      <c r="J78" s="790"/>
      <c r="K78" s="790"/>
      <c r="L78" s="790"/>
      <c r="M78" s="790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37" ht="9" customHeight="1">
      <c r="A79" s="780" t="s">
        <v>358</v>
      </c>
      <c r="B79" s="779"/>
      <c r="C79" s="789"/>
      <c r="D79" s="789"/>
      <c r="E79" s="790"/>
      <c r="F79" s="790"/>
      <c r="G79" s="790"/>
      <c r="H79" s="790"/>
      <c r="I79" s="790"/>
      <c r="J79" s="790"/>
      <c r="K79" s="790"/>
      <c r="L79" s="790"/>
      <c r="M79" s="790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37" ht="13.25" customHeight="1">
      <c r="A80" s="9"/>
      <c r="B80" s="6"/>
      <c r="C80" s="6"/>
      <c r="D80" s="12"/>
      <c r="E80" s="12"/>
      <c r="F80" s="12"/>
      <c r="G80" s="12"/>
      <c r="H80" s="12"/>
      <c r="I80" s="12"/>
      <c r="J80" s="12"/>
      <c r="K80" s="12"/>
      <c r="L80" s="12"/>
      <c r="M80" s="12"/>
      <c r="T80" s="44"/>
      <c r="U80" s="44"/>
      <c r="V80" s="44"/>
      <c r="W80" s="44"/>
      <c r="X80" s="44"/>
      <c r="Y80" s="44"/>
    </row>
    <row r="81" spans="1:38" ht="13.25" customHeight="1">
      <c r="T81" s="44"/>
      <c r="U81" s="44"/>
      <c r="V81" s="44"/>
      <c r="W81" s="44"/>
      <c r="X81" s="44"/>
      <c r="Y81" s="44"/>
    </row>
    <row r="82" spans="1:38" ht="13.25" customHeight="1">
      <c r="A82" s="9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44"/>
      <c r="U82" s="44"/>
      <c r="V82" s="44"/>
      <c r="W82" s="44"/>
      <c r="X82" s="44"/>
      <c r="Y82" s="44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spans="1:38" ht="13.25" customHeight="1">
      <c r="A83" s="9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spans="1:38" ht="13.25" customHeight="1">
      <c r="A84" s="9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spans="1:38" ht="13.25" customHeight="1"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spans="1:38" ht="13.25" customHeight="1"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spans="1:38" ht="13.25" customHeight="1"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spans="1:38" ht="13.25" customHeight="1"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spans="1:38" ht="13.25" customHeight="1"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spans="1:38" ht="13.25" customHeight="1">
      <c r="B90" s="6"/>
      <c r="C90" s="4"/>
      <c r="D90" s="4"/>
      <c r="E90" s="4"/>
      <c r="F90" s="4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1:38" ht="13.25" customHeight="1">
      <c r="C91" s="4"/>
      <c r="D91" s="4"/>
      <c r="E91" s="4"/>
      <c r="F91" s="4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1:38" ht="13.25" customHeight="1"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:38" ht="13.25" customHeight="1"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</row>
  </sheetData>
  <mergeCells count="3">
    <mergeCell ref="A6:B6"/>
    <mergeCell ref="A60:B60"/>
    <mergeCell ref="A33:B33"/>
  </mergeCells>
  <phoneticPr fontId="2" type="noConversion"/>
  <printOptions horizontalCentered="1" verticalCentered="1"/>
  <pageMargins left="0.78740157480314998" right="0" top="0" bottom="0" header="0" footer="0"/>
  <pageSetup paperSize="9" orientation="landscape" r:id="rId1"/>
  <headerFooter alignWithMargins="0"/>
  <rowBreaks count="2" manualBreakCount="2">
    <brk id="29" max="23" man="1"/>
    <brk id="5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249977111117893"/>
  </sheetPr>
  <dimension ref="A1"/>
  <sheetViews>
    <sheetView showGridLines="0" topLeftCell="A180" zoomScaleNormal="100" workbookViewId="0">
      <selection activeCell="A33" sqref="A33"/>
    </sheetView>
  </sheetViews>
  <sheetFormatPr baseColWidth="10" defaultColWidth="11" defaultRowHeight="13.25" customHeight="1"/>
  <cols>
    <col min="1" max="16384" width="11" style="41"/>
  </cols>
  <sheetData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5" tint="0.39997558519241921"/>
  </sheetPr>
  <dimension ref="A1:S40"/>
  <sheetViews>
    <sheetView showGridLines="0" zoomScaleNormal="100" workbookViewId="0">
      <pane xSplit="1" ySplit="7" topLeftCell="B8" activePane="bottomRight" state="frozen"/>
      <selection activeCell="A33" sqref="A33"/>
      <selection pane="topRight" activeCell="A33" sqref="A33"/>
      <selection pane="bottomLeft" activeCell="A33" sqref="A33"/>
      <selection pane="bottomRight" activeCell="A16" sqref="A16"/>
    </sheetView>
  </sheetViews>
  <sheetFormatPr baseColWidth="10" defaultColWidth="7" defaultRowHeight="13.25" customHeight="1"/>
  <cols>
    <col min="1" max="1" width="12.19921875" style="11" customWidth="1"/>
    <col min="2" max="2" width="9.3984375" style="11" customWidth="1"/>
    <col min="3" max="9" width="9" style="11" customWidth="1"/>
    <col min="10" max="10" width="7" style="11"/>
    <col min="11" max="11" width="9.59765625" style="11" customWidth="1"/>
    <col min="12" max="16384" width="7" style="11"/>
  </cols>
  <sheetData>
    <row r="1" spans="1:19" ht="13.25" customHeight="1">
      <c r="B1" s="62"/>
      <c r="C1" s="62"/>
      <c r="D1" s="62"/>
      <c r="E1" s="62"/>
      <c r="F1" s="62"/>
      <c r="G1" s="62"/>
      <c r="H1" s="62"/>
      <c r="I1" s="62"/>
    </row>
    <row r="2" spans="1:19" ht="13.25" customHeight="1">
      <c r="A2" s="172" t="s">
        <v>475</v>
      </c>
      <c r="B2" s="63"/>
      <c r="C2" s="63"/>
      <c r="D2" s="63"/>
      <c r="E2" s="63"/>
      <c r="F2" s="63"/>
      <c r="G2" s="63"/>
      <c r="H2" s="63"/>
      <c r="I2" s="63"/>
    </row>
    <row r="3" spans="1:19" s="179" customFormat="1" ht="13.25" customHeight="1">
      <c r="A3" s="177" t="s">
        <v>221</v>
      </c>
      <c r="B3" s="178"/>
      <c r="C3" s="178"/>
      <c r="D3" s="178"/>
      <c r="E3" s="178"/>
      <c r="F3" s="178"/>
      <c r="G3" s="178"/>
      <c r="H3" s="178"/>
      <c r="I3" s="178"/>
    </row>
    <row r="4" spans="1:19" ht="4.25" customHeight="1" thickBot="1">
      <c r="A4" s="64"/>
      <c r="B4" s="64"/>
      <c r="C4" s="64"/>
      <c r="D4" s="64"/>
      <c r="E4" s="64"/>
      <c r="F4" s="64"/>
      <c r="G4" s="64"/>
      <c r="H4" s="64"/>
      <c r="I4" s="64"/>
    </row>
    <row r="5" spans="1:19" ht="24" customHeight="1">
      <c r="A5" s="545" t="s">
        <v>18</v>
      </c>
      <c r="B5" s="545" t="s">
        <v>19</v>
      </c>
      <c r="C5" s="545" t="s">
        <v>9</v>
      </c>
      <c r="D5" s="545" t="s">
        <v>20</v>
      </c>
      <c r="E5" s="545" t="s">
        <v>8</v>
      </c>
      <c r="F5" s="545" t="s">
        <v>5</v>
      </c>
      <c r="G5" s="545" t="s">
        <v>6</v>
      </c>
      <c r="H5" s="545" t="s">
        <v>7</v>
      </c>
      <c r="I5" s="546" t="s">
        <v>76</v>
      </c>
    </row>
    <row r="6" spans="1:19" ht="15" customHeight="1">
      <c r="A6" s="549" t="s">
        <v>96</v>
      </c>
      <c r="B6" s="550">
        <f t="shared" ref="B6:H6" si="0">(B8+B9+B10+B11+B12+B16+B17+B18+B19+B20+B21+B22+B23+B24+B25+B26+B27+B28+B31+B32+B33+B34+B35+B36)</f>
        <v>190881860</v>
      </c>
      <c r="C6" s="550">
        <f t="shared" si="0"/>
        <v>4533927</v>
      </c>
      <c r="D6" s="550">
        <f t="shared" si="0"/>
        <v>1069412</v>
      </c>
      <c r="E6" s="550">
        <f t="shared" si="0"/>
        <v>1767615</v>
      </c>
      <c r="F6" s="550">
        <f t="shared" si="0"/>
        <v>11210726</v>
      </c>
      <c r="G6" s="550">
        <f t="shared" si="0"/>
        <v>3455036</v>
      </c>
      <c r="H6" s="550">
        <f t="shared" si="0"/>
        <v>5862308</v>
      </c>
      <c r="I6" s="550">
        <f t="shared" ref="I6" si="1">(I8+I9+I10+I11+I12+I16+I17+I18+I19+I20+I21+I22+I23+I24+I25+I26+I27+I28+I31+I32+I33+I34+I35+I36)</f>
        <v>945553</v>
      </c>
      <c r="J6" s="30"/>
    </row>
    <row r="7" spans="1:19" ht="5" customHeight="1">
      <c r="A7" s="62"/>
      <c r="B7" s="173"/>
      <c r="C7" s="173"/>
      <c r="D7" s="173"/>
      <c r="E7" s="173"/>
      <c r="F7" s="173"/>
      <c r="G7" s="173"/>
      <c r="H7" s="173"/>
      <c r="I7" s="173"/>
    </row>
    <row r="8" spans="1:19" ht="13.25" customHeight="1">
      <c r="A8" s="28" t="s">
        <v>21</v>
      </c>
      <c r="B8" s="468">
        <v>181885</v>
      </c>
      <c r="C8" s="468">
        <v>0</v>
      </c>
      <c r="D8" s="468">
        <v>0</v>
      </c>
      <c r="E8" s="468">
        <v>63751</v>
      </c>
      <c r="F8" s="468">
        <v>9637</v>
      </c>
      <c r="G8" s="468">
        <v>29764</v>
      </c>
      <c r="H8" s="468">
        <v>19995</v>
      </c>
      <c r="I8" s="175">
        <v>335</v>
      </c>
      <c r="J8" s="30"/>
      <c r="K8" s="173"/>
      <c r="L8" s="173"/>
      <c r="M8" s="173"/>
      <c r="N8" s="173"/>
      <c r="O8" s="173"/>
      <c r="P8" s="173"/>
      <c r="Q8" s="173"/>
      <c r="R8" s="173"/>
      <c r="S8" s="173"/>
    </row>
    <row r="9" spans="1:19" ht="13.25" customHeight="1">
      <c r="A9" s="28" t="s">
        <v>22</v>
      </c>
      <c r="B9" s="468">
        <v>4946411</v>
      </c>
      <c r="C9" s="468">
        <v>95</v>
      </c>
      <c r="D9" s="468">
        <v>0</v>
      </c>
      <c r="E9" s="468">
        <v>317861</v>
      </c>
      <c r="F9" s="468">
        <v>254704</v>
      </c>
      <c r="G9" s="468">
        <v>187581</v>
      </c>
      <c r="H9" s="468">
        <v>280558</v>
      </c>
      <c r="I9" s="176">
        <v>24774</v>
      </c>
      <c r="J9" s="30"/>
      <c r="K9" s="173"/>
      <c r="L9" s="173"/>
      <c r="M9" s="173"/>
      <c r="N9" s="173"/>
      <c r="O9" s="173"/>
      <c r="P9" s="173"/>
      <c r="Q9" s="173"/>
      <c r="R9" s="173"/>
    </row>
    <row r="10" spans="1:19" ht="13.25" customHeight="1">
      <c r="A10" s="28" t="s">
        <v>23</v>
      </c>
      <c r="B10" s="468">
        <v>2267950</v>
      </c>
      <c r="C10" s="468">
        <v>0</v>
      </c>
      <c r="D10" s="468">
        <v>0</v>
      </c>
      <c r="E10" s="468">
        <v>104500</v>
      </c>
      <c r="F10" s="468">
        <v>74798</v>
      </c>
      <c r="G10" s="468">
        <v>68510</v>
      </c>
      <c r="H10" s="468">
        <v>111810</v>
      </c>
      <c r="I10" s="175">
        <v>18213</v>
      </c>
      <c r="J10" s="30"/>
      <c r="K10" s="173"/>
      <c r="L10" s="173"/>
      <c r="M10" s="173"/>
      <c r="N10" s="173"/>
      <c r="O10" s="173"/>
      <c r="P10" s="173"/>
      <c r="Q10" s="173"/>
      <c r="R10" s="173"/>
    </row>
    <row r="11" spans="1:19" ht="13.25" customHeight="1">
      <c r="A11" s="69" t="s">
        <v>24</v>
      </c>
      <c r="B11" s="468">
        <v>25462693</v>
      </c>
      <c r="C11" s="468">
        <v>7391</v>
      </c>
      <c r="D11" s="468">
        <v>0</v>
      </c>
      <c r="E11" s="468">
        <v>85926</v>
      </c>
      <c r="F11" s="468">
        <v>361175</v>
      </c>
      <c r="G11" s="468">
        <v>112435</v>
      </c>
      <c r="H11" s="468">
        <v>233020</v>
      </c>
      <c r="I11" s="175">
        <v>57217</v>
      </c>
      <c r="J11" s="30"/>
      <c r="K11" s="173"/>
      <c r="L11" s="173"/>
      <c r="M11" s="173"/>
      <c r="N11" s="173"/>
      <c r="O11" s="173"/>
      <c r="P11" s="173"/>
      <c r="Q11" s="173"/>
      <c r="R11" s="173"/>
    </row>
    <row r="12" spans="1:19" ht="13.25" customHeight="1">
      <c r="A12" s="28" t="s">
        <v>25</v>
      </c>
      <c r="B12" s="173">
        <v>887311</v>
      </c>
      <c r="C12" s="173">
        <v>1189</v>
      </c>
      <c r="D12" s="173">
        <v>0</v>
      </c>
      <c r="E12" s="173">
        <v>104167</v>
      </c>
      <c r="F12" s="173">
        <v>478462</v>
      </c>
      <c r="G12" s="173">
        <v>290457</v>
      </c>
      <c r="H12" s="173">
        <v>654162</v>
      </c>
      <c r="I12" s="173">
        <v>173517</v>
      </c>
      <c r="J12" s="30"/>
      <c r="K12" s="173"/>
      <c r="L12" s="173"/>
      <c r="M12" s="173"/>
      <c r="N12" s="173"/>
      <c r="O12" s="173"/>
      <c r="P12" s="173"/>
      <c r="Q12" s="173"/>
      <c r="R12" s="173"/>
    </row>
    <row r="13" spans="1:19" ht="13.25" customHeight="1">
      <c r="A13" s="69" t="s">
        <v>26</v>
      </c>
      <c r="B13" s="468">
        <v>379155</v>
      </c>
      <c r="C13" s="468">
        <v>1189</v>
      </c>
      <c r="D13" s="468">
        <v>0</v>
      </c>
      <c r="E13" s="468">
        <v>65820</v>
      </c>
      <c r="F13" s="468">
        <v>343627</v>
      </c>
      <c r="G13" s="468">
        <v>77062</v>
      </c>
      <c r="H13" s="468">
        <v>264259</v>
      </c>
      <c r="I13" s="175">
        <v>102640</v>
      </c>
      <c r="J13" s="30"/>
      <c r="K13" s="173"/>
      <c r="L13" s="173"/>
      <c r="M13" s="173"/>
      <c r="N13" s="173"/>
      <c r="O13" s="173"/>
      <c r="P13" s="173"/>
      <c r="Q13" s="173"/>
      <c r="R13" s="173"/>
    </row>
    <row r="14" spans="1:19" ht="13.25" customHeight="1">
      <c r="A14" s="69" t="s">
        <v>27</v>
      </c>
      <c r="B14" s="468">
        <v>210024</v>
      </c>
      <c r="C14" s="468">
        <v>0</v>
      </c>
      <c r="D14" s="468">
        <v>0</v>
      </c>
      <c r="E14" s="468">
        <v>20739</v>
      </c>
      <c r="F14" s="468">
        <v>98289</v>
      </c>
      <c r="G14" s="468">
        <v>104003</v>
      </c>
      <c r="H14" s="468">
        <v>270985</v>
      </c>
      <c r="I14" s="175">
        <v>65122</v>
      </c>
      <c r="J14" s="30"/>
      <c r="K14" s="173"/>
      <c r="L14" s="173"/>
      <c r="M14" s="173"/>
      <c r="N14" s="173"/>
      <c r="O14" s="173"/>
      <c r="P14" s="173"/>
      <c r="Q14" s="173"/>
      <c r="R14" s="173"/>
    </row>
    <row r="15" spans="1:19" ht="13.25" customHeight="1">
      <c r="A15" s="69" t="s">
        <v>28</v>
      </c>
      <c r="B15" s="468">
        <v>298132</v>
      </c>
      <c r="C15" s="468">
        <v>0</v>
      </c>
      <c r="D15" s="468">
        <v>0</v>
      </c>
      <c r="E15" s="468">
        <v>17608</v>
      </c>
      <c r="F15" s="468">
        <v>36546</v>
      </c>
      <c r="G15" s="468">
        <v>109392</v>
      </c>
      <c r="H15" s="468">
        <v>118919</v>
      </c>
      <c r="I15" s="175">
        <v>5754</v>
      </c>
      <c r="J15" s="30"/>
      <c r="K15" s="173"/>
      <c r="L15" s="173"/>
      <c r="M15" s="173"/>
      <c r="N15" s="173"/>
      <c r="O15" s="173"/>
      <c r="P15" s="173"/>
      <c r="Q15" s="173"/>
      <c r="R15" s="173"/>
    </row>
    <row r="16" spans="1:19" ht="13.25" customHeight="1">
      <c r="A16" s="28" t="s">
        <v>29</v>
      </c>
      <c r="B16" s="468">
        <v>1529300</v>
      </c>
      <c r="C16" s="468">
        <v>0</v>
      </c>
      <c r="D16" s="468">
        <v>0</v>
      </c>
      <c r="E16" s="468">
        <v>14827</v>
      </c>
      <c r="F16" s="468">
        <v>28229</v>
      </c>
      <c r="G16" s="468">
        <v>90502</v>
      </c>
      <c r="H16" s="468">
        <v>390157</v>
      </c>
      <c r="I16" s="175">
        <v>82254</v>
      </c>
      <c r="J16" s="30"/>
      <c r="K16" s="173"/>
      <c r="L16" s="173"/>
      <c r="M16" s="173"/>
      <c r="N16" s="173"/>
      <c r="O16" s="173"/>
      <c r="P16" s="173"/>
      <c r="Q16" s="173"/>
      <c r="R16" s="173"/>
    </row>
    <row r="17" spans="1:18" ht="13.25" customHeight="1">
      <c r="A17" s="69" t="s">
        <v>30</v>
      </c>
      <c r="B17" s="468">
        <v>2635008</v>
      </c>
      <c r="C17" s="468">
        <v>11297</v>
      </c>
      <c r="D17" s="468">
        <v>0</v>
      </c>
      <c r="E17" s="468">
        <v>168174</v>
      </c>
      <c r="F17" s="468">
        <v>671255</v>
      </c>
      <c r="G17" s="468">
        <v>180786</v>
      </c>
      <c r="H17" s="468">
        <v>307057</v>
      </c>
      <c r="I17" s="175">
        <v>18406</v>
      </c>
      <c r="J17" s="30"/>
      <c r="K17" s="173"/>
      <c r="L17" s="173"/>
      <c r="M17" s="173"/>
      <c r="N17" s="173"/>
      <c r="O17" s="173"/>
      <c r="P17" s="173"/>
      <c r="Q17" s="173"/>
      <c r="R17" s="173"/>
    </row>
    <row r="18" spans="1:18" ht="13.25" customHeight="1">
      <c r="A18" s="69" t="s">
        <v>460</v>
      </c>
      <c r="B18" s="468">
        <v>91713454</v>
      </c>
      <c r="C18" s="468">
        <v>46890</v>
      </c>
      <c r="D18" s="468">
        <v>19280</v>
      </c>
      <c r="E18" s="468">
        <v>163437</v>
      </c>
      <c r="F18" s="468">
        <v>303526</v>
      </c>
      <c r="G18" s="468">
        <v>501088</v>
      </c>
      <c r="H18" s="468">
        <v>267366</v>
      </c>
      <c r="I18" s="175">
        <v>72828</v>
      </c>
      <c r="J18" s="30"/>
      <c r="K18" s="173"/>
      <c r="L18" s="173"/>
      <c r="M18" s="173"/>
      <c r="N18" s="173"/>
      <c r="O18" s="173"/>
      <c r="P18" s="173"/>
      <c r="Q18" s="173"/>
      <c r="R18" s="173"/>
    </row>
    <row r="19" spans="1:18" ht="13.25" customHeight="1">
      <c r="A19" s="28" t="s">
        <v>32</v>
      </c>
      <c r="B19" s="468">
        <v>17612888</v>
      </c>
      <c r="C19" s="468">
        <v>0</v>
      </c>
      <c r="D19" s="468">
        <v>0</v>
      </c>
      <c r="E19" s="468">
        <v>79847</v>
      </c>
      <c r="F19" s="468">
        <v>28666</v>
      </c>
      <c r="G19" s="468">
        <v>190521</v>
      </c>
      <c r="H19" s="468">
        <v>52771</v>
      </c>
      <c r="I19" s="175">
        <v>15846</v>
      </c>
      <c r="J19" s="30"/>
      <c r="K19" s="173"/>
      <c r="L19" s="173"/>
      <c r="M19" s="173"/>
      <c r="N19" s="173"/>
      <c r="O19" s="173"/>
      <c r="P19" s="173"/>
      <c r="Q19" s="173"/>
      <c r="R19" s="173"/>
    </row>
    <row r="20" spans="1:18" ht="13.25" customHeight="1">
      <c r="A20" s="28" t="s">
        <v>33</v>
      </c>
      <c r="B20" s="468">
        <v>1754696</v>
      </c>
      <c r="C20" s="468">
        <v>6675</v>
      </c>
      <c r="D20" s="468">
        <v>3473</v>
      </c>
      <c r="E20" s="468">
        <v>101621</v>
      </c>
      <c r="F20" s="468">
        <v>527045</v>
      </c>
      <c r="G20" s="468">
        <v>403999</v>
      </c>
      <c r="H20" s="468">
        <v>285746</v>
      </c>
      <c r="I20" s="175">
        <v>40991</v>
      </c>
      <c r="J20" s="30"/>
      <c r="K20" s="173"/>
      <c r="L20" s="173"/>
      <c r="M20" s="173"/>
      <c r="N20" s="173"/>
      <c r="O20" s="173"/>
      <c r="P20" s="173"/>
      <c r="Q20" s="173"/>
      <c r="R20" s="173"/>
    </row>
    <row r="21" spans="1:18" ht="13.25" customHeight="1">
      <c r="A21" s="28" t="s">
        <v>34</v>
      </c>
      <c r="B21" s="468">
        <v>139821</v>
      </c>
      <c r="C21" s="468">
        <v>131131</v>
      </c>
      <c r="D21" s="468">
        <v>44477</v>
      </c>
      <c r="E21" s="468">
        <v>6407</v>
      </c>
      <c r="F21" s="468">
        <v>682406</v>
      </c>
      <c r="G21" s="468">
        <v>52973</v>
      </c>
      <c r="H21" s="468">
        <v>117871</v>
      </c>
      <c r="I21" s="175">
        <v>30994</v>
      </c>
      <c r="J21" s="30"/>
      <c r="K21" s="173"/>
      <c r="L21" s="173"/>
      <c r="M21" s="173"/>
      <c r="N21" s="173"/>
      <c r="O21" s="173"/>
      <c r="P21" s="173"/>
      <c r="Q21" s="173"/>
      <c r="R21" s="173"/>
    </row>
    <row r="22" spans="1:18" ht="13.25" customHeight="1">
      <c r="A22" s="28" t="s">
        <v>35</v>
      </c>
      <c r="B22" s="468">
        <v>2568199</v>
      </c>
      <c r="C22" s="468">
        <v>108413</v>
      </c>
      <c r="D22" s="468">
        <v>64363</v>
      </c>
      <c r="E22" s="468">
        <v>14570</v>
      </c>
      <c r="F22" s="468">
        <v>1579259</v>
      </c>
      <c r="G22" s="468">
        <v>195420</v>
      </c>
      <c r="H22" s="468">
        <v>338505</v>
      </c>
      <c r="I22" s="175">
        <v>42039</v>
      </c>
      <c r="J22" s="30"/>
      <c r="K22" s="173"/>
      <c r="L22" s="173"/>
      <c r="M22" s="173"/>
      <c r="N22" s="173"/>
      <c r="O22" s="173"/>
      <c r="P22" s="173"/>
      <c r="Q22" s="173"/>
      <c r="R22" s="173"/>
    </row>
    <row r="23" spans="1:18" ht="13.25" customHeight="1">
      <c r="A23" s="28" t="s">
        <v>36</v>
      </c>
      <c r="B23" s="468">
        <v>388036</v>
      </c>
      <c r="C23" s="468">
        <v>268891</v>
      </c>
      <c r="D23" s="468">
        <v>129392</v>
      </c>
      <c r="E23" s="468">
        <v>187344</v>
      </c>
      <c r="F23" s="468">
        <v>622856</v>
      </c>
      <c r="G23" s="468">
        <v>155982</v>
      </c>
      <c r="H23" s="468">
        <v>177190</v>
      </c>
      <c r="I23" s="175">
        <v>12893</v>
      </c>
      <c r="J23" s="30"/>
      <c r="K23" s="173"/>
      <c r="L23" s="173"/>
      <c r="M23" s="173"/>
      <c r="N23" s="173"/>
      <c r="O23" s="173"/>
      <c r="P23" s="173"/>
      <c r="Q23" s="173"/>
      <c r="R23" s="173"/>
    </row>
    <row r="24" spans="1:18" ht="13.25" customHeight="1">
      <c r="A24" s="69" t="s">
        <v>37</v>
      </c>
      <c r="B24" s="468">
        <v>18320000</v>
      </c>
      <c r="C24" s="468">
        <v>478172</v>
      </c>
      <c r="D24" s="468">
        <v>94914</v>
      </c>
      <c r="E24" s="468">
        <v>22203</v>
      </c>
      <c r="F24" s="468">
        <v>202792</v>
      </c>
      <c r="G24" s="468">
        <v>101411</v>
      </c>
      <c r="H24" s="468">
        <v>220215</v>
      </c>
      <c r="I24" s="175">
        <v>75149</v>
      </c>
      <c r="J24" s="30"/>
      <c r="K24" s="173"/>
      <c r="L24" s="173"/>
      <c r="M24" s="173"/>
      <c r="N24" s="173"/>
      <c r="O24" s="173"/>
      <c r="P24" s="173"/>
      <c r="Q24" s="173"/>
      <c r="R24" s="173"/>
    </row>
    <row r="25" spans="1:18" ht="13.25" customHeight="1">
      <c r="A25" s="28" t="s">
        <v>38</v>
      </c>
      <c r="B25" s="468">
        <v>60244</v>
      </c>
      <c r="C25" s="468">
        <v>143990</v>
      </c>
      <c r="D25" s="468">
        <v>38357</v>
      </c>
      <c r="E25" s="468">
        <v>8300</v>
      </c>
      <c r="F25" s="468">
        <v>48013</v>
      </c>
      <c r="G25" s="468">
        <v>13175</v>
      </c>
      <c r="H25" s="468">
        <v>22697</v>
      </c>
      <c r="I25" s="175">
        <v>5724</v>
      </c>
      <c r="J25" s="30"/>
      <c r="K25" s="173"/>
      <c r="L25" s="173"/>
      <c r="M25" s="173"/>
      <c r="N25" s="173"/>
      <c r="O25" s="173"/>
      <c r="P25" s="173"/>
      <c r="Q25" s="173"/>
      <c r="R25" s="173"/>
    </row>
    <row r="26" spans="1:18" ht="13.25" customHeight="1">
      <c r="A26" s="28" t="s">
        <v>39</v>
      </c>
      <c r="B26" s="468">
        <v>1187788</v>
      </c>
      <c r="C26" s="468">
        <v>77054</v>
      </c>
      <c r="D26" s="468">
        <v>28401</v>
      </c>
      <c r="E26" s="468">
        <v>17091</v>
      </c>
      <c r="F26" s="468">
        <v>35840</v>
      </c>
      <c r="G26" s="468">
        <v>37996</v>
      </c>
      <c r="H26" s="468">
        <v>18405</v>
      </c>
      <c r="I26" s="175">
        <v>5437</v>
      </c>
      <c r="J26" s="30"/>
      <c r="K26" s="173"/>
      <c r="L26" s="173"/>
      <c r="M26" s="173"/>
      <c r="N26" s="173"/>
      <c r="O26" s="173"/>
      <c r="P26" s="173"/>
      <c r="Q26" s="173"/>
      <c r="R26" s="173"/>
    </row>
    <row r="27" spans="1:18" ht="13.25" customHeight="1">
      <c r="A27" s="28" t="s">
        <v>40</v>
      </c>
      <c r="B27" s="468">
        <v>575566</v>
      </c>
      <c r="C27" s="468">
        <v>294675</v>
      </c>
      <c r="D27" s="468">
        <v>78476</v>
      </c>
      <c r="E27" s="468">
        <v>170476</v>
      </c>
      <c r="F27" s="468">
        <v>647200</v>
      </c>
      <c r="G27" s="468">
        <v>128847</v>
      </c>
      <c r="H27" s="468">
        <v>437940</v>
      </c>
      <c r="I27" s="175">
        <v>28737</v>
      </c>
      <c r="J27" s="30"/>
      <c r="K27" s="173"/>
      <c r="L27" s="173"/>
      <c r="M27" s="173"/>
      <c r="N27" s="173"/>
      <c r="O27" s="173"/>
      <c r="P27" s="173"/>
      <c r="Q27" s="173"/>
      <c r="R27" s="173"/>
    </row>
    <row r="28" spans="1:18" ht="13.25" customHeight="1">
      <c r="A28" s="69" t="s">
        <v>41</v>
      </c>
      <c r="B28" s="173">
        <v>306060</v>
      </c>
      <c r="C28" s="173">
        <v>213474</v>
      </c>
      <c r="D28" s="173">
        <v>72260</v>
      </c>
      <c r="E28" s="173">
        <v>108239</v>
      </c>
      <c r="F28" s="173">
        <v>454520</v>
      </c>
      <c r="G28" s="173">
        <v>139127</v>
      </c>
      <c r="H28" s="173">
        <v>292960</v>
      </c>
      <c r="I28" s="173">
        <v>29644</v>
      </c>
      <c r="J28" s="30"/>
      <c r="K28" s="173"/>
      <c r="L28" s="173"/>
      <c r="M28" s="173"/>
      <c r="N28" s="173"/>
      <c r="O28" s="173"/>
      <c r="P28" s="173"/>
      <c r="Q28" s="173"/>
      <c r="R28" s="173"/>
    </row>
    <row r="29" spans="1:18" ht="13.25" customHeight="1">
      <c r="A29" s="69" t="s">
        <v>42</v>
      </c>
      <c r="B29" s="468">
        <v>188148</v>
      </c>
      <c r="C29" s="468">
        <v>193612</v>
      </c>
      <c r="D29" s="468">
        <v>54039</v>
      </c>
      <c r="E29" s="468">
        <v>55204</v>
      </c>
      <c r="F29" s="468">
        <v>311289</v>
      </c>
      <c r="G29" s="468">
        <v>49260</v>
      </c>
      <c r="H29" s="468">
        <v>187348</v>
      </c>
      <c r="I29" s="175">
        <v>18034</v>
      </c>
      <c r="J29" s="30"/>
      <c r="K29" s="173"/>
      <c r="L29" s="173"/>
      <c r="M29" s="173"/>
      <c r="N29" s="173"/>
      <c r="O29" s="173"/>
      <c r="P29" s="173"/>
      <c r="Q29" s="173"/>
      <c r="R29" s="173"/>
    </row>
    <row r="30" spans="1:18" ht="13.25" customHeight="1">
      <c r="A30" s="69" t="s">
        <v>43</v>
      </c>
      <c r="B30" s="468">
        <v>117912</v>
      </c>
      <c r="C30" s="468">
        <v>19862</v>
      </c>
      <c r="D30" s="468">
        <v>18222</v>
      </c>
      <c r="E30" s="468">
        <v>53036</v>
      </c>
      <c r="F30" s="468">
        <v>143231</v>
      </c>
      <c r="G30" s="468">
        <v>89867</v>
      </c>
      <c r="H30" s="468">
        <v>104613</v>
      </c>
      <c r="I30" s="175">
        <v>11610</v>
      </c>
      <c r="J30" s="30"/>
      <c r="K30" s="173"/>
      <c r="L30" s="173"/>
      <c r="M30" s="173"/>
      <c r="N30" s="173"/>
      <c r="O30" s="173"/>
      <c r="P30" s="173"/>
      <c r="Q30" s="173"/>
      <c r="R30" s="173"/>
    </row>
    <row r="31" spans="1:18" ht="13.25" customHeight="1">
      <c r="A31" s="28" t="s">
        <v>44</v>
      </c>
      <c r="B31" s="468">
        <v>1204237</v>
      </c>
      <c r="C31" s="468">
        <v>673455</v>
      </c>
      <c r="D31" s="468">
        <v>139394</v>
      </c>
      <c r="E31" s="468">
        <v>28194</v>
      </c>
      <c r="F31" s="468">
        <v>1394173</v>
      </c>
      <c r="G31" s="468">
        <v>122375</v>
      </c>
      <c r="H31" s="468">
        <v>443671</v>
      </c>
      <c r="I31" s="175">
        <v>86618</v>
      </c>
      <c r="J31" s="30"/>
      <c r="K31" s="173"/>
      <c r="L31" s="173"/>
      <c r="M31" s="173"/>
      <c r="N31" s="173"/>
      <c r="O31" s="173"/>
      <c r="P31" s="173"/>
      <c r="Q31" s="173"/>
      <c r="R31" s="173"/>
    </row>
    <row r="32" spans="1:18" ht="13.25" customHeight="1">
      <c r="A32" s="28" t="s">
        <v>45</v>
      </c>
      <c r="B32" s="468">
        <v>1584985</v>
      </c>
      <c r="C32" s="468">
        <v>2071135</v>
      </c>
      <c r="D32" s="468">
        <v>356625</v>
      </c>
      <c r="E32" s="468">
        <v>0</v>
      </c>
      <c r="F32" s="468">
        <v>2772245</v>
      </c>
      <c r="G32" s="468">
        <v>120520</v>
      </c>
      <c r="H32" s="468">
        <v>769420</v>
      </c>
      <c r="I32" s="175">
        <v>98199</v>
      </c>
      <c r="J32" s="30"/>
      <c r="K32" s="173"/>
      <c r="L32" s="173"/>
      <c r="M32" s="173"/>
      <c r="N32" s="173"/>
      <c r="O32" s="173"/>
      <c r="P32" s="173"/>
      <c r="Q32" s="173"/>
      <c r="R32" s="173"/>
    </row>
    <row r="33" spans="1:18" ht="13.25" customHeight="1">
      <c r="A33" s="11" t="s">
        <v>46</v>
      </c>
      <c r="B33" s="468">
        <v>4758423</v>
      </c>
      <c r="C33" s="468">
        <v>0</v>
      </c>
      <c r="D33" s="468">
        <v>0</v>
      </c>
      <c r="E33" s="468">
        <v>0</v>
      </c>
      <c r="F33" s="468">
        <v>9134</v>
      </c>
      <c r="G33" s="468">
        <v>179855</v>
      </c>
      <c r="H33" s="468">
        <v>213453</v>
      </c>
      <c r="I33" s="175">
        <v>20406</v>
      </c>
      <c r="J33" s="30"/>
      <c r="K33" s="173"/>
      <c r="L33" s="173"/>
      <c r="M33" s="173"/>
      <c r="N33" s="173"/>
      <c r="O33" s="173"/>
      <c r="P33" s="173"/>
      <c r="Q33" s="173"/>
      <c r="R33" s="173"/>
    </row>
    <row r="34" spans="1:18" ht="13.25" customHeight="1">
      <c r="A34" s="11" t="s">
        <v>47</v>
      </c>
      <c r="B34" s="468">
        <v>4190254</v>
      </c>
      <c r="C34" s="468">
        <v>0</v>
      </c>
      <c r="D34" s="468">
        <v>0</v>
      </c>
      <c r="E34" s="468">
        <v>285</v>
      </c>
      <c r="F34" s="468">
        <v>11112</v>
      </c>
      <c r="G34" s="468">
        <v>93896</v>
      </c>
      <c r="H34" s="468">
        <v>80743</v>
      </c>
      <c r="I34" s="175">
        <v>1172</v>
      </c>
      <c r="J34" s="30"/>
      <c r="K34" s="173"/>
      <c r="L34" s="173"/>
      <c r="M34" s="173"/>
      <c r="N34" s="173"/>
      <c r="O34" s="173"/>
      <c r="P34" s="173"/>
      <c r="Q34" s="173"/>
      <c r="R34" s="173"/>
    </row>
    <row r="35" spans="1:18" ht="13.25" customHeight="1">
      <c r="A35" s="69" t="s">
        <v>48</v>
      </c>
      <c r="B35" s="468">
        <v>6119078</v>
      </c>
      <c r="C35" s="468">
        <v>0</v>
      </c>
      <c r="D35" s="468">
        <v>0</v>
      </c>
      <c r="E35" s="468">
        <v>180</v>
      </c>
      <c r="F35" s="468">
        <v>8531</v>
      </c>
      <c r="G35" s="468">
        <v>46852</v>
      </c>
      <c r="H35" s="468">
        <v>63298</v>
      </c>
      <c r="I35" s="175">
        <v>3214</v>
      </c>
      <c r="J35" s="30"/>
      <c r="K35" s="173"/>
      <c r="L35" s="173"/>
      <c r="M35" s="173"/>
      <c r="N35" s="173"/>
      <c r="O35" s="173"/>
      <c r="P35" s="173"/>
      <c r="Q35" s="173"/>
      <c r="R35" s="173"/>
    </row>
    <row r="36" spans="1:18" ht="13.25" customHeight="1" thickBot="1">
      <c r="A36" s="501" t="s">
        <v>49</v>
      </c>
      <c r="B36" s="469">
        <v>487573</v>
      </c>
      <c r="C36" s="469">
        <v>0</v>
      </c>
      <c r="D36" s="469">
        <v>0</v>
      </c>
      <c r="E36" s="469">
        <v>215</v>
      </c>
      <c r="F36" s="469">
        <v>5148</v>
      </c>
      <c r="G36" s="469">
        <v>10964</v>
      </c>
      <c r="H36" s="469">
        <v>63298</v>
      </c>
      <c r="I36" s="470">
        <v>946</v>
      </c>
      <c r="J36" s="30"/>
      <c r="K36" s="173"/>
      <c r="L36" s="173"/>
      <c r="M36" s="173"/>
      <c r="N36" s="173"/>
      <c r="O36" s="173"/>
      <c r="P36" s="173"/>
      <c r="Q36" s="173"/>
      <c r="R36" s="173"/>
    </row>
    <row r="37" spans="1:18" ht="9" customHeight="1">
      <c r="A37" s="778" t="s">
        <v>402</v>
      </c>
      <c r="B37" s="780"/>
      <c r="C37" s="780"/>
      <c r="D37" s="780"/>
      <c r="F37" s="69"/>
    </row>
    <row r="38" spans="1:18" ht="9" customHeight="1">
      <c r="A38" s="778" t="s">
        <v>359</v>
      </c>
      <c r="B38" s="780"/>
      <c r="C38" s="780"/>
      <c r="D38" s="780"/>
    </row>
    <row r="39" spans="1:18" ht="9" customHeight="1">
      <c r="A39" s="780" t="s">
        <v>358</v>
      </c>
      <c r="B39" s="788"/>
      <c r="C39" s="788"/>
      <c r="D39" s="788"/>
      <c r="E39" s="71"/>
      <c r="F39" s="71"/>
      <c r="G39" s="71"/>
      <c r="H39" s="71"/>
      <c r="I39" s="71"/>
    </row>
    <row r="40" spans="1:18" ht="13.25" customHeight="1">
      <c r="B40" s="62"/>
      <c r="C40" s="62"/>
      <c r="D40" s="62"/>
      <c r="E40" s="62"/>
      <c r="F40" s="62"/>
      <c r="G40" s="62"/>
      <c r="H40" s="62"/>
      <c r="I40" s="6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37" transitionEvaluation="1" transitionEntry="1" codeName="Hoja5">
    <tabColor theme="9" tint="0.59999389629810485"/>
  </sheetPr>
  <dimension ref="A1:AG71"/>
  <sheetViews>
    <sheetView showGridLines="0" topLeftCell="A34" zoomScaleNormal="100" workbookViewId="0">
      <selection activeCell="B40" sqref="B40"/>
    </sheetView>
  </sheetViews>
  <sheetFormatPr baseColWidth="10" defaultColWidth="7" defaultRowHeight="13.25" customHeight="1"/>
  <cols>
    <col min="1" max="1" width="6.796875" style="169" customWidth="1"/>
    <col min="2" max="2" width="13.3984375" style="169" bestFit="1" customWidth="1"/>
    <col min="3" max="9" width="7.3984375" style="169" hidden="1" customWidth="1"/>
    <col min="10" max="25" width="7" style="169" customWidth="1"/>
    <col min="26" max="26" width="6.59765625" style="169" customWidth="1"/>
    <col min="27" max="27" width="9.19921875" style="169" bestFit="1" customWidth="1"/>
    <col min="28" max="16384" width="7" style="169"/>
  </cols>
  <sheetData>
    <row r="1" spans="1:33" ht="13.25" customHeight="1"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33" ht="13.25" customHeight="1">
      <c r="A2" s="186" t="s">
        <v>476</v>
      </c>
      <c r="B2" s="187"/>
      <c r="M2" s="170"/>
      <c r="N2" s="170"/>
      <c r="O2" s="170"/>
      <c r="P2" s="170"/>
      <c r="Q2" s="170"/>
      <c r="R2" s="170"/>
      <c r="S2" s="170"/>
      <c r="T2" s="170"/>
      <c r="U2" s="170"/>
      <c r="V2" s="170"/>
    </row>
    <row r="3" spans="1:33" ht="4.25" customHeight="1" thickBot="1">
      <c r="A3" s="956"/>
      <c r="B3" s="956"/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6"/>
      <c r="P3" s="956"/>
      <c r="Q3" s="956"/>
      <c r="R3" s="956"/>
      <c r="S3" s="956"/>
      <c r="T3" s="956"/>
      <c r="U3" s="956"/>
      <c r="V3" s="956"/>
    </row>
    <row r="4" spans="1:33" ht="22.25" customHeight="1">
      <c r="A4" s="563" t="s">
        <v>404</v>
      </c>
      <c r="B4" s="561" t="s">
        <v>53</v>
      </c>
      <c r="C4" s="561">
        <v>2000</v>
      </c>
      <c r="D4" s="561">
        <v>2001</v>
      </c>
      <c r="E4" s="561">
        <v>2002</v>
      </c>
      <c r="F4" s="561">
        <v>2003</v>
      </c>
      <c r="G4" s="561">
        <v>2004</v>
      </c>
      <c r="H4" s="561">
        <v>2005</v>
      </c>
      <c r="I4" s="561">
        <v>2006</v>
      </c>
      <c r="J4" s="561">
        <v>2007</v>
      </c>
      <c r="K4" s="561">
        <v>2008</v>
      </c>
      <c r="L4" s="561">
        <v>2009</v>
      </c>
      <c r="M4" s="561">
        <v>2010</v>
      </c>
      <c r="N4" s="561">
        <v>2011</v>
      </c>
      <c r="O4" s="561">
        <v>2012</v>
      </c>
      <c r="P4" s="561">
        <v>2013</v>
      </c>
      <c r="Q4" s="561">
        <v>2014</v>
      </c>
      <c r="R4" s="561">
        <v>2015</v>
      </c>
      <c r="S4" s="561">
        <v>2016</v>
      </c>
      <c r="T4" s="543">
        <v>2017</v>
      </c>
      <c r="U4" s="562" t="s">
        <v>197</v>
      </c>
      <c r="V4" s="562" t="s">
        <v>348</v>
      </c>
      <c r="W4" s="562">
        <v>2020</v>
      </c>
      <c r="X4" s="562">
        <v>2021</v>
      </c>
      <c r="Y4" s="562" t="s">
        <v>477</v>
      </c>
      <c r="AB4" s="564"/>
      <c r="AF4" s="171"/>
    </row>
    <row r="5" spans="1:33" ht="13.25" customHeight="1">
      <c r="B5" s="184" t="s">
        <v>51</v>
      </c>
      <c r="C5" s="939">
        <v>88010358</v>
      </c>
      <c r="D5" s="939">
        <v>85621159</v>
      </c>
      <c r="E5" s="939">
        <v>90354182</v>
      </c>
      <c r="F5" s="939">
        <v>92846109</v>
      </c>
      <c r="G5" s="939">
        <v>97761003</v>
      </c>
      <c r="H5" s="939">
        <v>99278818</v>
      </c>
      <c r="I5" s="939">
        <v>117976702</v>
      </c>
      <c r="J5" s="940">
        <v>120227.6</v>
      </c>
      <c r="K5" s="940">
        <v>131179.1</v>
      </c>
      <c r="L5" s="940">
        <v>137838</v>
      </c>
      <c r="M5" s="940">
        <v>130779</v>
      </c>
      <c r="N5" s="940">
        <v>128943.5</v>
      </c>
      <c r="O5" s="940">
        <v>138554.1</v>
      </c>
      <c r="P5" s="940">
        <v>138179.79999999999</v>
      </c>
      <c r="Q5" s="940">
        <v>144703.70000000001</v>
      </c>
      <c r="R5" s="940">
        <v>151000.9</v>
      </c>
      <c r="S5" s="940">
        <v>158263.20000000001</v>
      </c>
      <c r="T5" s="940">
        <v>156637.70000000001</v>
      </c>
      <c r="U5" s="940">
        <v>160959.31899999999</v>
      </c>
      <c r="V5" s="940">
        <v>168172.6</v>
      </c>
      <c r="W5" s="940">
        <v>178159.6</v>
      </c>
      <c r="X5" s="940">
        <v>189374.8</v>
      </c>
      <c r="Y5" s="940">
        <v>190881.9</v>
      </c>
      <c r="Z5" s="939"/>
      <c r="AA5" s="170"/>
      <c r="AB5" s="170"/>
      <c r="AC5" s="170"/>
      <c r="AD5" s="170"/>
      <c r="AE5" s="170"/>
      <c r="AF5" s="170"/>
      <c r="AG5" s="170"/>
    </row>
    <row r="6" spans="1:33" ht="13.25" customHeight="1">
      <c r="B6" s="184" t="s">
        <v>216</v>
      </c>
      <c r="C6" s="939">
        <v>283733046</v>
      </c>
      <c r="D6" s="939">
        <v>287860594</v>
      </c>
      <c r="E6" s="939">
        <v>307094298</v>
      </c>
      <c r="F6" s="939">
        <v>310943489</v>
      </c>
      <c r="G6" s="939">
        <v>308485309</v>
      </c>
      <c r="H6" s="939">
        <v>342073628</v>
      </c>
      <c r="I6" s="939">
        <v>368545799</v>
      </c>
      <c r="J6" s="940">
        <v>394749.6</v>
      </c>
      <c r="K6" s="940">
        <v>435909.3</v>
      </c>
      <c r="L6" s="940">
        <v>476340.3</v>
      </c>
      <c r="M6" s="940">
        <v>504986.8</v>
      </c>
      <c r="N6" s="940">
        <v>535421.1</v>
      </c>
      <c r="O6" s="940">
        <v>575566.4</v>
      </c>
      <c r="P6" s="940">
        <v>594004.19999999995</v>
      </c>
      <c r="Q6" s="940">
        <v>621140.1</v>
      </c>
      <c r="R6" s="940">
        <v>645016.19999999995</v>
      </c>
      <c r="S6" s="940">
        <v>690892.3</v>
      </c>
      <c r="T6" s="940">
        <v>709233</v>
      </c>
      <c r="U6" s="940">
        <v>755841.1</v>
      </c>
      <c r="V6" s="940">
        <v>786256.9</v>
      </c>
      <c r="W6" s="940">
        <v>753602.3</v>
      </c>
      <c r="X6" s="940">
        <v>776641.2</v>
      </c>
      <c r="Y6" s="940">
        <v>803595.9</v>
      </c>
      <c r="Z6" s="939"/>
      <c r="AA6" s="170"/>
      <c r="AB6" s="170"/>
      <c r="AC6" s="170"/>
      <c r="AD6" s="170"/>
      <c r="AE6" s="170"/>
      <c r="AF6" s="170"/>
      <c r="AG6" s="170"/>
    </row>
    <row r="7" spans="1:33" ht="13.25" customHeight="1">
      <c r="A7" s="169" t="s">
        <v>19</v>
      </c>
      <c r="B7" s="184" t="s">
        <v>439</v>
      </c>
      <c r="C7" s="939">
        <v>510161</v>
      </c>
      <c r="D7" s="939">
        <v>518010</v>
      </c>
      <c r="E7" s="939">
        <v>556076</v>
      </c>
      <c r="F7" s="939">
        <v>577989</v>
      </c>
      <c r="G7" s="939">
        <v>578693</v>
      </c>
      <c r="H7" s="939">
        <v>650296</v>
      </c>
      <c r="I7" s="939">
        <v>710428</v>
      </c>
      <c r="J7" s="939">
        <v>770444</v>
      </c>
      <c r="K7" s="939">
        <v>877171</v>
      </c>
      <c r="L7" s="939">
        <v>964407</v>
      </c>
      <c r="M7" s="939">
        <v>1019935</v>
      </c>
      <c r="N7" s="939">
        <v>1108345</v>
      </c>
      <c r="O7" s="939">
        <v>1211140</v>
      </c>
      <c r="P7" s="939">
        <v>1254348</v>
      </c>
      <c r="Q7" s="939">
        <v>1317426</v>
      </c>
      <c r="R7" s="939">
        <v>1423586</v>
      </c>
      <c r="S7" s="939">
        <v>1513950</v>
      </c>
      <c r="T7" s="939">
        <v>1569280</v>
      </c>
      <c r="U7" s="939">
        <v>1687636</v>
      </c>
      <c r="V7" s="939">
        <v>1762855.6472725368</v>
      </c>
      <c r="W7" s="939">
        <v>1723497.4685835254</v>
      </c>
      <c r="X7" s="939">
        <v>1751607.8070422972</v>
      </c>
      <c r="Y7" s="939">
        <v>1801776.2924394486</v>
      </c>
      <c r="Z7" s="946"/>
    </row>
    <row r="8" spans="1:33" ht="13.25" customHeight="1">
      <c r="B8" s="184" t="s">
        <v>440</v>
      </c>
      <c r="C8" s="941">
        <f>(C7/C6)*1000</f>
        <v>1.7980316610705966</v>
      </c>
      <c r="D8" s="941">
        <f t="shared" ref="D8:I8" si="0">(D7/D6)*1000</f>
        <v>1.7995168869831486</v>
      </c>
      <c r="E8" s="941">
        <f t="shared" si="0"/>
        <v>1.8107662813068577</v>
      </c>
      <c r="F8" s="941">
        <f t="shared" si="0"/>
        <v>1.858823292485793</v>
      </c>
      <c r="G8" s="941">
        <f t="shared" si="0"/>
        <v>1.8759175335639726</v>
      </c>
      <c r="H8" s="941">
        <f t="shared" si="0"/>
        <v>1.9010410238347868</v>
      </c>
      <c r="I8" s="941">
        <f t="shared" si="0"/>
        <v>1.9276518737363222</v>
      </c>
      <c r="J8" s="941">
        <f>(J7/J6)</f>
        <v>1.9517283868052053</v>
      </c>
      <c r="K8" s="941">
        <f t="shared" ref="K8:W8" si="1">(K7/K6)</f>
        <v>2.0122787010967649</v>
      </c>
      <c r="L8" s="941">
        <f t="shared" si="1"/>
        <v>2.0246176945347685</v>
      </c>
      <c r="M8" s="941">
        <f t="shared" si="1"/>
        <v>2.0197260601663252</v>
      </c>
      <c r="N8" s="941">
        <f t="shared" si="1"/>
        <v>2.0700435601062419</v>
      </c>
      <c r="O8" s="941">
        <f t="shared" si="1"/>
        <v>2.10425764950838</v>
      </c>
      <c r="P8" s="941">
        <f t="shared" si="1"/>
        <v>2.1116820386118484</v>
      </c>
      <c r="Q8" s="941">
        <f t="shared" si="1"/>
        <v>2.120980435814722</v>
      </c>
      <c r="R8" s="941">
        <f t="shared" si="1"/>
        <v>2.207054644519006</v>
      </c>
      <c r="S8" s="941">
        <f t="shared" si="1"/>
        <v>2.1912966753284122</v>
      </c>
      <c r="T8" s="941">
        <f t="shared" si="1"/>
        <v>2.2126437997103912</v>
      </c>
      <c r="U8" s="941">
        <f t="shared" si="1"/>
        <v>2.2327920511334991</v>
      </c>
      <c r="V8" s="941">
        <f t="shared" si="1"/>
        <v>2.2420860755212919</v>
      </c>
      <c r="W8" s="941">
        <f t="shared" si="1"/>
        <v>2.2870119538960076</v>
      </c>
      <c r="X8" s="941">
        <v>2.2553630716718778</v>
      </c>
      <c r="Y8" s="941">
        <v>2.2421422193795992</v>
      </c>
      <c r="Z8" s="946"/>
    </row>
    <row r="9" spans="1:33" ht="13.25" customHeight="1">
      <c r="A9" s="182"/>
      <c r="B9" s="185" t="s">
        <v>441</v>
      </c>
      <c r="C9" s="942">
        <v>3.06</v>
      </c>
      <c r="D9" s="942">
        <v>3.19</v>
      </c>
      <c r="E9" s="942">
        <v>3.07</v>
      </c>
      <c r="F9" s="942">
        <v>3.09</v>
      </c>
      <c r="G9" s="942">
        <v>3.48</v>
      </c>
      <c r="H9" s="942">
        <v>3.46</v>
      </c>
      <c r="I9" s="942">
        <v>3.6</v>
      </c>
      <c r="J9" s="942">
        <v>3.63</v>
      </c>
      <c r="K9" s="942">
        <v>4.18</v>
      </c>
      <c r="L9" s="942">
        <v>4.33</v>
      </c>
      <c r="M9" s="942">
        <v>4.6399999999999997</v>
      </c>
      <c r="N9" s="942">
        <v>4.67</v>
      </c>
      <c r="O9" s="942">
        <v>4.7</v>
      </c>
      <c r="P9" s="942">
        <v>4.75</v>
      </c>
      <c r="Q9" s="942">
        <v>4.78</v>
      </c>
      <c r="R9" s="942">
        <v>4.82</v>
      </c>
      <c r="S9" s="942">
        <v>4.84</v>
      </c>
      <c r="T9" s="942">
        <v>4.84</v>
      </c>
      <c r="U9" s="942">
        <v>4.8600000000000003</v>
      </c>
      <c r="V9" s="942">
        <v>4.67</v>
      </c>
      <c r="W9" s="942">
        <v>5.0199999999999996</v>
      </c>
      <c r="X9" s="942">
        <v>5.85</v>
      </c>
      <c r="Y9" s="942">
        <v>6.33</v>
      </c>
      <c r="Z9" s="946"/>
    </row>
    <row r="10" spans="1:33" ht="13.25" customHeight="1">
      <c r="B10" s="184" t="s">
        <v>357</v>
      </c>
      <c r="C10" s="939">
        <v>14800991</v>
      </c>
      <c r="D10" s="939">
        <v>14727155</v>
      </c>
      <c r="E10" s="939">
        <v>14690547</v>
      </c>
      <c r="F10" s="939">
        <v>14721243</v>
      </c>
      <c r="G10" s="939">
        <v>14696522</v>
      </c>
      <c r="H10" s="939">
        <v>14813786</v>
      </c>
      <c r="I10" s="939">
        <v>14675255</v>
      </c>
      <c r="J10" s="939">
        <v>14580166</v>
      </c>
      <c r="K10" s="939">
        <v>14509628</v>
      </c>
      <c r="L10" s="939">
        <v>14137690</v>
      </c>
      <c r="M10" s="939">
        <v>14159720</v>
      </c>
      <c r="N10" s="939">
        <v>14050173</v>
      </c>
      <c r="O10" s="939">
        <v>12184143</v>
      </c>
      <c r="P10" s="939">
        <v>11830977</v>
      </c>
      <c r="Q10" s="939">
        <v>11652272</v>
      </c>
      <c r="R10" s="939">
        <v>11982580</v>
      </c>
      <c r="S10" s="939">
        <v>11450657</v>
      </c>
      <c r="T10" s="939">
        <v>11338424</v>
      </c>
      <c r="U10" s="939">
        <v>11330908</v>
      </c>
      <c r="V10" s="939">
        <v>11371637.300000001</v>
      </c>
      <c r="W10" s="939">
        <v>11071699</v>
      </c>
      <c r="X10" s="939">
        <v>11266309</v>
      </c>
      <c r="Y10" s="939">
        <v>11210723</v>
      </c>
      <c r="Z10" s="946"/>
      <c r="AA10" s="170"/>
      <c r="AB10" s="170"/>
    </row>
    <row r="11" spans="1:33" ht="13.25" customHeight="1">
      <c r="B11" s="184" t="s">
        <v>213</v>
      </c>
      <c r="C11" s="939">
        <v>2521661</v>
      </c>
      <c r="D11" s="939">
        <v>2571321</v>
      </c>
      <c r="E11" s="939">
        <v>2517896</v>
      </c>
      <c r="F11" s="939">
        <v>2535935</v>
      </c>
      <c r="G11" s="939">
        <v>2709847</v>
      </c>
      <c r="H11" s="939">
        <v>2685627</v>
      </c>
      <c r="I11" s="939">
        <v>2692776</v>
      </c>
      <c r="J11" s="939">
        <v>2681208</v>
      </c>
      <c r="K11" s="939">
        <v>2678241</v>
      </c>
      <c r="L11" s="939">
        <v>2753681</v>
      </c>
      <c r="M11" s="939">
        <v>2788507</v>
      </c>
      <c r="N11" s="939">
        <v>2844228</v>
      </c>
      <c r="O11" s="939">
        <v>2910166</v>
      </c>
      <c r="P11" s="939">
        <v>2832371</v>
      </c>
      <c r="Q11" s="939">
        <v>2788555</v>
      </c>
      <c r="R11" s="939">
        <v>2698887</v>
      </c>
      <c r="S11" s="939">
        <v>2745951</v>
      </c>
      <c r="T11" s="939">
        <v>2699282</v>
      </c>
      <c r="U11" s="939">
        <v>2687624</v>
      </c>
      <c r="V11" s="939">
        <v>2682837</v>
      </c>
      <c r="W11" s="939">
        <v>2544650.7000000002</v>
      </c>
      <c r="X11" s="939">
        <v>2576572</v>
      </c>
      <c r="Y11" s="939">
        <v>2592725</v>
      </c>
      <c r="Z11" s="946"/>
      <c r="AA11" s="170"/>
      <c r="AB11" s="170"/>
    </row>
    <row r="12" spans="1:33" ht="13.25" customHeight="1">
      <c r="A12" s="169" t="s">
        <v>5</v>
      </c>
      <c r="B12" s="184" t="s">
        <v>439</v>
      </c>
      <c r="C12" s="939">
        <v>31068</v>
      </c>
      <c r="D12" s="939">
        <v>31868</v>
      </c>
      <c r="E12" s="939">
        <v>31437</v>
      </c>
      <c r="F12" s="939">
        <v>31926</v>
      </c>
      <c r="G12" s="939">
        <v>33698</v>
      </c>
      <c r="H12" s="939">
        <v>33686</v>
      </c>
      <c r="I12" s="939">
        <v>33904</v>
      </c>
      <c r="J12" s="939">
        <v>33839</v>
      </c>
      <c r="K12" s="939">
        <v>33350</v>
      </c>
      <c r="L12" s="939">
        <v>33458</v>
      </c>
      <c r="M12" s="939">
        <v>33669</v>
      </c>
      <c r="N12" s="939">
        <v>34256</v>
      </c>
      <c r="O12" s="939">
        <v>35304</v>
      </c>
      <c r="P12" s="939">
        <v>34906</v>
      </c>
      <c r="Q12" s="939">
        <v>34421</v>
      </c>
      <c r="R12" s="939">
        <v>33163</v>
      </c>
      <c r="S12" s="939">
        <v>33955</v>
      </c>
      <c r="T12" s="939">
        <v>33458</v>
      </c>
      <c r="U12" s="939">
        <v>33672</v>
      </c>
      <c r="V12" s="939">
        <v>33780.947008904892</v>
      </c>
      <c r="W12" s="939">
        <v>32310.98789219185</v>
      </c>
      <c r="X12" s="939">
        <v>33259.223359128613</v>
      </c>
      <c r="Y12" s="939">
        <v>33536.323712606136</v>
      </c>
      <c r="Z12" s="946"/>
    </row>
    <row r="13" spans="1:33" ht="13.25" customHeight="1">
      <c r="B13" s="184" t="s">
        <v>440</v>
      </c>
      <c r="C13" s="940">
        <f>(C12/C11)*1000</f>
        <v>12.320450687066977</v>
      </c>
      <c r="D13" s="940">
        <f t="shared" ref="D13:P13" si="2">(D12/D11)*1000</f>
        <v>12.393629577948454</v>
      </c>
      <c r="E13" s="940">
        <f t="shared" si="2"/>
        <v>12.485424338415884</v>
      </c>
      <c r="F13" s="940">
        <f t="shared" si="2"/>
        <v>12.589439398091828</v>
      </c>
      <c r="G13" s="940">
        <f t="shared" si="2"/>
        <v>12.435388418608134</v>
      </c>
      <c r="H13" s="940">
        <f t="shared" si="2"/>
        <v>12.543067224152869</v>
      </c>
      <c r="I13" s="940">
        <f t="shared" si="2"/>
        <v>12.590724219170106</v>
      </c>
      <c r="J13" s="940">
        <f t="shared" si="2"/>
        <v>12.620803757112466</v>
      </c>
      <c r="K13" s="940">
        <f t="shared" si="2"/>
        <v>12.452202770400422</v>
      </c>
      <c r="L13" s="940">
        <f t="shared" si="2"/>
        <v>12.150281750137362</v>
      </c>
      <c r="M13" s="940">
        <f t="shared" si="2"/>
        <v>12.07420314885349</v>
      </c>
      <c r="N13" s="940">
        <f t="shared" si="2"/>
        <v>12.044041476281086</v>
      </c>
      <c r="O13" s="940">
        <f t="shared" si="2"/>
        <v>12.131266738735865</v>
      </c>
      <c r="P13" s="940">
        <f t="shared" si="2"/>
        <v>12.323950499422567</v>
      </c>
      <c r="Q13" s="940">
        <f t="shared" ref="Q13:W13" si="3">(Q12/Q11)*1000</f>
        <v>12.343669032886208</v>
      </c>
      <c r="R13" s="940">
        <f t="shared" si="3"/>
        <v>12.287657838212567</v>
      </c>
      <c r="S13" s="940">
        <f t="shared" si="3"/>
        <v>12.365479209206574</v>
      </c>
      <c r="T13" s="940">
        <f t="shared" si="3"/>
        <v>12.395148043072195</v>
      </c>
      <c r="U13" s="940">
        <f t="shared" si="3"/>
        <v>12.528538218143609</v>
      </c>
      <c r="V13" s="940">
        <f t="shared" si="3"/>
        <v>12.591501835148723</v>
      </c>
      <c r="W13" s="940">
        <f t="shared" si="3"/>
        <v>12.697612246817156</v>
      </c>
      <c r="X13" s="940">
        <v>12.908324795785321</v>
      </c>
      <c r="Y13" s="940">
        <v>12.934780438852878</v>
      </c>
      <c r="Z13" s="946"/>
    </row>
    <row r="14" spans="1:33" ht="13.25" customHeight="1">
      <c r="A14" s="182"/>
      <c r="B14" s="185" t="s">
        <v>441</v>
      </c>
      <c r="C14" s="942">
        <v>2.99</v>
      </c>
      <c r="D14" s="942">
        <v>3.13</v>
      </c>
      <c r="E14" s="942">
        <v>3.29</v>
      </c>
      <c r="F14" s="942">
        <v>3.29</v>
      </c>
      <c r="G14" s="942">
        <v>3.27</v>
      </c>
      <c r="H14" s="942">
        <v>3.31</v>
      </c>
      <c r="I14" s="942">
        <v>3.32</v>
      </c>
      <c r="J14" s="942">
        <v>3.49</v>
      </c>
      <c r="K14" s="942">
        <v>3.9</v>
      </c>
      <c r="L14" s="942">
        <v>4.13</v>
      </c>
      <c r="M14" s="942">
        <v>4.46</v>
      </c>
      <c r="N14" s="942">
        <v>4.5199999999999996</v>
      </c>
      <c r="O14" s="942">
        <v>4.9000000000000004</v>
      </c>
      <c r="P14" s="942">
        <v>5.04</v>
      </c>
      <c r="Q14" s="942">
        <v>5.72</v>
      </c>
      <c r="R14" s="942">
        <v>5.72</v>
      </c>
      <c r="S14" s="942">
        <v>5.9</v>
      </c>
      <c r="T14" s="942">
        <v>5.6</v>
      </c>
      <c r="U14" s="942">
        <v>5.56</v>
      </c>
      <c r="V14" s="942">
        <v>5.58</v>
      </c>
      <c r="W14" s="942">
        <v>5.43</v>
      </c>
      <c r="X14" s="942">
        <v>5.5839999999999996</v>
      </c>
      <c r="Y14" s="942">
        <v>5.6050000000000004</v>
      </c>
      <c r="Z14" s="946"/>
    </row>
    <row r="15" spans="1:33" ht="13.25" customHeight="1">
      <c r="B15" s="184" t="s">
        <v>357</v>
      </c>
      <c r="C15" s="939">
        <v>2845573</v>
      </c>
      <c r="D15" s="939">
        <v>2809888</v>
      </c>
      <c r="E15" s="939">
        <v>2941036</v>
      </c>
      <c r="F15" s="939">
        <v>2990499</v>
      </c>
      <c r="G15" s="939">
        <v>3000199</v>
      </c>
      <c r="H15" s="939">
        <v>3010724</v>
      </c>
      <c r="I15" s="939">
        <v>3073855</v>
      </c>
      <c r="J15" s="939">
        <v>3115772</v>
      </c>
      <c r="K15" s="939">
        <v>3151406</v>
      </c>
      <c r="L15" s="939">
        <v>3256809</v>
      </c>
      <c r="M15" s="939">
        <v>3254413</v>
      </c>
      <c r="N15" s="939">
        <v>3263254</v>
      </c>
      <c r="O15" s="939">
        <v>2987315</v>
      </c>
      <c r="P15" s="939">
        <v>3176115</v>
      </c>
      <c r="Q15" s="939">
        <v>3173015</v>
      </c>
      <c r="R15" s="939">
        <v>3200714</v>
      </c>
      <c r="S15" s="939">
        <v>3104911</v>
      </c>
      <c r="T15" s="939">
        <v>3217254</v>
      </c>
      <c r="U15" s="939">
        <v>3215742</v>
      </c>
      <c r="V15" s="939">
        <v>3269537.5</v>
      </c>
      <c r="W15" s="939">
        <v>3270742</v>
      </c>
      <c r="X15" s="939">
        <v>3372910</v>
      </c>
      <c r="Y15" s="939">
        <v>3455032</v>
      </c>
      <c r="Z15" s="939"/>
      <c r="AA15" s="170"/>
      <c r="AB15" s="170"/>
    </row>
    <row r="16" spans="1:33" ht="13.25" customHeight="1">
      <c r="B16" s="184" t="s">
        <v>213</v>
      </c>
      <c r="C16" s="939">
        <v>1540534</v>
      </c>
      <c r="D16" s="939">
        <v>1650886</v>
      </c>
      <c r="E16" s="939">
        <v>1637129</v>
      </c>
      <c r="F16" s="939">
        <v>1670387</v>
      </c>
      <c r="G16" s="939">
        <v>1884573</v>
      </c>
      <c r="H16" s="939">
        <v>1991346</v>
      </c>
      <c r="I16" s="939">
        <v>2074715</v>
      </c>
      <c r="J16" s="939">
        <v>2153141</v>
      </c>
      <c r="K16" s="939">
        <v>2131518</v>
      </c>
      <c r="L16" s="939">
        <v>2213057</v>
      </c>
      <c r="M16" s="939">
        <v>2186978</v>
      </c>
      <c r="N16" s="939">
        <v>2298432</v>
      </c>
      <c r="O16" s="939">
        <v>2401634</v>
      </c>
      <c r="P16" s="939">
        <v>2499031</v>
      </c>
      <c r="Q16" s="939">
        <v>2629566</v>
      </c>
      <c r="R16" s="939">
        <v>2764884</v>
      </c>
      <c r="S16" s="939">
        <v>2876803</v>
      </c>
      <c r="T16" s="939">
        <v>3073656</v>
      </c>
      <c r="U16" s="939">
        <v>3090907</v>
      </c>
      <c r="V16" s="939">
        <v>3284606.4</v>
      </c>
      <c r="W16" s="939">
        <v>3191164.1</v>
      </c>
      <c r="X16" s="939">
        <v>3314891</v>
      </c>
      <c r="Y16" s="939">
        <v>3458392</v>
      </c>
      <c r="Z16" s="946"/>
      <c r="AA16" s="170"/>
      <c r="AB16" s="170"/>
    </row>
    <row r="17" spans="1:28" ht="13.25" customHeight="1">
      <c r="A17" s="169" t="s">
        <v>6</v>
      </c>
      <c r="B17" s="184" t="s">
        <v>439</v>
      </c>
      <c r="C17" s="939">
        <v>91554</v>
      </c>
      <c r="D17" s="939">
        <v>93313</v>
      </c>
      <c r="E17" s="939">
        <v>92530</v>
      </c>
      <c r="F17" s="939">
        <v>92738</v>
      </c>
      <c r="G17" s="939">
        <v>98880</v>
      </c>
      <c r="H17" s="939">
        <v>104254</v>
      </c>
      <c r="I17" s="939">
        <v>109010</v>
      </c>
      <c r="J17" s="939">
        <v>114520</v>
      </c>
      <c r="K17" s="939">
        <v>115196</v>
      </c>
      <c r="L17" s="939">
        <v>114719</v>
      </c>
      <c r="M17" s="939">
        <v>115655</v>
      </c>
      <c r="N17" s="939">
        <v>117588</v>
      </c>
      <c r="O17" s="939">
        <v>122353</v>
      </c>
      <c r="P17" s="939">
        <v>127684</v>
      </c>
      <c r="Q17" s="939">
        <v>135390</v>
      </c>
      <c r="R17" s="939">
        <v>142925</v>
      </c>
      <c r="S17" s="939">
        <v>149399</v>
      </c>
      <c r="T17" s="939">
        <v>157824</v>
      </c>
      <c r="U17" s="939">
        <v>162421</v>
      </c>
      <c r="V17" s="939">
        <v>173258.66324709987</v>
      </c>
      <c r="W17" s="939">
        <v>169804.68148125257</v>
      </c>
      <c r="X17" s="939">
        <v>176149.67439979623</v>
      </c>
      <c r="Y17" s="939">
        <v>181404.62551147601</v>
      </c>
      <c r="Z17" s="946"/>
    </row>
    <row r="18" spans="1:28" ht="13.25" customHeight="1">
      <c r="B18" s="184" t="s">
        <v>440</v>
      </c>
      <c r="C18" s="940">
        <f t="shared" ref="C18:P18" si="4">(C17/C16)*1000</f>
        <v>59.43004179070374</v>
      </c>
      <c r="D18" s="940">
        <f t="shared" si="4"/>
        <v>56.522982204707048</v>
      </c>
      <c r="E18" s="940">
        <f t="shared" si="4"/>
        <v>56.519675602838873</v>
      </c>
      <c r="F18" s="940">
        <f t="shared" si="4"/>
        <v>55.518870776652356</v>
      </c>
      <c r="G18" s="940">
        <f t="shared" si="4"/>
        <v>52.468118772793623</v>
      </c>
      <c r="H18" s="940">
        <f t="shared" si="4"/>
        <v>52.353533740495124</v>
      </c>
      <c r="I18" s="940">
        <f t="shared" si="4"/>
        <v>52.542156392564763</v>
      </c>
      <c r="J18" s="940">
        <f t="shared" si="4"/>
        <v>53.187413179164764</v>
      </c>
      <c r="K18" s="940">
        <f t="shared" si="4"/>
        <v>54.044113162544257</v>
      </c>
      <c r="L18" s="940">
        <f t="shared" si="4"/>
        <v>51.837345355316202</v>
      </c>
      <c r="M18" s="940">
        <f t="shared" si="4"/>
        <v>52.883476651342633</v>
      </c>
      <c r="N18" s="940">
        <f t="shared" si="4"/>
        <v>51.160095230139497</v>
      </c>
      <c r="O18" s="940">
        <f t="shared" si="4"/>
        <v>50.945731114732716</v>
      </c>
      <c r="P18" s="940">
        <f t="shared" si="4"/>
        <v>51.093403803314168</v>
      </c>
      <c r="Q18" s="940">
        <f t="shared" ref="Q18:W18" si="5">(Q17/Q16)*1000</f>
        <v>51.487583882663529</v>
      </c>
      <c r="R18" s="940">
        <f t="shared" si="5"/>
        <v>51.692946250186267</v>
      </c>
      <c r="S18" s="940">
        <f t="shared" si="5"/>
        <v>51.932301238562395</v>
      </c>
      <c r="T18" s="940">
        <f t="shared" si="5"/>
        <v>51.347320584997149</v>
      </c>
      <c r="U18" s="940">
        <f t="shared" si="5"/>
        <v>52.548006135415918</v>
      </c>
      <c r="V18" s="940">
        <f t="shared" si="5"/>
        <v>52.748683448677404</v>
      </c>
      <c r="W18" s="940">
        <f t="shared" si="5"/>
        <v>53.210889869703841</v>
      </c>
      <c r="X18" s="940">
        <v>53.138911131779146</v>
      </c>
      <c r="Y18" s="940">
        <v>52.453465488601815</v>
      </c>
      <c r="Z18" s="946"/>
    </row>
    <row r="19" spans="1:28" ht="13.25" customHeight="1">
      <c r="A19" s="182"/>
      <c r="B19" s="185" t="s">
        <v>441</v>
      </c>
      <c r="C19" s="942">
        <v>3.31</v>
      </c>
      <c r="D19" s="942">
        <v>3.34</v>
      </c>
      <c r="E19" s="942">
        <v>3.35</v>
      </c>
      <c r="F19" s="942">
        <v>3.39</v>
      </c>
      <c r="G19" s="942">
        <v>3.42</v>
      </c>
      <c r="H19" s="942">
        <v>3.43</v>
      </c>
      <c r="I19" s="942">
        <v>3.47</v>
      </c>
      <c r="J19" s="942">
        <v>3.5</v>
      </c>
      <c r="K19" s="942">
        <v>3.8</v>
      </c>
      <c r="L19" s="942">
        <v>4.12</v>
      </c>
      <c r="M19" s="942">
        <v>4.25</v>
      </c>
      <c r="N19" s="942">
        <v>5.05</v>
      </c>
      <c r="O19" s="942">
        <v>5.24</v>
      </c>
      <c r="P19" s="942">
        <v>5.91</v>
      </c>
      <c r="Q19" s="942">
        <v>6.07</v>
      </c>
      <c r="R19" s="942">
        <v>6.42</v>
      </c>
      <c r="S19" s="942">
        <v>6.77</v>
      </c>
      <c r="T19" s="942">
        <v>6.96</v>
      </c>
      <c r="U19" s="942">
        <v>7.05</v>
      </c>
      <c r="V19" s="942">
        <v>6.94</v>
      </c>
      <c r="W19" s="942">
        <v>6.72</v>
      </c>
      <c r="X19" s="942">
        <v>6.9539999999999997</v>
      </c>
      <c r="Y19" s="942">
        <v>7.0490000000000004</v>
      </c>
      <c r="Z19" s="946"/>
    </row>
    <row r="20" spans="1:28" ht="13.25" customHeight="1">
      <c r="B20" s="184" t="s">
        <v>357</v>
      </c>
      <c r="C20" s="939">
        <v>4980291</v>
      </c>
      <c r="D20" s="939">
        <v>5035612</v>
      </c>
      <c r="E20" s="939">
        <v>5163700</v>
      </c>
      <c r="F20" s="939">
        <v>5193414</v>
      </c>
      <c r="G20" s="939">
        <v>5184822</v>
      </c>
      <c r="H20" s="939">
        <v>5249783</v>
      </c>
      <c r="I20" s="939">
        <v>5241102</v>
      </c>
      <c r="J20" s="939">
        <v>5420865</v>
      </c>
      <c r="K20" s="939">
        <v>5442989</v>
      </c>
      <c r="L20" s="939">
        <v>5459435</v>
      </c>
      <c r="M20" s="939">
        <v>5520200</v>
      </c>
      <c r="N20" s="939">
        <v>5589173</v>
      </c>
      <c r="O20" s="939">
        <v>5660984</v>
      </c>
      <c r="P20" s="939">
        <v>5555988</v>
      </c>
      <c r="Q20" s="939">
        <v>5577959</v>
      </c>
      <c r="R20" s="939">
        <v>5553470</v>
      </c>
      <c r="S20" s="939">
        <v>5525454</v>
      </c>
      <c r="T20" s="939">
        <v>5535569</v>
      </c>
      <c r="U20" s="939">
        <v>5595483</v>
      </c>
      <c r="V20" s="939">
        <v>5599893</v>
      </c>
      <c r="W20" s="939">
        <v>5688461</v>
      </c>
      <c r="X20" s="939">
        <v>5853660</v>
      </c>
      <c r="Y20" s="939">
        <v>5862305</v>
      </c>
      <c r="Z20" s="946"/>
      <c r="AA20" s="170"/>
      <c r="AB20" s="170"/>
    </row>
    <row r="21" spans="1:28" ht="13.25" customHeight="1">
      <c r="B21" s="184" t="s">
        <v>213</v>
      </c>
      <c r="C21" s="939">
        <v>875746</v>
      </c>
      <c r="D21" s="939">
        <v>920031</v>
      </c>
      <c r="E21" s="939">
        <v>951383</v>
      </c>
      <c r="F21" s="939">
        <v>986402</v>
      </c>
      <c r="G21" s="939">
        <v>1020294</v>
      </c>
      <c r="H21" s="939">
        <v>1074578</v>
      </c>
      <c r="I21" s="939">
        <v>1127321</v>
      </c>
      <c r="J21" s="939">
        <v>1138578</v>
      </c>
      <c r="K21" s="939">
        <v>1151906</v>
      </c>
      <c r="L21" s="939">
        <v>1168497</v>
      </c>
      <c r="M21" s="939">
        <v>1218723</v>
      </c>
      <c r="N21" s="939">
        <v>1266710</v>
      </c>
      <c r="O21" s="939">
        <v>1319404</v>
      </c>
      <c r="P21" s="939">
        <v>1375095</v>
      </c>
      <c r="Q21" s="939">
        <v>1376391</v>
      </c>
      <c r="R21" s="939">
        <v>1367797</v>
      </c>
      <c r="S21" s="939">
        <v>1364230</v>
      </c>
      <c r="T21" s="939">
        <v>1331223</v>
      </c>
      <c r="U21" s="939">
        <v>1348165</v>
      </c>
      <c r="V21" s="939">
        <v>1357066.5</v>
      </c>
      <c r="W21" s="939">
        <v>1250069</v>
      </c>
      <c r="X21" s="939">
        <v>1303070</v>
      </c>
      <c r="Y21" s="939">
        <v>1316220</v>
      </c>
      <c r="Z21" s="946"/>
      <c r="AA21" s="170"/>
      <c r="AB21" s="170"/>
    </row>
    <row r="22" spans="1:28" ht="13.25" customHeight="1">
      <c r="A22" s="169" t="s">
        <v>7</v>
      </c>
      <c r="B22" s="184" t="s">
        <v>439</v>
      </c>
      <c r="C22" s="939">
        <v>130249</v>
      </c>
      <c r="D22" s="939">
        <v>130269</v>
      </c>
      <c r="E22" s="939">
        <v>134137</v>
      </c>
      <c r="F22" s="939">
        <v>137271</v>
      </c>
      <c r="G22" s="939">
        <v>143554</v>
      </c>
      <c r="H22" s="939">
        <v>152497</v>
      </c>
      <c r="I22" s="939">
        <v>161578</v>
      </c>
      <c r="J22" s="939">
        <v>163235</v>
      </c>
      <c r="K22" s="939">
        <v>163318</v>
      </c>
      <c r="L22" s="939">
        <v>164704</v>
      </c>
      <c r="M22" s="939">
        <v>171872</v>
      </c>
      <c r="N22" s="939">
        <v>179084</v>
      </c>
      <c r="O22" s="939">
        <v>186617</v>
      </c>
      <c r="P22" s="939">
        <v>193087</v>
      </c>
      <c r="Q22" s="939">
        <v>196232</v>
      </c>
      <c r="R22" s="939">
        <v>196015</v>
      </c>
      <c r="S22" s="939">
        <v>192703</v>
      </c>
      <c r="T22" s="939">
        <v>188738</v>
      </c>
      <c r="U22" s="939">
        <v>189703</v>
      </c>
      <c r="V22" s="939">
        <v>192919.58622447914</v>
      </c>
      <c r="W22" s="939">
        <v>183941.1251822504</v>
      </c>
      <c r="X22" s="939">
        <v>189922.91683994033</v>
      </c>
      <c r="Y22" s="939">
        <v>192718.40159928048</v>
      </c>
      <c r="Z22" s="946"/>
    </row>
    <row r="23" spans="1:28" ht="13.25" customHeight="1">
      <c r="B23" s="184" t="s">
        <v>440</v>
      </c>
      <c r="C23" s="940">
        <f t="shared" ref="C23:P23" si="6">(C22/C21)*1000</f>
        <v>148.72919773541642</v>
      </c>
      <c r="D23" s="940">
        <f t="shared" si="6"/>
        <v>141.59196809672716</v>
      </c>
      <c r="E23" s="940">
        <f t="shared" si="6"/>
        <v>140.99158803552302</v>
      </c>
      <c r="F23" s="940">
        <f t="shared" si="6"/>
        <v>139.16334314001796</v>
      </c>
      <c r="G23" s="940">
        <f t="shared" si="6"/>
        <v>140.69866136623367</v>
      </c>
      <c r="H23" s="940">
        <f t="shared" si="6"/>
        <v>141.91338367247423</v>
      </c>
      <c r="I23" s="940">
        <f t="shared" si="6"/>
        <v>143.32918485506789</v>
      </c>
      <c r="J23" s="940">
        <f t="shared" si="6"/>
        <v>143.3674284941392</v>
      </c>
      <c r="K23" s="940">
        <f t="shared" si="6"/>
        <v>141.7806661307433</v>
      </c>
      <c r="L23" s="940">
        <f t="shared" si="6"/>
        <v>140.95372089102494</v>
      </c>
      <c r="M23" s="940">
        <f t="shared" si="6"/>
        <v>141.02630376221666</v>
      </c>
      <c r="N23" s="940">
        <f t="shared" si="6"/>
        <v>141.37726867238754</v>
      </c>
      <c r="O23" s="940">
        <f t="shared" si="6"/>
        <v>141.44037762504888</v>
      </c>
      <c r="P23" s="940">
        <f t="shared" si="6"/>
        <v>140.41720753838825</v>
      </c>
      <c r="Q23" s="940">
        <f t="shared" ref="Q23:W23" si="7">(Q22/Q21)*1000</f>
        <v>142.56995286949711</v>
      </c>
      <c r="R23" s="940">
        <f t="shared" si="7"/>
        <v>143.30708431148776</v>
      </c>
      <c r="S23" s="940">
        <f t="shared" si="7"/>
        <v>141.25404074093078</v>
      </c>
      <c r="T23" s="940">
        <f t="shared" si="7"/>
        <v>141.7778989695941</v>
      </c>
      <c r="U23" s="940">
        <f t="shared" si="7"/>
        <v>140.71200483620328</v>
      </c>
      <c r="V23" s="940">
        <f t="shared" si="7"/>
        <v>142.1592723897312</v>
      </c>
      <c r="W23" s="940">
        <f t="shared" si="7"/>
        <v>147.14477775406829</v>
      </c>
      <c r="X23" s="940">
        <v>145.75039632378494</v>
      </c>
      <c r="Y23" s="940">
        <v>146.41806615592145</v>
      </c>
      <c r="Z23" s="946"/>
    </row>
    <row r="24" spans="1:28" ht="13.25" customHeight="1">
      <c r="A24" s="182"/>
      <c r="B24" s="185" t="s">
        <v>441</v>
      </c>
      <c r="C24" s="942">
        <v>3.34</v>
      </c>
      <c r="D24" s="942">
        <v>3.41</v>
      </c>
      <c r="E24" s="942">
        <v>3.29</v>
      </c>
      <c r="F24" s="942">
        <v>3.52</v>
      </c>
      <c r="G24" s="942">
        <v>3.33</v>
      </c>
      <c r="H24" s="942">
        <v>3.36</v>
      </c>
      <c r="I24" s="942">
        <v>3.4</v>
      </c>
      <c r="J24" s="942">
        <v>3.5</v>
      </c>
      <c r="K24" s="942">
        <v>3.77</v>
      </c>
      <c r="L24" s="942">
        <v>4.08</v>
      </c>
      <c r="M24" s="942">
        <v>4.0999999999999996</v>
      </c>
      <c r="N24" s="942">
        <v>4.25</v>
      </c>
      <c r="O24" s="942">
        <v>4.6900000000000004</v>
      </c>
      <c r="P24" s="942">
        <v>4.84</v>
      </c>
      <c r="Q24" s="942">
        <v>5.23</v>
      </c>
      <c r="R24" s="942">
        <v>5.41</v>
      </c>
      <c r="S24" s="942">
        <v>5.45</v>
      </c>
      <c r="T24" s="942">
        <v>5.53</v>
      </c>
      <c r="U24" s="942">
        <v>5.64</v>
      </c>
      <c r="V24" s="942">
        <v>5.69</v>
      </c>
      <c r="W24" s="942">
        <v>6.73</v>
      </c>
      <c r="X24" s="942">
        <v>5.8120000000000003</v>
      </c>
      <c r="Y24" s="942">
        <v>5.92</v>
      </c>
      <c r="Z24" s="946"/>
    </row>
    <row r="25" spans="1:28" ht="13.25" customHeight="1">
      <c r="B25" s="184" t="s">
        <v>357</v>
      </c>
      <c r="C25" s="939">
        <v>2034914</v>
      </c>
      <c r="D25" s="939">
        <v>2017808</v>
      </c>
      <c r="E25" s="939">
        <v>1983128</v>
      </c>
      <c r="F25" s="939">
        <v>1983302</v>
      </c>
      <c r="G25" s="939">
        <v>1971863</v>
      </c>
      <c r="H25" s="939">
        <v>1952956</v>
      </c>
      <c r="I25" s="939">
        <v>1936855</v>
      </c>
      <c r="J25" s="939">
        <v>1925912</v>
      </c>
      <c r="K25" s="939">
        <v>1904124</v>
      </c>
      <c r="L25" s="939">
        <v>1928678</v>
      </c>
      <c r="M25" s="939">
        <v>1968306</v>
      </c>
      <c r="N25" s="939">
        <v>1946117</v>
      </c>
      <c r="O25" s="939">
        <v>1949502</v>
      </c>
      <c r="P25" s="939">
        <v>1928631</v>
      </c>
      <c r="Q25" s="939">
        <v>1905462</v>
      </c>
      <c r="R25" s="939">
        <v>1882361</v>
      </c>
      <c r="S25" s="939">
        <v>1865047</v>
      </c>
      <c r="T25" s="939">
        <v>1814704</v>
      </c>
      <c r="U25" s="939">
        <v>1812530</v>
      </c>
      <c r="V25" s="939">
        <v>1801882</v>
      </c>
      <c r="W25" s="939">
        <v>1784685</v>
      </c>
      <c r="X25" s="939">
        <v>1754968</v>
      </c>
      <c r="Y25" s="939">
        <v>1767612</v>
      </c>
      <c r="Z25" s="946"/>
      <c r="AA25" s="170"/>
      <c r="AB25" s="170"/>
    </row>
    <row r="26" spans="1:28" ht="13.25" customHeight="1">
      <c r="B26" s="184" t="s">
        <v>213</v>
      </c>
      <c r="C26" s="939">
        <v>451247</v>
      </c>
      <c r="D26" s="939">
        <v>468861</v>
      </c>
      <c r="E26" s="939">
        <v>476569</v>
      </c>
      <c r="F26" s="939">
        <v>523993</v>
      </c>
      <c r="G26" s="939">
        <v>524448</v>
      </c>
      <c r="H26" s="939">
        <v>527096</v>
      </c>
      <c r="I26" s="939">
        <v>518663</v>
      </c>
      <c r="J26" s="939">
        <v>506927</v>
      </c>
      <c r="K26" s="939">
        <v>496706</v>
      </c>
      <c r="L26" s="939">
        <v>505880</v>
      </c>
      <c r="M26" s="939">
        <v>499447</v>
      </c>
      <c r="N26" s="939">
        <v>489915</v>
      </c>
      <c r="O26" s="939">
        <v>496626</v>
      </c>
      <c r="P26" s="939">
        <v>505262</v>
      </c>
      <c r="Q26" s="939">
        <v>489956</v>
      </c>
      <c r="R26" s="939">
        <v>464018</v>
      </c>
      <c r="S26" s="939">
        <v>458812</v>
      </c>
      <c r="T26" s="939">
        <v>444799</v>
      </c>
      <c r="U26" s="939">
        <v>410567</v>
      </c>
      <c r="V26" s="939">
        <v>411262.7</v>
      </c>
      <c r="W26" s="939">
        <v>392865.58</v>
      </c>
      <c r="X26" s="939">
        <v>390292</v>
      </c>
      <c r="Y26" s="939">
        <v>390294</v>
      </c>
      <c r="Z26" s="946"/>
      <c r="AA26" s="170"/>
      <c r="AB26" s="170"/>
    </row>
    <row r="27" spans="1:28" ht="13.25" customHeight="1">
      <c r="A27" s="169" t="s">
        <v>8</v>
      </c>
      <c r="B27" s="184" t="s">
        <v>439</v>
      </c>
      <c r="C27" s="939">
        <v>6268</v>
      </c>
      <c r="D27" s="939">
        <v>5912</v>
      </c>
      <c r="E27" s="939">
        <v>5793</v>
      </c>
      <c r="F27" s="939">
        <v>6294</v>
      </c>
      <c r="G27" s="939">
        <v>6476</v>
      </c>
      <c r="H27" s="939">
        <v>6618</v>
      </c>
      <c r="I27" s="939">
        <v>6772</v>
      </c>
      <c r="J27" s="939">
        <v>6686</v>
      </c>
      <c r="K27" s="939">
        <v>6419</v>
      </c>
      <c r="L27" s="939">
        <v>6153</v>
      </c>
      <c r="M27" s="939">
        <v>6131</v>
      </c>
      <c r="N27" s="939">
        <v>6150</v>
      </c>
      <c r="O27" s="939">
        <v>6247</v>
      </c>
      <c r="P27" s="939">
        <v>6439</v>
      </c>
      <c r="Q27" s="939">
        <v>6167</v>
      </c>
      <c r="R27" s="939">
        <v>5901</v>
      </c>
      <c r="S27" s="939">
        <v>5827</v>
      </c>
      <c r="T27" s="939">
        <v>5494</v>
      </c>
      <c r="U27" s="939">
        <v>4966</v>
      </c>
      <c r="V27" s="939">
        <v>5102.2518173164117</v>
      </c>
      <c r="W27" s="939">
        <v>4957.3536356317218</v>
      </c>
      <c r="X27" s="939">
        <v>4948.0031893445357</v>
      </c>
      <c r="Y27" s="939">
        <v>4929.2537648500156</v>
      </c>
      <c r="Z27" s="946"/>
    </row>
    <row r="28" spans="1:28" ht="13.25" customHeight="1">
      <c r="B28" s="184" t="s">
        <v>440</v>
      </c>
      <c r="C28" s="940">
        <f t="shared" ref="C28:P28" si="8">(C27/C26)*1000</f>
        <v>13.890397055271281</v>
      </c>
      <c r="D28" s="940">
        <f t="shared" si="8"/>
        <v>12.609280788975836</v>
      </c>
      <c r="E28" s="940">
        <f t="shared" si="8"/>
        <v>12.155637483764156</v>
      </c>
      <c r="F28" s="940">
        <f t="shared" si="8"/>
        <v>12.011610842129571</v>
      </c>
      <c r="G28" s="940">
        <f t="shared" si="8"/>
        <v>12.348221367990726</v>
      </c>
      <c r="H28" s="940">
        <f t="shared" si="8"/>
        <v>12.555587596946287</v>
      </c>
      <c r="I28" s="940">
        <f t="shared" si="8"/>
        <v>13.056647572701349</v>
      </c>
      <c r="J28" s="940">
        <f t="shared" si="8"/>
        <v>13.189275773434835</v>
      </c>
      <c r="K28" s="940">
        <f t="shared" si="8"/>
        <v>12.923137630711125</v>
      </c>
      <c r="L28" s="940">
        <f t="shared" si="8"/>
        <v>12.162963548667667</v>
      </c>
      <c r="M28" s="940">
        <f t="shared" si="8"/>
        <v>12.275576787927447</v>
      </c>
      <c r="N28" s="940">
        <f t="shared" si="8"/>
        <v>12.553198003735341</v>
      </c>
      <c r="O28" s="940">
        <f t="shared" si="8"/>
        <v>12.578882297745183</v>
      </c>
      <c r="P28" s="940">
        <f t="shared" si="8"/>
        <v>12.743883371399393</v>
      </c>
      <c r="Q28" s="940">
        <f t="shared" ref="Q28:W28" si="9">(Q27/Q26)*1000</f>
        <v>12.586844532978471</v>
      </c>
      <c r="R28" s="940">
        <f t="shared" si="9"/>
        <v>12.717179074949678</v>
      </c>
      <c r="S28" s="940">
        <f t="shared" si="9"/>
        <v>12.700190927874598</v>
      </c>
      <c r="T28" s="940">
        <f t="shared" si="9"/>
        <v>12.351646474025346</v>
      </c>
      <c r="U28" s="940">
        <f t="shared" si="9"/>
        <v>12.095467974776344</v>
      </c>
      <c r="V28" s="940">
        <f t="shared" si="9"/>
        <v>12.406308224199304</v>
      </c>
      <c r="W28" s="940">
        <f t="shared" si="9"/>
        <v>12.618447346880634</v>
      </c>
      <c r="X28" s="940">
        <v>12.677707491276143</v>
      </c>
      <c r="Y28" s="940">
        <v>12.629600927198332</v>
      </c>
      <c r="Z28" s="946"/>
    </row>
    <row r="29" spans="1:28" ht="13.25" customHeight="1">
      <c r="A29" s="182"/>
      <c r="B29" s="185" t="s">
        <v>441</v>
      </c>
      <c r="C29" s="943">
        <v>3.33</v>
      </c>
      <c r="D29" s="943">
        <v>3.28</v>
      </c>
      <c r="E29" s="943">
        <v>3.31</v>
      </c>
      <c r="F29" s="943">
        <v>3.22</v>
      </c>
      <c r="G29" s="943">
        <v>3.27</v>
      </c>
      <c r="H29" s="943">
        <v>3.05</v>
      </c>
      <c r="I29" s="943">
        <v>3.01</v>
      </c>
      <c r="J29" s="943">
        <v>3.17</v>
      </c>
      <c r="K29" s="943">
        <v>3.41</v>
      </c>
      <c r="L29" s="943">
        <v>3.61</v>
      </c>
      <c r="M29" s="943">
        <v>3.38</v>
      </c>
      <c r="N29" s="943">
        <v>3.53</v>
      </c>
      <c r="O29" s="943">
        <v>3.68</v>
      </c>
      <c r="P29" s="943">
        <v>3.93</v>
      </c>
      <c r="Q29" s="943">
        <v>4.04</v>
      </c>
      <c r="R29" s="943">
        <v>4.28</v>
      </c>
      <c r="S29" s="943">
        <v>4.66</v>
      </c>
      <c r="T29" s="943">
        <v>4.74</v>
      </c>
      <c r="U29" s="943">
        <v>4.79</v>
      </c>
      <c r="V29" s="943">
        <v>4.8099999999999996</v>
      </c>
      <c r="W29" s="943">
        <v>4.8</v>
      </c>
      <c r="X29" s="943">
        <v>4.7859999999999996</v>
      </c>
      <c r="Y29" s="943">
        <v>4.8090000000000002</v>
      </c>
      <c r="Z29" s="946"/>
    </row>
    <row r="30" spans="1:28" ht="13.25" customHeight="1">
      <c r="B30" s="184" t="s">
        <v>357</v>
      </c>
      <c r="C30" s="939">
        <v>3078524</v>
      </c>
      <c r="D30" s="939">
        <v>3190373</v>
      </c>
      <c r="E30" s="939">
        <v>3335721</v>
      </c>
      <c r="F30" s="939">
        <v>3422557</v>
      </c>
      <c r="G30" s="939">
        <v>3429019</v>
      </c>
      <c r="H30" s="939">
        <v>3594515</v>
      </c>
      <c r="I30" s="939">
        <v>3625627</v>
      </c>
      <c r="J30" s="939">
        <v>3687340</v>
      </c>
      <c r="K30" s="939">
        <v>3780806</v>
      </c>
      <c r="L30" s="939">
        <v>4105582</v>
      </c>
      <c r="M30" s="939">
        <v>4177499</v>
      </c>
      <c r="N30" s="939">
        <v>4322258</v>
      </c>
      <c r="O30" s="939">
        <v>3927361</v>
      </c>
      <c r="P30" s="939">
        <v>4005315</v>
      </c>
      <c r="Q30" s="939">
        <v>4315793</v>
      </c>
      <c r="R30" s="939">
        <v>4318457</v>
      </c>
      <c r="S30" s="939">
        <v>4319228</v>
      </c>
      <c r="T30" s="939">
        <v>4330710</v>
      </c>
      <c r="U30" s="939">
        <v>4384846</v>
      </c>
      <c r="V30" s="939">
        <v>4456049</v>
      </c>
      <c r="W30" s="939">
        <v>4450422</v>
      </c>
      <c r="X30" s="939">
        <v>4484888</v>
      </c>
      <c r="Y30" s="939">
        <v>4533924</v>
      </c>
      <c r="Z30" s="946"/>
      <c r="AA30" s="170"/>
      <c r="AB30" s="170"/>
    </row>
    <row r="31" spans="1:28" ht="13.25" customHeight="1">
      <c r="B31" s="184" t="s">
        <v>213</v>
      </c>
      <c r="C31" s="939">
        <v>269643</v>
      </c>
      <c r="D31" s="939">
        <v>288318</v>
      </c>
      <c r="E31" s="939">
        <v>313415</v>
      </c>
      <c r="F31" s="939">
        <v>304890</v>
      </c>
      <c r="G31" s="939">
        <v>312092</v>
      </c>
      <c r="H31" s="939">
        <v>321478</v>
      </c>
      <c r="I31" s="939">
        <v>330072</v>
      </c>
      <c r="J31" s="939">
        <v>355174</v>
      </c>
      <c r="K31" s="939">
        <v>365555</v>
      </c>
      <c r="L31" s="939">
        <v>387980</v>
      </c>
      <c r="M31" s="939">
        <v>410085</v>
      </c>
      <c r="N31" s="939">
        <v>424100</v>
      </c>
      <c r="O31" s="939">
        <v>455558</v>
      </c>
      <c r="P31" s="939">
        <v>463354</v>
      </c>
      <c r="Q31" s="939">
        <v>481847</v>
      </c>
      <c r="R31" s="939">
        <v>446199</v>
      </c>
      <c r="S31" s="939">
        <v>474135</v>
      </c>
      <c r="T31" s="939">
        <v>479033</v>
      </c>
      <c r="U31" s="939">
        <v>470464</v>
      </c>
      <c r="V31" s="939">
        <v>473283</v>
      </c>
      <c r="W31" s="939">
        <v>464229.435</v>
      </c>
      <c r="X31" s="939">
        <v>469624</v>
      </c>
      <c r="Y31" s="939">
        <v>476210</v>
      </c>
      <c r="Z31" s="946"/>
      <c r="AA31" s="170"/>
      <c r="AB31" s="170"/>
    </row>
    <row r="32" spans="1:28" ht="13.25" customHeight="1">
      <c r="A32" s="169" t="s">
        <v>9</v>
      </c>
      <c r="B32" s="184" t="s">
        <v>439</v>
      </c>
      <c r="C32" s="939">
        <v>7307</v>
      </c>
      <c r="D32" s="939">
        <v>7713</v>
      </c>
      <c r="E32" s="939">
        <v>8277</v>
      </c>
      <c r="F32" s="939">
        <v>8204</v>
      </c>
      <c r="G32" s="939">
        <v>8323</v>
      </c>
      <c r="H32" s="939">
        <v>8671</v>
      </c>
      <c r="I32" s="939">
        <v>8793</v>
      </c>
      <c r="J32" s="939">
        <v>9366</v>
      </c>
      <c r="K32" s="939">
        <v>9527</v>
      </c>
      <c r="L32" s="939">
        <v>10189</v>
      </c>
      <c r="M32" s="939">
        <v>10761</v>
      </c>
      <c r="N32" s="939">
        <v>11318</v>
      </c>
      <c r="O32" s="939">
        <v>11999</v>
      </c>
      <c r="P32" s="939">
        <v>12169</v>
      </c>
      <c r="Q32" s="939">
        <v>12594</v>
      </c>
      <c r="R32" s="939">
        <v>11917</v>
      </c>
      <c r="S32" s="939">
        <v>12445</v>
      </c>
      <c r="T32" s="939">
        <v>12747</v>
      </c>
      <c r="U32" s="939">
        <v>12689</v>
      </c>
      <c r="V32" s="939">
        <v>12579.638048988945</v>
      </c>
      <c r="W32" s="939">
        <v>12362.62986743134</v>
      </c>
      <c r="X32" s="939">
        <v>12581.237251994247</v>
      </c>
      <c r="Y32" s="939">
        <v>12753.737180790733</v>
      </c>
      <c r="Z32" s="946"/>
    </row>
    <row r="33" spans="1:28" ht="13.25" customHeight="1">
      <c r="B33" s="184" t="s">
        <v>440</v>
      </c>
      <c r="C33" s="940">
        <f t="shared" ref="C33:P33" si="10">(C32/C31)*1000</f>
        <v>27.098793590043133</v>
      </c>
      <c r="D33" s="940">
        <f t="shared" si="10"/>
        <v>26.751711651717894</v>
      </c>
      <c r="E33" s="940">
        <f t="shared" si="10"/>
        <v>26.409074230652646</v>
      </c>
      <c r="F33" s="940">
        <f t="shared" si="10"/>
        <v>26.908065203844011</v>
      </c>
      <c r="G33" s="940">
        <f t="shared" si="10"/>
        <v>26.668418286915397</v>
      </c>
      <c r="H33" s="940">
        <f t="shared" si="10"/>
        <v>26.972296704595649</v>
      </c>
      <c r="I33" s="940">
        <f t="shared" si="10"/>
        <v>26.639642259870573</v>
      </c>
      <c r="J33" s="940">
        <f t="shared" si="10"/>
        <v>26.370173492429064</v>
      </c>
      <c r="K33" s="940">
        <f t="shared" si="10"/>
        <v>26.061741735169811</v>
      </c>
      <c r="L33" s="940">
        <f t="shared" si="10"/>
        <v>26.261662972318163</v>
      </c>
      <c r="M33" s="940">
        <f t="shared" si="10"/>
        <v>26.240901276564614</v>
      </c>
      <c r="N33" s="940">
        <f t="shared" si="10"/>
        <v>26.68710209856166</v>
      </c>
      <c r="O33" s="940">
        <f t="shared" si="10"/>
        <v>26.339126960782163</v>
      </c>
      <c r="P33" s="940">
        <f t="shared" si="10"/>
        <v>26.262857340176193</v>
      </c>
      <c r="Q33" s="940">
        <f t="shared" ref="Q33:W33" si="11">(Q32/Q31)*1000</f>
        <v>26.136927281896536</v>
      </c>
      <c r="R33" s="940">
        <f t="shared" si="11"/>
        <v>26.707814226387775</v>
      </c>
      <c r="S33" s="940">
        <f t="shared" si="11"/>
        <v>26.24779862275512</v>
      </c>
      <c r="T33" s="940">
        <f t="shared" si="11"/>
        <v>26.609857775977854</v>
      </c>
      <c r="U33" s="940">
        <f t="shared" si="11"/>
        <v>26.971245408787922</v>
      </c>
      <c r="V33" s="940">
        <f t="shared" si="11"/>
        <v>26.579526517937357</v>
      </c>
      <c r="W33" s="940">
        <f t="shared" si="11"/>
        <v>26.630430850278461</v>
      </c>
      <c r="X33" s="940">
        <v>26.78999909713858</v>
      </c>
      <c r="Y33" s="940">
        <v>26.781754845959014</v>
      </c>
      <c r="Z33" s="946"/>
    </row>
    <row r="34" spans="1:28" ht="13.25" customHeight="1">
      <c r="A34" s="182"/>
      <c r="B34" s="185" t="s">
        <v>441</v>
      </c>
      <c r="C34" s="943">
        <v>2.4</v>
      </c>
      <c r="D34" s="943">
        <v>2.57</v>
      </c>
      <c r="E34" s="943">
        <v>2.48</v>
      </c>
      <c r="F34" s="943">
        <v>2.5299999999999998</v>
      </c>
      <c r="G34" s="943">
        <v>2.66</v>
      </c>
      <c r="H34" s="943">
        <v>2.61</v>
      </c>
      <c r="I34" s="943">
        <v>2.5099999999999998</v>
      </c>
      <c r="J34" s="943">
        <v>2.5</v>
      </c>
      <c r="K34" s="943">
        <v>2.91</v>
      </c>
      <c r="L34" s="943">
        <v>3.13</v>
      </c>
      <c r="M34" s="943">
        <v>3.43</v>
      </c>
      <c r="N34" s="943">
        <v>3.65</v>
      </c>
      <c r="O34" s="943">
        <v>4.03</v>
      </c>
      <c r="P34" s="943">
        <v>4.43</v>
      </c>
      <c r="Q34" s="943">
        <v>4.7699999999999996</v>
      </c>
      <c r="R34" s="943">
        <v>4.63</v>
      </c>
      <c r="S34" s="943">
        <v>4.8099999999999996</v>
      </c>
      <c r="T34" s="943">
        <v>4.91</v>
      </c>
      <c r="U34" s="943">
        <v>4.96</v>
      </c>
      <c r="V34" s="943">
        <v>4.9400000000000004</v>
      </c>
      <c r="W34" s="943">
        <v>5</v>
      </c>
      <c r="X34" s="943">
        <v>4.88</v>
      </c>
      <c r="Y34" s="943">
        <v>4.843</v>
      </c>
      <c r="Z34" s="946"/>
    </row>
    <row r="35" spans="1:28" ht="12" customHeight="1">
      <c r="B35" s="184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183"/>
      <c r="W35" s="183"/>
      <c r="X35" s="183"/>
      <c r="Y35" s="183" t="s">
        <v>226</v>
      </c>
    </row>
    <row r="36" spans="1:28" ht="12" customHeight="1" thickBot="1">
      <c r="A36" s="311" t="s">
        <v>228</v>
      </c>
      <c r="B36" s="184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</row>
    <row r="37" spans="1:28" ht="22.25" customHeight="1">
      <c r="A37" s="563" t="s">
        <v>404</v>
      </c>
      <c r="B37" s="561" t="s">
        <v>53</v>
      </c>
      <c r="C37" s="561">
        <v>2000</v>
      </c>
      <c r="D37" s="561">
        <v>2001</v>
      </c>
      <c r="E37" s="561">
        <v>2002</v>
      </c>
      <c r="F37" s="561">
        <v>2003</v>
      </c>
      <c r="G37" s="561">
        <v>2004</v>
      </c>
      <c r="H37" s="561">
        <v>2005</v>
      </c>
      <c r="I37" s="561">
        <v>2006</v>
      </c>
      <c r="J37" s="561">
        <v>2007</v>
      </c>
      <c r="K37" s="561">
        <v>2008</v>
      </c>
      <c r="L37" s="561">
        <v>2009</v>
      </c>
      <c r="M37" s="561">
        <v>2010</v>
      </c>
      <c r="N37" s="561">
        <v>2011</v>
      </c>
      <c r="O37" s="561">
        <v>2012</v>
      </c>
      <c r="P37" s="561">
        <v>2013</v>
      </c>
      <c r="Q37" s="561">
        <v>2014</v>
      </c>
      <c r="R37" s="561">
        <v>2015</v>
      </c>
      <c r="S37" s="561">
        <v>2016</v>
      </c>
      <c r="T37" s="543">
        <v>2017</v>
      </c>
      <c r="U37" s="562" t="s">
        <v>197</v>
      </c>
      <c r="V37" s="562" t="s">
        <v>348</v>
      </c>
      <c r="W37" s="562">
        <v>2020</v>
      </c>
      <c r="X37" s="562">
        <v>2021</v>
      </c>
      <c r="Y37" s="562" t="s">
        <v>477</v>
      </c>
    </row>
    <row r="38" spans="1:28" ht="3" customHeight="1">
      <c r="A38" s="782"/>
      <c r="B38" s="560"/>
      <c r="C38" s="560"/>
      <c r="D38" s="560"/>
      <c r="E38" s="560"/>
      <c r="F38" s="560"/>
      <c r="G38" s="560"/>
      <c r="H38" s="560"/>
      <c r="I38" s="560"/>
      <c r="J38" s="560"/>
      <c r="K38" s="560"/>
      <c r="L38" s="560"/>
      <c r="M38" s="560"/>
      <c r="N38" s="560"/>
      <c r="O38" s="560"/>
      <c r="P38" s="560"/>
      <c r="Q38" s="560"/>
      <c r="R38" s="560"/>
      <c r="S38" s="560"/>
      <c r="T38" s="783"/>
      <c r="U38" s="784"/>
      <c r="V38" s="784"/>
      <c r="W38" s="784"/>
      <c r="X38" s="784"/>
      <c r="Y38" s="784"/>
    </row>
    <row r="39" spans="1:28" ht="14" customHeight="1">
      <c r="B39" s="184" t="s">
        <v>357</v>
      </c>
      <c r="C39" s="939">
        <v>1183908</v>
      </c>
      <c r="D39" s="939">
        <v>1179088</v>
      </c>
      <c r="E39" s="939">
        <v>1207275</v>
      </c>
      <c r="F39" s="939">
        <v>1230543</v>
      </c>
      <c r="G39" s="939">
        <v>1236984</v>
      </c>
      <c r="H39" s="939">
        <v>1269979</v>
      </c>
      <c r="I39" s="939">
        <v>1256101</v>
      </c>
      <c r="J39" s="939">
        <v>1274425</v>
      </c>
      <c r="K39" s="939">
        <v>1262782</v>
      </c>
      <c r="L39" s="939">
        <v>1237593</v>
      </c>
      <c r="M39" s="939">
        <v>1245169</v>
      </c>
      <c r="N39" s="939">
        <v>1226612</v>
      </c>
      <c r="O39" s="939">
        <v>1194404</v>
      </c>
      <c r="P39" s="939">
        <v>1234089</v>
      </c>
      <c r="Q39" s="939">
        <v>1211917</v>
      </c>
      <c r="R39" s="939">
        <v>1194708</v>
      </c>
      <c r="S39" s="939">
        <v>1105018</v>
      </c>
      <c r="T39" s="939">
        <v>1106201</v>
      </c>
      <c r="U39" s="939">
        <v>1093124</v>
      </c>
      <c r="V39" s="939">
        <v>1095920.5</v>
      </c>
      <c r="W39" s="939">
        <v>1085549.7</v>
      </c>
      <c r="X39" s="939">
        <v>1075425</v>
      </c>
      <c r="Y39" s="939">
        <v>1069411</v>
      </c>
      <c r="Z39" s="946"/>
      <c r="AA39" s="170"/>
      <c r="AB39" s="170"/>
    </row>
    <row r="40" spans="1:28" ht="14" customHeight="1">
      <c r="B40" s="184" t="s">
        <v>213</v>
      </c>
      <c r="C40" s="939">
        <v>91890</v>
      </c>
      <c r="D40" s="939">
        <v>95157</v>
      </c>
      <c r="E40" s="939">
        <v>97389</v>
      </c>
      <c r="F40" s="939">
        <v>101826</v>
      </c>
      <c r="G40" s="939">
        <v>109330</v>
      </c>
      <c r="H40" s="939">
        <v>112106</v>
      </c>
      <c r="I40" s="939">
        <v>113801</v>
      </c>
      <c r="J40" s="939">
        <v>118399</v>
      </c>
      <c r="K40" s="939">
        <v>119237</v>
      </c>
      <c r="L40" s="939">
        <v>127316</v>
      </c>
      <c r="M40" s="939">
        <v>123384</v>
      </c>
      <c r="N40" s="939">
        <v>128346</v>
      </c>
      <c r="O40" s="939">
        <v>130530</v>
      </c>
      <c r="P40" s="939">
        <v>125729</v>
      </c>
      <c r="Q40" s="939">
        <v>123360</v>
      </c>
      <c r="R40" s="939">
        <v>119806</v>
      </c>
      <c r="S40" s="939">
        <v>119195</v>
      </c>
      <c r="T40" s="939">
        <v>120748</v>
      </c>
      <c r="U40" s="939">
        <v>119726</v>
      </c>
      <c r="V40" s="939">
        <v>115790</v>
      </c>
      <c r="W40" s="939">
        <v>113685.48</v>
      </c>
      <c r="X40" s="939">
        <v>117682</v>
      </c>
      <c r="Y40" s="939">
        <v>118241</v>
      </c>
      <c r="Z40" s="946"/>
      <c r="AA40" s="170"/>
      <c r="AB40" s="170"/>
    </row>
    <row r="41" spans="1:28" ht="14" customHeight="1">
      <c r="A41" s="169" t="s">
        <v>10</v>
      </c>
      <c r="B41" s="184" t="s">
        <v>439</v>
      </c>
      <c r="C41" s="939">
        <v>3194</v>
      </c>
      <c r="D41" s="939">
        <v>3232</v>
      </c>
      <c r="E41" s="939">
        <v>3242</v>
      </c>
      <c r="F41" s="939">
        <v>3496</v>
      </c>
      <c r="G41" s="939">
        <v>3699</v>
      </c>
      <c r="H41" s="939">
        <v>3863</v>
      </c>
      <c r="I41" s="939">
        <v>3839</v>
      </c>
      <c r="J41" s="939">
        <v>4053</v>
      </c>
      <c r="K41" s="939">
        <v>3971</v>
      </c>
      <c r="L41" s="939">
        <v>4175</v>
      </c>
      <c r="M41" s="939">
        <v>4075</v>
      </c>
      <c r="N41" s="939">
        <v>4235</v>
      </c>
      <c r="O41" s="939">
        <v>4350</v>
      </c>
      <c r="P41" s="939">
        <v>4179</v>
      </c>
      <c r="Q41" s="939">
        <v>4170</v>
      </c>
      <c r="R41" s="939">
        <v>3980</v>
      </c>
      <c r="S41" s="939">
        <v>3977</v>
      </c>
      <c r="T41" s="939">
        <v>4009</v>
      </c>
      <c r="U41" s="939">
        <v>4003</v>
      </c>
      <c r="V41" s="939">
        <v>3847.592056242348</v>
      </c>
      <c r="W41" s="939">
        <v>3818.3519517499999</v>
      </c>
      <c r="X41" s="939">
        <v>3940.0390321999998</v>
      </c>
      <c r="Y41" s="939">
        <v>3971.3008508293774</v>
      </c>
      <c r="Z41" s="946"/>
    </row>
    <row r="42" spans="1:28" ht="14" customHeight="1">
      <c r="B42" s="184" t="s">
        <v>440</v>
      </c>
      <c r="C42" s="940">
        <f t="shared" ref="C42:P42" si="12">(C41/C40)*1000</f>
        <v>34.758950919577757</v>
      </c>
      <c r="D42" s="940">
        <f t="shared" si="12"/>
        <v>33.964921130342489</v>
      </c>
      <c r="E42" s="940">
        <f t="shared" si="12"/>
        <v>33.289180502931544</v>
      </c>
      <c r="F42" s="940">
        <f t="shared" si="12"/>
        <v>34.333077995796756</v>
      </c>
      <c r="G42" s="940">
        <f t="shared" si="12"/>
        <v>33.833348577700541</v>
      </c>
      <c r="H42" s="940">
        <f t="shared" si="12"/>
        <v>34.458458958485721</v>
      </c>
      <c r="I42" s="940">
        <f t="shared" si="12"/>
        <v>33.734325708912927</v>
      </c>
      <c r="J42" s="940">
        <f t="shared" si="12"/>
        <v>34.23170803807465</v>
      </c>
      <c r="K42" s="940">
        <f t="shared" si="12"/>
        <v>33.303420918003638</v>
      </c>
      <c r="L42" s="940">
        <f t="shared" si="12"/>
        <v>32.792422005089698</v>
      </c>
      <c r="M42" s="940">
        <f t="shared" si="12"/>
        <v>33.026972703105749</v>
      </c>
      <c r="N42" s="940">
        <f t="shared" si="12"/>
        <v>32.996743178595359</v>
      </c>
      <c r="O42" s="940">
        <f t="shared" si="12"/>
        <v>33.325672259250744</v>
      </c>
      <c r="P42" s="940">
        <f t="shared" si="12"/>
        <v>33.238155079575911</v>
      </c>
      <c r="Q42" s="940">
        <f t="shared" ref="Q42:W42" si="13">(Q41/Q40)*1000</f>
        <v>33.803501945525291</v>
      </c>
      <c r="R42" s="940">
        <f t="shared" si="13"/>
        <v>33.220372936246932</v>
      </c>
      <c r="S42" s="940">
        <f t="shared" si="13"/>
        <v>33.365493519023453</v>
      </c>
      <c r="T42" s="940">
        <f t="shared" si="13"/>
        <v>33.201378076655509</v>
      </c>
      <c r="U42" s="940">
        <f t="shared" si="13"/>
        <v>33.434675843175249</v>
      </c>
      <c r="V42" s="940">
        <f t="shared" si="13"/>
        <v>33.229053080942634</v>
      </c>
      <c r="W42" s="940">
        <f t="shared" si="13"/>
        <v>33.58698007652341</v>
      </c>
      <c r="X42" s="940">
        <v>33.480302749011528</v>
      </c>
      <c r="Y42" s="940">
        <v>33.586410592824819</v>
      </c>
      <c r="Z42" s="946"/>
    </row>
    <row r="43" spans="1:28" ht="14" customHeight="1">
      <c r="A43" s="182"/>
      <c r="B43" s="185" t="s">
        <v>441</v>
      </c>
      <c r="C43" s="943">
        <v>1.93</v>
      </c>
      <c r="D43" s="943">
        <v>2.1800000000000002</v>
      </c>
      <c r="E43" s="943">
        <v>2.39</v>
      </c>
      <c r="F43" s="943">
        <v>2.4</v>
      </c>
      <c r="G43" s="943">
        <v>2.4500000000000002</v>
      </c>
      <c r="H43" s="943">
        <v>2.4900000000000002</v>
      </c>
      <c r="I43" s="943">
        <v>2.39</v>
      </c>
      <c r="J43" s="943">
        <v>2.31</v>
      </c>
      <c r="K43" s="943">
        <v>2.7</v>
      </c>
      <c r="L43" s="943">
        <v>2.88</v>
      </c>
      <c r="M43" s="943">
        <v>3.02</v>
      </c>
      <c r="N43" s="943">
        <v>3.4</v>
      </c>
      <c r="O43" s="943">
        <v>3.61</v>
      </c>
      <c r="P43" s="943">
        <v>3.87</v>
      </c>
      <c r="Q43" s="943">
        <v>4.25</v>
      </c>
      <c r="R43" s="943">
        <v>4.09</v>
      </c>
      <c r="S43" s="943">
        <v>4.32</v>
      </c>
      <c r="T43" s="943">
        <v>4.25</v>
      </c>
      <c r="U43" s="943">
        <v>4.28</v>
      </c>
      <c r="V43" s="943">
        <v>4.2699999999999996</v>
      </c>
      <c r="W43" s="943">
        <v>4.13</v>
      </c>
      <c r="X43" s="943">
        <v>3.9670000000000001</v>
      </c>
      <c r="Y43" s="943">
        <v>3.863</v>
      </c>
      <c r="Z43" s="946"/>
    </row>
    <row r="44" spans="1:28" ht="14" customHeight="1">
      <c r="B44" s="184" t="s">
        <v>214</v>
      </c>
      <c r="C44" s="939">
        <v>11899785</v>
      </c>
      <c r="D44" s="939">
        <v>12705402</v>
      </c>
      <c r="E44" s="939">
        <v>12651366</v>
      </c>
      <c r="F44" s="939">
        <v>13059118</v>
      </c>
      <c r="G44" s="939">
        <v>13362491</v>
      </c>
      <c r="H44" s="939">
        <v>13654721</v>
      </c>
      <c r="I44" s="939">
        <v>15842743</v>
      </c>
      <c r="J44" s="939">
        <v>16572273</v>
      </c>
      <c r="K44" s="939">
        <v>17048710</v>
      </c>
      <c r="L44" s="939">
        <v>17206413</v>
      </c>
      <c r="M44" s="939">
        <v>18156674</v>
      </c>
      <c r="N44" s="939">
        <v>19950695</v>
      </c>
      <c r="O44" s="939">
        <v>19846405</v>
      </c>
      <c r="P44" s="939">
        <v>21805630</v>
      </c>
      <c r="Q44" s="939">
        <v>22353253</v>
      </c>
      <c r="R44" s="939">
        <v>23883311</v>
      </c>
      <c r="S44" s="939">
        <v>24752078</v>
      </c>
      <c r="T44" s="939">
        <v>25559765</v>
      </c>
      <c r="U44" s="939">
        <v>27705670</v>
      </c>
      <c r="V44" s="939">
        <v>29468986.100000001</v>
      </c>
      <c r="W44" s="939">
        <v>29468986.100000001</v>
      </c>
      <c r="X44" s="939">
        <v>28938922.300000001</v>
      </c>
      <c r="Y44" s="939">
        <v>29494581.399999999</v>
      </c>
      <c r="Z44" s="946"/>
    </row>
    <row r="45" spans="1:28" ht="14" customHeight="1">
      <c r="A45" s="169" t="s">
        <v>16</v>
      </c>
      <c r="B45" s="184" t="s">
        <v>442</v>
      </c>
      <c r="C45" s="939">
        <v>178686</v>
      </c>
      <c r="D45" s="939">
        <v>188391</v>
      </c>
      <c r="E45" s="939">
        <v>190915</v>
      </c>
      <c r="F45" s="939">
        <v>197839</v>
      </c>
      <c r="G45" s="939">
        <v>202357</v>
      </c>
      <c r="H45" s="939">
        <v>207086</v>
      </c>
      <c r="I45" s="939">
        <v>245451</v>
      </c>
      <c r="J45" s="939">
        <v>257621</v>
      </c>
      <c r="K45" s="939">
        <v>266541</v>
      </c>
      <c r="L45" s="939">
        <v>268707</v>
      </c>
      <c r="M45" s="939">
        <v>285102</v>
      </c>
      <c r="N45" s="939">
        <v>317654</v>
      </c>
      <c r="O45" s="939">
        <v>314024</v>
      </c>
      <c r="P45" s="939">
        <v>349791</v>
      </c>
      <c r="Q45" s="939">
        <v>358630</v>
      </c>
      <c r="R45" s="939">
        <v>386255</v>
      </c>
      <c r="S45" s="939">
        <v>400980</v>
      </c>
      <c r="T45" s="939">
        <v>415336</v>
      </c>
      <c r="U45" s="939">
        <v>452234</v>
      </c>
      <c r="V45" s="939">
        <v>488484.4</v>
      </c>
      <c r="W45" s="939">
        <v>497525.4</v>
      </c>
      <c r="X45" s="939">
        <v>504112</v>
      </c>
      <c r="Y45" s="939">
        <v>510961.6</v>
      </c>
      <c r="Z45" s="946"/>
    </row>
    <row r="46" spans="1:28" ht="14" customHeight="1">
      <c r="A46" s="169" t="s">
        <v>126</v>
      </c>
      <c r="B46" s="184" t="s">
        <v>443</v>
      </c>
      <c r="C46" s="941">
        <f t="shared" ref="C46:P46" si="14">(C45/C44)*1000</f>
        <v>15.015901547801073</v>
      </c>
      <c r="D46" s="941">
        <f t="shared" si="14"/>
        <v>14.827630011234591</v>
      </c>
      <c r="E46" s="941">
        <f t="shared" si="14"/>
        <v>15.090465329988872</v>
      </c>
      <c r="F46" s="940">
        <f t="shared" si="14"/>
        <v>15.149491719119164</v>
      </c>
      <c r="G46" s="940">
        <f t="shared" si="14"/>
        <v>15.143658469068379</v>
      </c>
      <c r="H46" s="940">
        <f t="shared" si="14"/>
        <v>15.165890244114106</v>
      </c>
      <c r="I46" s="940">
        <f t="shared" si="14"/>
        <v>15.492961035850925</v>
      </c>
      <c r="J46" s="940">
        <f t="shared" si="14"/>
        <v>15.545302687205311</v>
      </c>
      <c r="K46" s="940">
        <f t="shared" si="14"/>
        <v>15.634086098009762</v>
      </c>
      <c r="L46" s="940">
        <f t="shared" si="14"/>
        <v>15.616677340012703</v>
      </c>
      <c r="M46" s="940">
        <f t="shared" si="14"/>
        <v>15.702325216611808</v>
      </c>
      <c r="N46" s="940">
        <f t="shared" si="14"/>
        <v>15.921951591160107</v>
      </c>
      <c r="O46" s="940">
        <f t="shared" si="14"/>
        <v>15.822714491616996</v>
      </c>
      <c r="P46" s="940">
        <f t="shared" si="14"/>
        <v>16.041315935379991</v>
      </c>
      <c r="Q46" s="940">
        <f t="shared" ref="Q46:W46" si="15">(Q45/Q44)*1000</f>
        <v>16.043749873899785</v>
      </c>
      <c r="R46" s="940">
        <f t="shared" si="15"/>
        <v>16.172590140454144</v>
      </c>
      <c r="S46" s="940">
        <f t="shared" si="15"/>
        <v>16.199851988184587</v>
      </c>
      <c r="T46" s="940">
        <f t="shared" si="15"/>
        <v>16.249601668872934</v>
      </c>
      <c r="U46" s="940">
        <f t="shared" si="15"/>
        <v>16.322796019731701</v>
      </c>
      <c r="V46" s="940">
        <f t="shared" si="15"/>
        <v>16.576220109588366</v>
      </c>
      <c r="W46" s="940">
        <f t="shared" si="15"/>
        <v>16.883017227389441</v>
      </c>
      <c r="X46" s="940">
        <v>17.419862248515997</v>
      </c>
      <c r="Y46" s="940">
        <v>17.323913685511702</v>
      </c>
      <c r="Z46" s="946"/>
    </row>
    <row r="47" spans="1:28" ht="14" customHeight="1">
      <c r="A47" s="182"/>
      <c r="B47" s="185" t="s">
        <v>441</v>
      </c>
      <c r="C47" s="944">
        <v>2.74</v>
      </c>
      <c r="D47" s="944">
        <v>2.73</v>
      </c>
      <c r="E47" s="944">
        <v>2.91</v>
      </c>
      <c r="F47" s="944">
        <v>2.78</v>
      </c>
      <c r="G47" s="944">
        <v>3.07</v>
      </c>
      <c r="H47" s="944">
        <v>3.2</v>
      </c>
      <c r="I47" s="944">
        <v>3.07</v>
      </c>
      <c r="J47" s="944">
        <v>3.09</v>
      </c>
      <c r="K47" s="944">
        <v>3.81</v>
      </c>
      <c r="L47" s="944">
        <v>3.79</v>
      </c>
      <c r="M47" s="944">
        <v>3.73</v>
      </c>
      <c r="N47" s="944">
        <v>3.88</v>
      </c>
      <c r="O47" s="944">
        <v>4.1500000000000004</v>
      </c>
      <c r="P47" s="944">
        <v>4.33</v>
      </c>
      <c r="Q47" s="944">
        <v>4.63</v>
      </c>
      <c r="R47" s="944">
        <v>4.66</v>
      </c>
      <c r="S47" s="944">
        <v>4.72</v>
      </c>
      <c r="T47" s="944">
        <v>4.75</v>
      </c>
      <c r="U47" s="944">
        <v>4.67</v>
      </c>
      <c r="V47" s="944">
        <v>4.1399999999999997</v>
      </c>
      <c r="W47" s="944">
        <v>4.21</v>
      </c>
      <c r="X47" s="944">
        <v>4.2839999999999998</v>
      </c>
      <c r="Y47" s="944">
        <v>4.62</v>
      </c>
      <c r="Z47" s="946"/>
    </row>
    <row r="48" spans="1:28" ht="14" customHeight="1">
      <c r="B48" s="184" t="s">
        <v>217</v>
      </c>
      <c r="C48" s="939">
        <v>553872</v>
      </c>
      <c r="D48" s="939">
        <v>570399</v>
      </c>
      <c r="E48" s="939">
        <v>635516</v>
      </c>
      <c r="F48" s="939">
        <v>649791</v>
      </c>
      <c r="G48" s="939">
        <v>674830</v>
      </c>
      <c r="H48" s="939">
        <v>708120</v>
      </c>
      <c r="I48" s="939">
        <v>743671</v>
      </c>
      <c r="J48" s="939">
        <v>753189</v>
      </c>
      <c r="K48" s="939">
        <v>769581</v>
      </c>
      <c r="L48" s="939">
        <v>787007</v>
      </c>
      <c r="M48" s="939">
        <v>787604</v>
      </c>
      <c r="N48" s="939">
        <v>815393</v>
      </c>
      <c r="O48" s="939">
        <v>859630</v>
      </c>
      <c r="P48" s="939">
        <v>859468</v>
      </c>
      <c r="Q48" s="939">
        <v>874941</v>
      </c>
      <c r="R48" s="939">
        <v>886143</v>
      </c>
      <c r="S48" s="939">
        <v>895716</v>
      </c>
      <c r="T48" s="939">
        <v>890154</v>
      </c>
      <c r="U48" s="939">
        <v>896710</v>
      </c>
      <c r="V48" s="939">
        <v>905817.2</v>
      </c>
      <c r="W48" s="939">
        <v>906688.6</v>
      </c>
      <c r="X48" s="939">
        <v>932744.5</v>
      </c>
      <c r="Y48" s="939">
        <v>945549.1</v>
      </c>
      <c r="Z48" s="946"/>
    </row>
    <row r="49" spans="1:26" ht="14" customHeight="1">
      <c r="A49" s="169" t="s">
        <v>120</v>
      </c>
      <c r="B49" s="184" t="s">
        <v>442</v>
      </c>
      <c r="C49" s="939">
        <v>903216</v>
      </c>
      <c r="D49" s="939">
        <v>989706</v>
      </c>
      <c r="E49" s="939">
        <v>1051482</v>
      </c>
      <c r="F49" s="939">
        <v>1104820</v>
      </c>
      <c r="G49" s="939">
        <v>1164973</v>
      </c>
      <c r="H49" s="939">
        <v>1236836</v>
      </c>
      <c r="I49" s="939">
        <v>1346991</v>
      </c>
      <c r="J49" s="939">
        <v>1455815</v>
      </c>
      <c r="K49" s="939">
        <v>1565528</v>
      </c>
      <c r="L49" s="939">
        <v>1652112</v>
      </c>
      <c r="M49" s="939">
        <v>1678372</v>
      </c>
      <c r="N49" s="939">
        <v>1755529</v>
      </c>
      <c r="O49" s="939">
        <v>1790670</v>
      </c>
      <c r="P49" s="939">
        <v>1807806</v>
      </c>
      <c r="Q49" s="939">
        <v>1840226</v>
      </c>
      <c r="R49" s="939">
        <v>1903177</v>
      </c>
      <c r="S49" s="939">
        <v>1954232</v>
      </c>
      <c r="T49" s="939">
        <v>2013674</v>
      </c>
      <c r="U49" s="939">
        <v>2067143</v>
      </c>
      <c r="V49" s="939">
        <v>2121365.7999999998</v>
      </c>
      <c r="W49" s="939">
        <v>2135881.2999999998</v>
      </c>
      <c r="X49" s="939">
        <v>2184934.5</v>
      </c>
      <c r="Y49" s="939">
        <v>2246935.86</v>
      </c>
      <c r="Z49" s="946"/>
    </row>
    <row r="50" spans="1:26" ht="14" customHeight="1">
      <c r="A50" s="169" t="s">
        <v>469</v>
      </c>
      <c r="B50" s="184" t="s">
        <v>444</v>
      </c>
      <c r="C50" s="939">
        <f t="shared" ref="C50:P50" si="16">(C49/C48)*1000</f>
        <v>1630.7305659069245</v>
      </c>
      <c r="D50" s="939">
        <f t="shared" si="16"/>
        <v>1735.1117375731724</v>
      </c>
      <c r="E50" s="939">
        <f t="shared" si="16"/>
        <v>1654.5326946921873</v>
      </c>
      <c r="F50" s="939">
        <f t="shared" si="16"/>
        <v>1700.2697790520335</v>
      </c>
      <c r="G50" s="939">
        <f t="shared" si="16"/>
        <v>1726.3207029918647</v>
      </c>
      <c r="H50" s="939">
        <f t="shared" si="16"/>
        <v>1746.6474608823364</v>
      </c>
      <c r="I50" s="939">
        <f t="shared" si="16"/>
        <v>1811.2727267837524</v>
      </c>
      <c r="J50" s="939">
        <f t="shared" si="16"/>
        <v>1932.8681114567526</v>
      </c>
      <c r="K50" s="939">
        <f t="shared" si="16"/>
        <v>2034.2602013303344</v>
      </c>
      <c r="L50" s="939">
        <f t="shared" si="16"/>
        <v>2099.2341872435695</v>
      </c>
      <c r="M50" s="939">
        <f t="shared" si="16"/>
        <v>2130.9846064773669</v>
      </c>
      <c r="N50" s="939">
        <f t="shared" si="16"/>
        <v>2152.9851249642807</v>
      </c>
      <c r="O50" s="939">
        <f t="shared" si="16"/>
        <v>2083.0706234077452</v>
      </c>
      <c r="P50" s="939">
        <f t="shared" si="16"/>
        <v>2103.4011737493429</v>
      </c>
      <c r="Q50" s="939">
        <f t="shared" ref="Q50:W50" si="17">(Q49/Q48)*1000</f>
        <v>2103.2572482030218</v>
      </c>
      <c r="R50" s="939">
        <f t="shared" si="17"/>
        <v>2147.7086655314097</v>
      </c>
      <c r="S50" s="939">
        <f t="shared" si="17"/>
        <v>2181.754038110294</v>
      </c>
      <c r="T50" s="939">
        <f t="shared" si="17"/>
        <v>2262.1636256198367</v>
      </c>
      <c r="U50" s="939">
        <f t="shared" si="17"/>
        <v>2305.2525342641434</v>
      </c>
      <c r="V50" s="939">
        <f t="shared" si="17"/>
        <v>2341.9358784531805</v>
      </c>
      <c r="W50" s="939">
        <f t="shared" si="17"/>
        <v>2355.6944468034558</v>
      </c>
      <c r="X50" s="939">
        <v>2342.4789289632931</v>
      </c>
      <c r="Y50" s="939">
        <v>2376.3291305048865</v>
      </c>
      <c r="Z50" s="946"/>
    </row>
    <row r="51" spans="1:26" ht="14" customHeight="1">
      <c r="A51" s="182"/>
      <c r="B51" s="185" t="s">
        <v>445</v>
      </c>
      <c r="C51" s="944">
        <v>0.78</v>
      </c>
      <c r="D51" s="944">
        <v>0.79</v>
      </c>
      <c r="E51" s="944">
        <v>0.8</v>
      </c>
      <c r="F51" s="944">
        <v>0.8</v>
      </c>
      <c r="G51" s="944">
        <v>0.83</v>
      </c>
      <c r="H51" s="944">
        <v>0.86</v>
      </c>
      <c r="I51" s="944">
        <v>0.86</v>
      </c>
      <c r="J51" s="944">
        <v>0.86</v>
      </c>
      <c r="K51" s="944">
        <v>0.92</v>
      </c>
      <c r="L51" s="944">
        <v>0.97</v>
      </c>
      <c r="M51" s="944">
        <v>0.98</v>
      </c>
      <c r="N51" s="944">
        <v>1.01</v>
      </c>
      <c r="O51" s="944">
        <v>1.07</v>
      </c>
      <c r="P51" s="944">
        <v>1.1399999999999999</v>
      </c>
      <c r="Q51" s="944">
        <v>1.1499999999999999</v>
      </c>
      <c r="R51" s="944">
        <v>1.21</v>
      </c>
      <c r="S51" s="944">
        <v>1.24</v>
      </c>
      <c r="T51" s="944">
        <v>1.29</v>
      </c>
      <c r="U51" s="944">
        <v>1.31</v>
      </c>
      <c r="V51" s="944">
        <v>1.34</v>
      </c>
      <c r="W51" s="944">
        <v>1.37</v>
      </c>
      <c r="X51" s="944">
        <v>1.4419999999999999</v>
      </c>
      <c r="Y51" s="944">
        <v>1.4970000000000001</v>
      </c>
      <c r="Z51" s="946"/>
    </row>
    <row r="52" spans="1:26" ht="14" customHeight="1">
      <c r="B52" s="184" t="s">
        <v>222</v>
      </c>
      <c r="C52" s="939">
        <v>1825696</v>
      </c>
      <c r="D52" s="939">
        <v>1936439</v>
      </c>
      <c r="E52" s="939">
        <v>1784549</v>
      </c>
      <c r="F52" s="939">
        <v>1774369</v>
      </c>
      <c r="G52" s="939">
        <v>1831357</v>
      </c>
      <c r="H52" s="939">
        <v>1995906</v>
      </c>
      <c r="I52" s="939">
        <v>1980553</v>
      </c>
      <c r="J52" s="939">
        <v>2208305</v>
      </c>
      <c r="K52" s="939">
        <v>2325284</v>
      </c>
      <c r="L52" s="939">
        <v>2513106</v>
      </c>
      <c r="M52" s="939">
        <v>2481124</v>
      </c>
      <c r="N52" s="939">
        <v>2573193</v>
      </c>
      <c r="O52" s="939">
        <v>2636389</v>
      </c>
      <c r="P52" s="939">
        <v>2391039</v>
      </c>
      <c r="Q52" s="939">
        <v>2894758</v>
      </c>
      <c r="R52" s="939">
        <v>2372976</v>
      </c>
      <c r="S52" s="939">
        <v>2420549</v>
      </c>
      <c r="T52" s="939">
        <v>2296839</v>
      </c>
      <c r="U52" s="939">
        <v>2365529</v>
      </c>
      <c r="V52" s="939">
        <v>2254979.6</v>
      </c>
      <c r="W52" s="939">
        <v>2131028.96</v>
      </c>
      <c r="X52" s="939">
        <v>2119402.2000000002</v>
      </c>
      <c r="Y52" s="939">
        <v>2139190.2200000002</v>
      </c>
      <c r="Z52" s="946"/>
    </row>
    <row r="53" spans="1:26" ht="14" customHeight="1">
      <c r="A53" s="169" t="s">
        <v>470</v>
      </c>
      <c r="B53" s="184" t="s">
        <v>442</v>
      </c>
      <c r="C53" s="939">
        <v>3110</v>
      </c>
      <c r="D53" s="939">
        <v>3399</v>
      </c>
      <c r="E53" s="939">
        <v>3165</v>
      </c>
      <c r="F53" s="939">
        <v>3103</v>
      </c>
      <c r="G53" s="939">
        <v>3248</v>
      </c>
      <c r="H53" s="939">
        <v>3597</v>
      </c>
      <c r="I53" s="939">
        <v>3510</v>
      </c>
      <c r="J53" s="939">
        <v>3895</v>
      </c>
      <c r="K53" s="939">
        <v>4019</v>
      </c>
      <c r="L53" s="939">
        <v>4387</v>
      </c>
      <c r="M53" s="939">
        <v>4352</v>
      </c>
      <c r="N53" s="939">
        <v>4661</v>
      </c>
      <c r="O53" s="939">
        <v>4797</v>
      </c>
      <c r="P53" s="939">
        <v>4420</v>
      </c>
      <c r="Q53" s="939">
        <v>4485</v>
      </c>
      <c r="R53" s="939">
        <v>4438</v>
      </c>
      <c r="S53" s="939">
        <v>4508</v>
      </c>
      <c r="T53" s="939">
        <v>4314</v>
      </c>
      <c r="U53" s="939">
        <v>4575</v>
      </c>
      <c r="V53" s="939">
        <v>4453.0293069745203</v>
      </c>
      <c r="W53" s="939">
        <v>4351.674739344</v>
      </c>
      <c r="X53" s="939">
        <v>4403.3227581280007</v>
      </c>
      <c r="Y53" s="939">
        <v>4422.1866065736594</v>
      </c>
      <c r="Z53" s="946"/>
    </row>
    <row r="54" spans="1:26" ht="14" customHeight="1">
      <c r="A54" s="169" t="s">
        <v>9</v>
      </c>
      <c r="B54" s="184" t="s">
        <v>446</v>
      </c>
      <c r="C54" s="941">
        <f t="shared" ref="C54:P54" si="18">(C53/C52)*1000</f>
        <v>1.70345994075684</v>
      </c>
      <c r="D54" s="941">
        <f t="shared" si="18"/>
        <v>1.7552837967010579</v>
      </c>
      <c r="E54" s="941">
        <f t="shared" si="18"/>
        <v>1.7735573525860036</v>
      </c>
      <c r="F54" s="941">
        <f t="shared" si="18"/>
        <v>1.7487906968618139</v>
      </c>
      <c r="G54" s="941">
        <f t="shared" si="18"/>
        <v>1.7735482486484067</v>
      </c>
      <c r="H54" s="941">
        <f t="shared" si="18"/>
        <v>1.8021890810489072</v>
      </c>
      <c r="I54" s="941">
        <f t="shared" si="18"/>
        <v>1.7722323007766012</v>
      </c>
      <c r="J54" s="941">
        <f t="shared" si="18"/>
        <v>1.7637962147438873</v>
      </c>
      <c r="K54" s="941">
        <f t="shared" si="18"/>
        <v>1.7283910266444873</v>
      </c>
      <c r="L54" s="941">
        <f t="shared" si="18"/>
        <v>1.7456486117179297</v>
      </c>
      <c r="M54" s="941">
        <f t="shared" si="18"/>
        <v>1.7540437317925264</v>
      </c>
      <c r="N54" s="941">
        <f t="shared" si="18"/>
        <v>1.8113682106239213</v>
      </c>
      <c r="O54" s="941">
        <f t="shared" si="18"/>
        <v>1.8195342189638934</v>
      </c>
      <c r="P54" s="941">
        <f t="shared" si="18"/>
        <v>1.8485687602753447</v>
      </c>
      <c r="Q54" s="941">
        <f t="shared" ref="Q54:W54" si="19">(Q53/Q52)*1000</f>
        <v>1.5493523120067376</v>
      </c>
      <c r="R54" s="941">
        <f t="shared" si="19"/>
        <v>1.8702254047238573</v>
      </c>
      <c r="S54" s="941">
        <f t="shared" si="19"/>
        <v>1.8623874170694334</v>
      </c>
      <c r="T54" s="941">
        <f t="shared" si="19"/>
        <v>1.8782335200682327</v>
      </c>
      <c r="U54" s="941">
        <f t="shared" si="19"/>
        <v>1.9340282871188643</v>
      </c>
      <c r="V54" s="941">
        <f t="shared" si="19"/>
        <v>1.9747536993126322</v>
      </c>
      <c r="W54" s="941">
        <f t="shared" si="19"/>
        <v>2.0420533090005497</v>
      </c>
      <c r="X54" s="941">
        <v>2.0776248878707402</v>
      </c>
      <c r="Y54" s="941">
        <v>2.0672245811658856</v>
      </c>
      <c r="Z54" s="946"/>
    </row>
    <row r="55" spans="1:26" ht="14" customHeight="1">
      <c r="A55" s="182"/>
      <c r="B55" s="185" t="s">
        <v>418</v>
      </c>
      <c r="C55" s="943">
        <v>5.69</v>
      </c>
      <c r="D55" s="943">
        <v>4.95</v>
      </c>
      <c r="E55" s="943">
        <v>5.05</v>
      </c>
      <c r="F55" s="943">
        <v>4.78</v>
      </c>
      <c r="G55" s="943">
        <v>4.58</v>
      </c>
      <c r="H55" s="943">
        <v>5.21</v>
      </c>
      <c r="I55" s="943">
        <v>7.68</v>
      </c>
      <c r="J55" s="943">
        <v>8.33</v>
      </c>
      <c r="K55" s="943">
        <v>8.4700000000000006</v>
      </c>
      <c r="L55" s="943">
        <v>5.51</v>
      </c>
      <c r="M55" s="943">
        <v>5.83</v>
      </c>
      <c r="N55" s="943">
        <v>6.65</v>
      </c>
      <c r="O55" s="943">
        <v>6.71</v>
      </c>
      <c r="P55" s="943">
        <v>7.28</v>
      </c>
      <c r="Q55" s="943">
        <v>7.75</v>
      </c>
      <c r="R55" s="943">
        <v>8.09</v>
      </c>
      <c r="S55" s="943">
        <v>7.59</v>
      </c>
      <c r="T55" s="943">
        <v>7.88</v>
      </c>
      <c r="U55" s="943">
        <v>7.92</v>
      </c>
      <c r="V55" s="943">
        <v>7.27</v>
      </c>
      <c r="W55" s="943">
        <v>6.16</v>
      </c>
      <c r="X55" s="943">
        <v>6.5380000000000003</v>
      </c>
      <c r="Y55" s="943">
        <v>6.6669999999999998</v>
      </c>
      <c r="Z55" s="946"/>
    </row>
    <row r="56" spans="1:26" ht="14" customHeight="1">
      <c r="B56" s="184" t="s">
        <v>222</v>
      </c>
      <c r="C56" s="939">
        <v>484051</v>
      </c>
      <c r="D56" s="939">
        <v>519736</v>
      </c>
      <c r="E56" s="939">
        <v>402772</v>
      </c>
      <c r="F56" s="939">
        <v>413808</v>
      </c>
      <c r="G56" s="939">
        <v>399255</v>
      </c>
      <c r="H56" s="939">
        <v>388716</v>
      </c>
      <c r="I56" s="939">
        <v>400609</v>
      </c>
      <c r="J56" s="939">
        <v>452090</v>
      </c>
      <c r="K56" s="939">
        <v>444255</v>
      </c>
      <c r="L56" s="939">
        <v>447983</v>
      </c>
      <c r="M56" s="939">
        <v>403510</v>
      </c>
      <c r="N56" s="939">
        <v>434702</v>
      </c>
      <c r="O56" s="939">
        <v>449117</v>
      </c>
      <c r="P56" s="939">
        <v>415602</v>
      </c>
      <c r="Q56" s="939">
        <v>485141</v>
      </c>
      <c r="R56" s="939">
        <v>365636</v>
      </c>
      <c r="S56" s="939">
        <v>374408</v>
      </c>
      <c r="T56" s="939">
        <v>373971</v>
      </c>
      <c r="U56" s="939">
        <v>356929</v>
      </c>
      <c r="V56" s="939">
        <v>340347.2</v>
      </c>
      <c r="W56" s="939">
        <v>331804.37</v>
      </c>
      <c r="X56" s="939">
        <v>338242.3</v>
      </c>
      <c r="Y56" s="939">
        <v>347563.8</v>
      </c>
      <c r="Z56" s="946"/>
    </row>
    <row r="57" spans="1:26" ht="14" customHeight="1">
      <c r="A57" s="169" t="s">
        <v>470</v>
      </c>
      <c r="B57" s="184" t="s">
        <v>442</v>
      </c>
      <c r="C57" s="939">
        <v>742</v>
      </c>
      <c r="D57" s="939">
        <v>760</v>
      </c>
      <c r="E57" s="939">
        <v>628</v>
      </c>
      <c r="F57" s="939">
        <v>634</v>
      </c>
      <c r="G57" s="939">
        <v>622</v>
      </c>
      <c r="H57" s="939">
        <v>604</v>
      </c>
      <c r="I57" s="939">
        <v>623</v>
      </c>
      <c r="J57" s="939">
        <v>740</v>
      </c>
      <c r="K57" s="939">
        <v>704</v>
      </c>
      <c r="L57" s="939">
        <v>696</v>
      </c>
      <c r="M57" s="939">
        <v>632</v>
      </c>
      <c r="N57" s="939">
        <v>677</v>
      </c>
      <c r="O57" s="939">
        <v>745</v>
      </c>
      <c r="P57" s="939">
        <v>726</v>
      </c>
      <c r="Q57" s="939">
        <v>745</v>
      </c>
      <c r="R57" s="939">
        <v>656</v>
      </c>
      <c r="S57" s="939">
        <v>670</v>
      </c>
      <c r="T57" s="939">
        <v>681</v>
      </c>
      <c r="U57" s="939">
        <v>660</v>
      </c>
      <c r="V57" s="939">
        <v>657.10990950854966</v>
      </c>
      <c r="W57" s="939">
        <v>664.5561372023999</v>
      </c>
      <c r="X57" s="939">
        <v>672.83795209999994</v>
      </c>
      <c r="Y57" s="939">
        <v>695.6992077164216</v>
      </c>
      <c r="Z57" s="946"/>
    </row>
    <row r="58" spans="1:26" ht="14" customHeight="1">
      <c r="A58" s="169" t="s">
        <v>10</v>
      </c>
      <c r="B58" s="184" t="s">
        <v>447</v>
      </c>
      <c r="C58" s="941">
        <f t="shared" ref="C58:P58" si="20">(C57/C56)*1000</f>
        <v>1.5328963270399194</v>
      </c>
      <c r="D58" s="941">
        <f t="shared" si="20"/>
        <v>1.4622808502778335</v>
      </c>
      <c r="E58" s="941">
        <f t="shared" si="20"/>
        <v>1.5591947801733983</v>
      </c>
      <c r="F58" s="941">
        <f t="shared" si="20"/>
        <v>1.5321115106522831</v>
      </c>
      <c r="G58" s="941">
        <f t="shared" si="20"/>
        <v>1.5579015917145684</v>
      </c>
      <c r="H58" s="941">
        <f t="shared" si="20"/>
        <v>1.5538336471871494</v>
      </c>
      <c r="I58" s="941">
        <f t="shared" si="20"/>
        <v>1.5551323110564166</v>
      </c>
      <c r="J58" s="941">
        <f t="shared" si="20"/>
        <v>1.6368422216815235</v>
      </c>
      <c r="K58" s="941">
        <f t="shared" si="20"/>
        <v>1.5846754679182</v>
      </c>
      <c r="L58" s="941">
        <f t="shared" si="20"/>
        <v>1.5536303832957947</v>
      </c>
      <c r="M58" s="941">
        <f t="shared" si="20"/>
        <v>1.5662561026988178</v>
      </c>
      <c r="N58" s="941">
        <f t="shared" si="20"/>
        <v>1.5573887398723725</v>
      </c>
      <c r="O58" s="941">
        <f t="shared" si="20"/>
        <v>1.6588105104015212</v>
      </c>
      <c r="P58" s="941">
        <f t="shared" si="20"/>
        <v>1.7468635858345243</v>
      </c>
      <c r="Q58" s="941">
        <f t="shared" ref="Q58:W58" si="21">(Q57/Q56)*1000</f>
        <v>1.5356360315866933</v>
      </c>
      <c r="R58" s="941">
        <f t="shared" si="21"/>
        <v>1.7941340568215383</v>
      </c>
      <c r="S58" s="941">
        <f t="shared" si="21"/>
        <v>1.7894916775282579</v>
      </c>
      <c r="T58" s="941">
        <f t="shared" si="21"/>
        <v>1.8209968152610765</v>
      </c>
      <c r="U58" s="941">
        <f t="shared" si="21"/>
        <v>1.8491072454185566</v>
      </c>
      <c r="V58" s="941">
        <f t="shared" si="21"/>
        <v>1.9307046143131181</v>
      </c>
      <c r="W58" s="941">
        <f t="shared" si="21"/>
        <v>2.0028552885014745</v>
      </c>
      <c r="X58" s="941">
        <v>1.9892188295195485</v>
      </c>
      <c r="Y58" s="941">
        <v>2.0016446123457667</v>
      </c>
      <c r="Z58" s="946"/>
    </row>
    <row r="59" spans="1:26" ht="14" customHeight="1">
      <c r="A59" s="182"/>
      <c r="B59" s="185" t="s">
        <v>418</v>
      </c>
      <c r="C59" s="943">
        <v>2.68</v>
      </c>
      <c r="D59" s="943">
        <v>3.16</v>
      </c>
      <c r="E59" s="943">
        <v>2.86</v>
      </c>
      <c r="F59" s="943">
        <v>2.36</v>
      </c>
      <c r="G59" s="943">
        <v>1.98</v>
      </c>
      <c r="H59" s="943">
        <v>2.23</v>
      </c>
      <c r="I59" s="943">
        <v>2.38</v>
      </c>
      <c r="J59" s="943">
        <v>2.79</v>
      </c>
      <c r="K59" s="943">
        <v>2.92</v>
      </c>
      <c r="L59" s="943">
        <v>2.2999999999999998</v>
      </c>
      <c r="M59" s="943">
        <v>2.59</v>
      </c>
      <c r="N59" s="943">
        <v>2.82</v>
      </c>
      <c r="O59" s="943">
        <v>2.84</v>
      </c>
      <c r="P59" s="943">
        <v>2.75</v>
      </c>
      <c r="Q59" s="943">
        <v>2.84</v>
      </c>
      <c r="R59" s="943">
        <v>3</v>
      </c>
      <c r="S59" s="943">
        <v>3.12</v>
      </c>
      <c r="T59" s="943">
        <v>3.1</v>
      </c>
      <c r="U59" s="943">
        <v>3.28</v>
      </c>
      <c r="V59" s="943">
        <v>3.13</v>
      </c>
      <c r="W59" s="943">
        <v>3.18</v>
      </c>
      <c r="X59" s="943">
        <v>2.9159999999999999</v>
      </c>
      <c r="Y59" s="943">
        <v>2.9239999999999999</v>
      </c>
      <c r="Z59" s="946"/>
    </row>
    <row r="60" spans="1:26" ht="14" customHeight="1">
      <c r="B60" s="184" t="s">
        <v>222</v>
      </c>
      <c r="C60" s="939">
        <v>7371783</v>
      </c>
      <c r="D60" s="939">
        <v>7431849</v>
      </c>
      <c r="E60" s="939">
        <v>6658609</v>
      </c>
      <c r="F60" s="939">
        <v>6683557</v>
      </c>
      <c r="G60" s="939">
        <v>6645652</v>
      </c>
      <c r="H60" s="939">
        <v>6333240</v>
      </c>
      <c r="I60" s="939">
        <v>6054839</v>
      </c>
      <c r="J60" s="939">
        <v>6468169</v>
      </c>
      <c r="K60" s="939">
        <v>5869896</v>
      </c>
      <c r="L60" s="939">
        <v>6035367</v>
      </c>
      <c r="M60" s="939">
        <v>6004149</v>
      </c>
      <c r="N60" s="939">
        <v>5985893</v>
      </c>
      <c r="O60" s="939">
        <v>6618656</v>
      </c>
      <c r="P60" s="939">
        <v>6104258</v>
      </c>
      <c r="Q60" s="939">
        <v>5741017</v>
      </c>
      <c r="R60" s="939">
        <v>5162592</v>
      </c>
      <c r="S60" s="939">
        <v>5575610</v>
      </c>
      <c r="T60" s="939">
        <v>4574331</v>
      </c>
      <c r="U60" s="939">
        <v>4559586</v>
      </c>
      <c r="V60" s="939">
        <v>4304514.7</v>
      </c>
      <c r="W60" s="939">
        <v>4099800.59</v>
      </c>
      <c r="X60" s="939">
        <v>4237001.4000000004</v>
      </c>
      <c r="Y60" s="939">
        <v>4296344.4000000004</v>
      </c>
      <c r="Z60" s="946"/>
    </row>
    <row r="61" spans="1:26" ht="14" customHeight="1">
      <c r="A61" s="169" t="s">
        <v>470</v>
      </c>
      <c r="B61" s="184" t="s">
        <v>442</v>
      </c>
      <c r="C61" s="939">
        <v>12361</v>
      </c>
      <c r="D61" s="939">
        <v>12577</v>
      </c>
      <c r="E61" s="939">
        <v>11307</v>
      </c>
      <c r="F61" s="939">
        <v>11319</v>
      </c>
      <c r="G61" s="939">
        <v>11237</v>
      </c>
      <c r="H61" s="939">
        <v>10912</v>
      </c>
      <c r="I61" s="939">
        <v>10374</v>
      </c>
      <c r="J61" s="939">
        <v>10895</v>
      </c>
      <c r="K61" s="939">
        <v>10085</v>
      </c>
      <c r="L61" s="939">
        <v>10279</v>
      </c>
      <c r="M61" s="939">
        <v>10218</v>
      </c>
      <c r="N61" s="939">
        <v>10292</v>
      </c>
      <c r="O61" s="939">
        <v>11029</v>
      </c>
      <c r="P61" s="939">
        <v>10403</v>
      </c>
      <c r="Q61" s="939">
        <v>9975</v>
      </c>
      <c r="R61" s="939">
        <v>8954</v>
      </c>
      <c r="S61" s="939">
        <v>9352</v>
      </c>
      <c r="T61" s="939">
        <v>8138</v>
      </c>
      <c r="U61" s="939">
        <v>8056</v>
      </c>
      <c r="V61" s="939">
        <v>7750.170107576334</v>
      </c>
      <c r="W61" s="939">
        <v>7466.4020324688881</v>
      </c>
      <c r="X61" s="939">
        <v>7690.2523709422921</v>
      </c>
      <c r="Y61" s="939">
        <v>7983.7865281597115</v>
      </c>
      <c r="Z61" s="946"/>
    </row>
    <row r="62" spans="1:26" ht="14" customHeight="1">
      <c r="A62" s="169" t="s">
        <v>5</v>
      </c>
      <c r="B62" s="184" t="s">
        <v>448</v>
      </c>
      <c r="C62" s="941">
        <f t="shared" ref="C62:P62" si="22">(C61/C60)*1000</f>
        <v>1.6767992221149211</v>
      </c>
      <c r="D62" s="941">
        <f t="shared" si="22"/>
        <v>1.6923110251567275</v>
      </c>
      <c r="E62" s="941">
        <f t="shared" si="22"/>
        <v>1.6981024114796348</v>
      </c>
      <c r="F62" s="941">
        <f t="shared" si="22"/>
        <v>1.6935592828788624</v>
      </c>
      <c r="G62" s="941">
        <f t="shared" si="22"/>
        <v>1.6908799919105002</v>
      </c>
      <c r="H62" s="941">
        <f t="shared" si="22"/>
        <v>1.7229727595985627</v>
      </c>
      <c r="I62" s="941">
        <f t="shared" si="22"/>
        <v>1.713340354714634</v>
      </c>
      <c r="J62" s="941">
        <f t="shared" si="22"/>
        <v>1.6844024947400107</v>
      </c>
      <c r="K62" s="941">
        <f t="shared" si="22"/>
        <v>1.7180883613610871</v>
      </c>
      <c r="L62" s="941">
        <f t="shared" si="22"/>
        <v>1.7031275811396391</v>
      </c>
      <c r="M62" s="941">
        <f t="shared" si="22"/>
        <v>1.7018231892646236</v>
      </c>
      <c r="N62" s="941">
        <f t="shared" si="22"/>
        <v>1.7193758725723964</v>
      </c>
      <c r="O62" s="941">
        <f t="shared" si="22"/>
        <v>1.6663503889611426</v>
      </c>
      <c r="P62" s="941">
        <f t="shared" si="22"/>
        <v>1.7042202344658435</v>
      </c>
      <c r="Q62" s="941">
        <f t="shared" ref="Q62:W62" si="23">(Q61/Q60)*1000</f>
        <v>1.7374970323202317</v>
      </c>
      <c r="R62" s="941">
        <f t="shared" si="23"/>
        <v>1.7344000842987399</v>
      </c>
      <c r="S62" s="941">
        <f t="shared" si="23"/>
        <v>1.6773052634599621</v>
      </c>
      <c r="T62" s="941">
        <f t="shared" si="23"/>
        <v>1.7790579649789227</v>
      </c>
      <c r="U62" s="941">
        <f t="shared" si="23"/>
        <v>1.7668270759669849</v>
      </c>
      <c r="V62" s="941">
        <f t="shared" si="23"/>
        <v>1.8004747684045159</v>
      </c>
      <c r="W62" s="941">
        <f t="shared" si="23"/>
        <v>1.8211622415686537</v>
      </c>
      <c r="X62" s="941">
        <v>1.8150223813809199</v>
      </c>
      <c r="Y62" s="941">
        <v>1.8582742981410407</v>
      </c>
      <c r="Z62" s="946"/>
    </row>
    <row r="63" spans="1:26" ht="14" customHeight="1" thickBot="1">
      <c r="A63" s="566"/>
      <c r="B63" s="567" t="s">
        <v>418</v>
      </c>
      <c r="C63" s="945">
        <v>1.49</v>
      </c>
      <c r="D63" s="945">
        <v>1.38</v>
      </c>
      <c r="E63" s="945">
        <v>1.38</v>
      </c>
      <c r="F63" s="945">
        <v>1.07</v>
      </c>
      <c r="G63" s="945">
        <v>1.63</v>
      </c>
      <c r="H63" s="945">
        <v>1.71</v>
      </c>
      <c r="I63" s="945">
        <v>1.72</v>
      </c>
      <c r="J63" s="945">
        <v>1.96</v>
      </c>
      <c r="K63" s="945">
        <v>2.08</v>
      </c>
      <c r="L63" s="945">
        <v>1.83</v>
      </c>
      <c r="M63" s="945">
        <v>2.0299999999999998</v>
      </c>
      <c r="N63" s="945">
        <v>2.21</v>
      </c>
      <c r="O63" s="945">
        <v>2.34</v>
      </c>
      <c r="P63" s="945">
        <v>2.5499999999999998</v>
      </c>
      <c r="Q63" s="945">
        <v>2.5</v>
      </c>
      <c r="R63" s="945">
        <v>2.4700000000000002</v>
      </c>
      <c r="S63" s="945">
        <v>2.64</v>
      </c>
      <c r="T63" s="945">
        <v>2.8</v>
      </c>
      <c r="U63" s="945">
        <v>2.92</v>
      </c>
      <c r="V63" s="945">
        <v>3.14</v>
      </c>
      <c r="W63" s="945">
        <v>3.02</v>
      </c>
      <c r="X63" s="945">
        <v>3.105</v>
      </c>
      <c r="Y63" s="945">
        <v>3.1259999999999999</v>
      </c>
      <c r="Z63" s="946"/>
    </row>
    <row r="64" spans="1:26" ht="9" customHeight="1">
      <c r="A64" s="778" t="s">
        <v>402</v>
      </c>
      <c r="B64" s="780"/>
      <c r="C64" s="785"/>
      <c r="D64" s="786" t="s">
        <v>52</v>
      </c>
      <c r="E64" s="785"/>
      <c r="F64" s="786"/>
      <c r="G64" s="785"/>
      <c r="H64" s="786"/>
      <c r="I64" s="785"/>
      <c r="J64" s="785"/>
      <c r="K64" s="785"/>
      <c r="L64" s="787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</row>
    <row r="65" spans="1:25" ht="9" customHeight="1">
      <c r="A65" s="778" t="s">
        <v>419</v>
      </c>
      <c r="B65" s="780"/>
      <c r="C65" s="785"/>
      <c r="D65" s="786"/>
      <c r="E65" s="785"/>
      <c r="F65" s="786"/>
      <c r="G65" s="785"/>
      <c r="H65" s="786"/>
      <c r="I65" s="785"/>
      <c r="J65" s="785"/>
      <c r="K65" s="785"/>
      <c r="L65" s="787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</row>
    <row r="66" spans="1:25" ht="9" customHeight="1">
      <c r="A66" s="778" t="s">
        <v>359</v>
      </c>
      <c r="B66" s="780"/>
      <c r="C66" s="786"/>
      <c r="D66" s="786"/>
      <c r="E66" s="786"/>
      <c r="F66" s="786"/>
      <c r="G66" s="786"/>
      <c r="H66" s="786"/>
      <c r="I66" s="786"/>
      <c r="J66" s="786"/>
      <c r="K66" s="786"/>
      <c r="L66" s="786"/>
    </row>
    <row r="67" spans="1:25" ht="9" customHeight="1">
      <c r="A67" s="780" t="s">
        <v>358</v>
      </c>
      <c r="B67" s="788"/>
      <c r="C67" s="786"/>
      <c r="D67" s="786"/>
      <c r="E67" s="786"/>
      <c r="F67" s="786"/>
      <c r="G67" s="786"/>
      <c r="H67" s="786"/>
      <c r="I67" s="786"/>
      <c r="J67" s="786"/>
      <c r="K67" s="786"/>
      <c r="L67" s="786"/>
    </row>
    <row r="68" spans="1:25" ht="13.25" customHeight="1">
      <c r="A68" s="11"/>
    </row>
    <row r="71" spans="1:25" ht="13.25" customHeight="1"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</row>
  </sheetData>
  <mergeCells count="1">
    <mergeCell ref="A3:V3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rowBreaks count="1" manualBreakCount="1">
    <brk id="35" max="2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9" tint="0.59999389629810485"/>
  </sheetPr>
  <dimension ref="A2:AB82"/>
  <sheetViews>
    <sheetView showGridLines="0" zoomScaleNormal="100" workbookViewId="0">
      <selection activeCell="L58" sqref="L58"/>
    </sheetView>
  </sheetViews>
  <sheetFormatPr baseColWidth="10" defaultColWidth="7" defaultRowHeight="13.25" customHeight="1"/>
  <cols>
    <col min="1" max="1" width="10.3984375" style="73" customWidth="1"/>
    <col min="2" max="2" width="17.59765625" style="73" customWidth="1"/>
    <col min="3" max="3" width="9.59765625" style="73" customWidth="1"/>
    <col min="4" max="15" width="8" style="73" customWidth="1"/>
    <col min="16" max="16" width="7.59765625" style="73" bestFit="1" customWidth="1"/>
    <col min="17" max="16384" width="7" style="73"/>
  </cols>
  <sheetData>
    <row r="2" spans="1:28" ht="17" customHeight="1">
      <c r="A2" s="196" t="s">
        <v>478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28" ht="5" customHeight="1" thickBo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28" ht="22.25" customHeight="1">
      <c r="A4" s="547" t="s">
        <v>404</v>
      </c>
      <c r="B4" s="548" t="s">
        <v>53</v>
      </c>
      <c r="C4" s="548" t="s">
        <v>54</v>
      </c>
      <c r="D4" s="548" t="s">
        <v>55</v>
      </c>
      <c r="E4" s="548" t="s">
        <v>56</v>
      </c>
      <c r="F4" s="548" t="s">
        <v>57</v>
      </c>
      <c r="G4" s="548" t="s">
        <v>58</v>
      </c>
      <c r="H4" s="548" t="s">
        <v>59</v>
      </c>
      <c r="I4" s="548" t="s">
        <v>60</v>
      </c>
      <c r="J4" s="548" t="s">
        <v>61</v>
      </c>
      <c r="K4" s="548" t="s">
        <v>62</v>
      </c>
      <c r="L4" s="548" t="s">
        <v>63</v>
      </c>
      <c r="M4" s="548" t="s">
        <v>64</v>
      </c>
      <c r="N4" s="548" t="s">
        <v>65</v>
      </c>
      <c r="O4" s="548" t="s">
        <v>66</v>
      </c>
    </row>
    <row r="5" spans="1:28" ht="13.25" customHeight="1">
      <c r="A5" s="957" t="s">
        <v>67</v>
      </c>
      <c r="B5" s="194" t="s">
        <v>396</v>
      </c>
      <c r="C5" s="515">
        <v>190881860</v>
      </c>
      <c r="D5" s="106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</row>
    <row r="6" spans="1:28" ht="13.25" customHeight="1">
      <c r="A6" s="958"/>
      <c r="B6" s="194" t="s">
        <v>213</v>
      </c>
      <c r="C6" s="515">
        <f>SUM(D6:O6)</f>
        <v>803595898</v>
      </c>
      <c r="D6" s="77">
        <v>66377012</v>
      </c>
      <c r="E6" s="77">
        <v>60480380</v>
      </c>
      <c r="F6" s="77">
        <v>66024663</v>
      </c>
      <c r="G6" s="77">
        <v>67529174</v>
      </c>
      <c r="H6" s="77">
        <v>68590397</v>
      </c>
      <c r="I6" s="77">
        <v>68337709</v>
      </c>
      <c r="J6" s="77">
        <v>69734316</v>
      </c>
      <c r="K6" s="77">
        <v>67443759</v>
      </c>
      <c r="L6" s="77">
        <v>67736744</v>
      </c>
      <c r="M6" s="77">
        <v>67949255</v>
      </c>
      <c r="N6" s="77">
        <v>64848868</v>
      </c>
      <c r="O6" s="77">
        <v>68543621</v>
      </c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</row>
    <row r="7" spans="1:28" ht="13.25" customHeight="1">
      <c r="A7" s="958"/>
      <c r="B7" s="194" t="s">
        <v>449</v>
      </c>
      <c r="C7" s="515">
        <v>1801776.2924394486</v>
      </c>
      <c r="D7" s="77">
        <v>146431.12757744844</v>
      </c>
      <c r="E7" s="77">
        <v>131107.86519050648</v>
      </c>
      <c r="F7" s="77">
        <v>147136.25058355171</v>
      </c>
      <c r="G7" s="77">
        <v>150880.19532028769</v>
      </c>
      <c r="H7" s="77">
        <v>152011.06011120271</v>
      </c>
      <c r="I7" s="77">
        <v>150727.80503906647</v>
      </c>
      <c r="J7" s="77">
        <v>156985.21369251105</v>
      </c>
      <c r="K7" s="77">
        <v>152344.35685261677</v>
      </c>
      <c r="L7" s="77">
        <v>151414.16315129865</v>
      </c>
      <c r="M7" s="77">
        <v>154949.67099684678</v>
      </c>
      <c r="N7" s="77">
        <v>149045.6740997865</v>
      </c>
      <c r="O7" s="77">
        <v>158742.90982432518</v>
      </c>
    </row>
    <row r="8" spans="1:28" ht="13.25" customHeight="1">
      <c r="A8" s="958"/>
      <c r="B8" s="194" t="s">
        <v>440</v>
      </c>
      <c r="C8" s="516">
        <v>2.2421422193795992</v>
      </c>
      <c r="D8" s="78">
        <v>2.2060518007028995</v>
      </c>
      <c r="E8" s="78">
        <v>2.1677751467279003</v>
      </c>
      <c r="F8" s="78">
        <v>2.2285043639891713</v>
      </c>
      <c r="G8" s="78">
        <v>2.2342964881599157</v>
      </c>
      <c r="H8" s="78">
        <v>2.2162148938175981</v>
      </c>
      <c r="I8" s="78">
        <v>2.2056315362734233</v>
      </c>
      <c r="J8" s="78">
        <v>2.2511902726526207</v>
      </c>
      <c r="K8" s="78">
        <v>2.2588354868176168</v>
      </c>
      <c r="L8" s="78">
        <v>2.2353327570679986</v>
      </c>
      <c r="M8" s="78">
        <v>2.2803733750881889</v>
      </c>
      <c r="N8" s="78">
        <v>2.2983542761521498</v>
      </c>
      <c r="O8" s="78">
        <v>2.3159399402685721</v>
      </c>
    </row>
    <row r="9" spans="1:28" ht="13.25" customHeight="1">
      <c r="A9" s="960"/>
      <c r="B9" s="947" t="s">
        <v>635</v>
      </c>
      <c r="C9" s="551">
        <v>6.3343636052898207</v>
      </c>
      <c r="D9" s="192">
        <v>6.0021788199475452</v>
      </c>
      <c r="E9" s="192">
        <v>6.0061511754254919</v>
      </c>
      <c r="F9" s="192">
        <v>6.1347818071472782</v>
      </c>
      <c r="G9" s="192">
        <v>6.0884385412658979</v>
      </c>
      <c r="H9" s="192">
        <v>6.1218922244993941</v>
      </c>
      <c r="I9" s="192">
        <v>6.1932539826329194</v>
      </c>
      <c r="J9" s="192">
        <v>6.2596831375991924</v>
      </c>
      <c r="K9" s="192">
        <v>6.7462981658810701</v>
      </c>
      <c r="L9" s="192">
        <v>6.5778865339536763</v>
      </c>
      <c r="M9" s="192">
        <v>6.5660341317643445</v>
      </c>
      <c r="N9" s="192">
        <v>6.6073792854034279</v>
      </c>
      <c r="O9" s="192">
        <v>6.631809529139951</v>
      </c>
    </row>
    <row r="10" spans="1:28" ht="13.25" customHeight="1">
      <c r="A10" s="957" t="s">
        <v>5</v>
      </c>
      <c r="B10" s="194" t="s">
        <v>396</v>
      </c>
      <c r="C10" s="515">
        <v>11210726</v>
      </c>
      <c r="D10" s="106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</row>
    <row r="11" spans="1:28" ht="13.25" customHeight="1">
      <c r="A11" s="958"/>
      <c r="B11" s="194" t="s">
        <v>213</v>
      </c>
      <c r="C11" s="515">
        <v>2592724.6211208445</v>
      </c>
      <c r="D11" s="77">
        <v>189954</v>
      </c>
      <c r="E11" s="77">
        <v>196382.13524103002</v>
      </c>
      <c r="F11" s="77">
        <v>208932.58065067121</v>
      </c>
      <c r="G11" s="77">
        <v>228935.22606031242</v>
      </c>
      <c r="H11" s="77">
        <v>238453.27146995359</v>
      </c>
      <c r="I11" s="77">
        <v>242863.40769887721</v>
      </c>
      <c r="J11" s="77">
        <v>235865</v>
      </c>
      <c r="K11" s="77">
        <v>229522</v>
      </c>
      <c r="L11" s="77">
        <v>213762</v>
      </c>
      <c r="M11" s="77">
        <v>201342</v>
      </c>
      <c r="N11" s="77">
        <v>202521</v>
      </c>
      <c r="O11" s="77">
        <v>204192</v>
      </c>
    </row>
    <row r="12" spans="1:28" ht="13.25" customHeight="1">
      <c r="A12" s="958"/>
      <c r="B12" s="194" t="s">
        <v>449</v>
      </c>
      <c r="C12" s="515">
        <v>33536.323712606136</v>
      </c>
      <c r="D12" s="77">
        <v>2407.4043091616149</v>
      </c>
      <c r="E12" s="77">
        <v>2542.7822445687311</v>
      </c>
      <c r="F12" s="77">
        <v>2684.9783209077455</v>
      </c>
      <c r="G12" s="77">
        <v>3024.4230794126938</v>
      </c>
      <c r="H12" s="77">
        <v>3157.0433572705892</v>
      </c>
      <c r="I12" s="77">
        <v>3216.225874677436</v>
      </c>
      <c r="J12" s="77">
        <v>3074.3301361470021</v>
      </c>
      <c r="K12" s="77">
        <v>2947.7969079595205</v>
      </c>
      <c r="L12" s="77">
        <v>2755.9238739749094</v>
      </c>
      <c r="M12" s="77">
        <v>2577.4452489346404</v>
      </c>
      <c r="N12" s="77">
        <v>2572.0362006533892</v>
      </c>
      <c r="O12" s="77">
        <v>2575.934158937861</v>
      </c>
    </row>
    <row r="13" spans="1:28" ht="13.25" customHeight="1">
      <c r="A13" s="958"/>
      <c r="B13" s="194" t="s">
        <v>440</v>
      </c>
      <c r="C13" s="552">
        <v>12.934780438852878</v>
      </c>
      <c r="D13" s="106">
        <v>12.673617345049934</v>
      </c>
      <c r="E13" s="106">
        <v>12.948134215201613</v>
      </c>
      <c r="F13" s="106">
        <v>12.850931685934354</v>
      </c>
      <c r="G13" s="106">
        <v>13.2108244391185</v>
      </c>
      <c r="H13" s="106">
        <v>13.239673072249687</v>
      </c>
      <c r="I13" s="106">
        <v>13.242941393069751</v>
      </c>
      <c r="J13" s="106">
        <v>13.034278660025871</v>
      </c>
      <c r="K13" s="106">
        <v>12.843199815091889</v>
      </c>
      <c r="L13" s="106">
        <v>12.892487317553678</v>
      </c>
      <c r="M13" s="106">
        <v>12.801329324903103</v>
      </c>
      <c r="N13" s="106">
        <v>12.700096289537328</v>
      </c>
      <c r="O13" s="106">
        <v>12.615255048865093</v>
      </c>
    </row>
    <row r="14" spans="1:28" ht="13.25" customHeight="1">
      <c r="A14" s="960"/>
      <c r="B14" s="947" t="s">
        <v>635</v>
      </c>
      <c r="C14" s="551">
        <v>5.6052863166366027</v>
      </c>
      <c r="D14" s="192">
        <v>5.5980408185289354</v>
      </c>
      <c r="E14" s="192">
        <v>5.5859423845157226</v>
      </c>
      <c r="F14" s="192">
        <v>5.600449319939365</v>
      </c>
      <c r="G14" s="192">
        <v>5.6104480337838423</v>
      </c>
      <c r="H14" s="192">
        <v>5.6182961199330093</v>
      </c>
      <c r="I14" s="192">
        <v>5.6084097390848306</v>
      </c>
      <c r="J14" s="192">
        <v>5.618950866753095</v>
      </c>
      <c r="K14" s="192">
        <v>5.6134137783647704</v>
      </c>
      <c r="L14" s="192">
        <v>5.6027791487259897</v>
      </c>
      <c r="M14" s="192">
        <v>5.5956802987029253</v>
      </c>
      <c r="N14" s="192">
        <v>5.5955220388897935</v>
      </c>
      <c r="O14" s="192">
        <v>5.6067239699908793</v>
      </c>
    </row>
    <row r="15" spans="1:28" ht="13.25" customHeight="1">
      <c r="A15" s="957" t="s">
        <v>68</v>
      </c>
      <c r="B15" s="194" t="s">
        <v>396</v>
      </c>
      <c r="C15" s="515">
        <v>3455036</v>
      </c>
      <c r="D15" s="106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</row>
    <row r="16" spans="1:28" ht="13.25" customHeight="1">
      <c r="A16" s="958"/>
      <c r="B16" s="194" t="s">
        <v>213</v>
      </c>
      <c r="C16" s="515">
        <v>3458391.6204906497</v>
      </c>
      <c r="D16" s="77">
        <v>271415</v>
      </c>
      <c r="E16" s="77">
        <v>271491.05283846997</v>
      </c>
      <c r="F16" s="77">
        <v>270029.34759829997</v>
      </c>
      <c r="G16" s="77">
        <v>282603.18235813</v>
      </c>
      <c r="H16" s="77">
        <v>284151.36581796</v>
      </c>
      <c r="I16" s="77">
        <v>291121.85187779</v>
      </c>
      <c r="J16" s="77">
        <v>305107</v>
      </c>
      <c r="K16" s="77">
        <v>294984</v>
      </c>
      <c r="L16" s="77">
        <v>286859</v>
      </c>
      <c r="M16" s="77">
        <v>287461</v>
      </c>
      <c r="N16" s="77">
        <v>286011</v>
      </c>
      <c r="O16" s="77">
        <v>327157.82</v>
      </c>
    </row>
    <row r="17" spans="1:15" ht="13.25" customHeight="1">
      <c r="A17" s="958"/>
      <c r="B17" s="194" t="s">
        <v>449</v>
      </c>
      <c r="C17" s="515">
        <v>181404.62551147601</v>
      </c>
      <c r="D17" s="77">
        <v>14536.363478208534</v>
      </c>
      <c r="E17" s="77">
        <v>14456.601604732043</v>
      </c>
      <c r="F17" s="77">
        <v>14261.331738915116</v>
      </c>
      <c r="G17" s="77">
        <v>14769.845324090895</v>
      </c>
      <c r="H17" s="77">
        <v>14736.40773721909</v>
      </c>
      <c r="I17" s="77">
        <v>15190.085837680648</v>
      </c>
      <c r="J17" s="77">
        <v>16193.701468495943</v>
      </c>
      <c r="K17" s="77">
        <v>15776.927653052913</v>
      </c>
      <c r="L17" s="77">
        <v>15096.370566762793</v>
      </c>
      <c r="M17" s="77">
        <v>14286.663211677638</v>
      </c>
      <c r="N17" s="77">
        <v>14943.10298209201</v>
      </c>
      <c r="O17" s="77">
        <v>17157.223908548418</v>
      </c>
    </row>
    <row r="18" spans="1:15" ht="13.25" customHeight="1">
      <c r="A18" s="958"/>
      <c r="B18" s="194" t="s">
        <v>440</v>
      </c>
      <c r="C18" s="552">
        <v>52.453465488601815</v>
      </c>
      <c r="D18" s="106">
        <v>53.557701225829575</v>
      </c>
      <c r="E18" s="106">
        <v>53.248906192622634</v>
      </c>
      <c r="F18" s="106">
        <v>52.814006572835574</v>
      </c>
      <c r="G18" s="106">
        <v>52.263549195895997</v>
      </c>
      <c r="H18" s="106">
        <v>51.86111879067964</v>
      </c>
      <c r="I18" s="106">
        <v>52.177759036986657</v>
      </c>
      <c r="J18" s="106">
        <v>53.075483251763949</v>
      </c>
      <c r="K18" s="106">
        <v>53.484011516058203</v>
      </c>
      <c r="L18" s="106">
        <v>52.626449115289368</v>
      </c>
      <c r="M18" s="106">
        <v>49.699483448807449</v>
      </c>
      <c r="N18" s="106">
        <v>52.246602340791128</v>
      </c>
      <c r="O18" s="106">
        <v>52.443263953001086</v>
      </c>
    </row>
    <row r="19" spans="1:15" ht="13.25" customHeight="1">
      <c r="A19" s="960"/>
      <c r="B19" s="947" t="s">
        <v>635</v>
      </c>
      <c r="C19" s="551">
        <v>7.0493241241587459</v>
      </c>
      <c r="D19" s="192">
        <v>7.0064974002526244</v>
      </c>
      <c r="E19" s="192">
        <v>6.9757612801304285</v>
      </c>
      <c r="F19" s="192">
        <v>6.9872110656071031</v>
      </c>
      <c r="G19" s="192">
        <v>7.0128259890562017</v>
      </c>
      <c r="H19" s="192">
        <v>7.0216905704611383</v>
      </c>
      <c r="I19" s="192">
        <v>7.0084984601853968</v>
      </c>
      <c r="J19" s="192">
        <v>7.0208228266980992</v>
      </c>
      <c r="K19" s="192">
        <v>7.066254273800638</v>
      </c>
      <c r="L19" s="192">
        <v>7.0827052301232101</v>
      </c>
      <c r="M19" s="192">
        <v>7.0931738132737534</v>
      </c>
      <c r="N19" s="192">
        <v>7.1301742758353388</v>
      </c>
      <c r="O19" s="192">
        <v>7.1655520926792384</v>
      </c>
    </row>
    <row r="20" spans="1:15" ht="13.25" customHeight="1">
      <c r="A20" s="957" t="s">
        <v>69</v>
      </c>
      <c r="B20" s="194" t="s">
        <v>396</v>
      </c>
      <c r="C20" s="515">
        <v>5862308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</row>
    <row r="21" spans="1:15" ht="13.25" customHeight="1">
      <c r="A21" s="958"/>
      <c r="B21" s="194" t="s">
        <v>213</v>
      </c>
      <c r="C21" s="515">
        <v>1316220.0994654137</v>
      </c>
      <c r="D21" s="106">
        <v>100113.88655837759</v>
      </c>
      <c r="E21" s="77">
        <v>104087.95659432985</v>
      </c>
      <c r="F21" s="77">
        <v>106590.41077162063</v>
      </c>
      <c r="G21" s="77">
        <v>114899.5368524918</v>
      </c>
      <c r="H21" s="77">
        <v>117706.3345136952</v>
      </c>
      <c r="I21" s="77">
        <v>117508.13217489861</v>
      </c>
      <c r="J21" s="77">
        <v>117146</v>
      </c>
      <c r="K21" s="77">
        <v>111251.842</v>
      </c>
      <c r="L21" s="77">
        <v>108055</v>
      </c>
      <c r="M21" s="77">
        <v>104504</v>
      </c>
      <c r="N21" s="77">
        <v>106854</v>
      </c>
      <c r="O21" s="77">
        <v>107503</v>
      </c>
    </row>
    <row r="22" spans="1:15" ht="13.25" customHeight="1">
      <c r="A22" s="958"/>
      <c r="B22" s="194" t="s">
        <v>449</v>
      </c>
      <c r="C22" s="515">
        <v>192718.40159928048</v>
      </c>
      <c r="D22" s="77">
        <v>14509.695056739245</v>
      </c>
      <c r="E22" s="77">
        <v>15190.224474543998</v>
      </c>
      <c r="F22" s="77">
        <v>15477.212703876852</v>
      </c>
      <c r="G22" s="77">
        <v>16865.215911820906</v>
      </c>
      <c r="H22" s="77">
        <v>17391.826725216131</v>
      </c>
      <c r="I22" s="77">
        <v>17247.441233163223</v>
      </c>
      <c r="J22" s="77">
        <v>17011.98268426205</v>
      </c>
      <c r="K22" s="77">
        <v>16407.356519481553</v>
      </c>
      <c r="L22" s="77">
        <v>15977.758023007462</v>
      </c>
      <c r="M22" s="77">
        <v>15305.718599774136</v>
      </c>
      <c r="N22" s="77">
        <v>15672.573669931178</v>
      </c>
      <c r="O22" s="77">
        <v>15661.395997463727</v>
      </c>
    </row>
    <row r="23" spans="1:15" ht="13.25" customHeight="1">
      <c r="A23" s="958"/>
      <c r="B23" s="194" t="s">
        <v>440</v>
      </c>
      <c r="C23" s="552">
        <v>146.41806615592145</v>
      </c>
      <c r="D23" s="106">
        <v>144.93189262289275</v>
      </c>
      <c r="E23" s="106">
        <v>145.93642695615642</v>
      </c>
      <c r="F23" s="106">
        <v>145.20267434786555</v>
      </c>
      <c r="G23" s="106">
        <v>146.78227931825779</v>
      </c>
      <c r="H23" s="106">
        <v>147.75608124295624</v>
      </c>
      <c r="I23" s="106">
        <v>146.77657549259828</v>
      </c>
      <c r="J23" s="106">
        <v>145.22034627099558</v>
      </c>
      <c r="K23" s="106">
        <v>147.47941449348366</v>
      </c>
      <c r="L23" s="106">
        <v>147.86690132809647</v>
      </c>
      <c r="M23" s="106">
        <v>146.46060054901378</v>
      </c>
      <c r="N23" s="106">
        <v>146.67278407856682</v>
      </c>
      <c r="O23" s="106">
        <v>145.68333904601477</v>
      </c>
    </row>
    <row r="24" spans="1:15" ht="13.25" customHeight="1">
      <c r="A24" s="960"/>
      <c r="B24" s="947" t="s">
        <v>635</v>
      </c>
      <c r="C24" s="551">
        <v>5.9201285411419988</v>
      </c>
      <c r="D24" s="192">
        <v>5.8872542860068</v>
      </c>
      <c r="E24" s="192">
        <v>5.8871098590525568</v>
      </c>
      <c r="F24" s="192">
        <v>5.8970411942929415</v>
      </c>
      <c r="G24" s="192">
        <v>5.9096040585084415</v>
      </c>
      <c r="H24" s="192">
        <v>5.9211029001943363</v>
      </c>
      <c r="I24" s="192">
        <v>5.9155304237628963</v>
      </c>
      <c r="J24" s="192">
        <v>5.9328641747125515</v>
      </c>
      <c r="K24" s="192">
        <v>5.9213169061740301</v>
      </c>
      <c r="L24" s="192">
        <v>5.9291911224059728</v>
      </c>
      <c r="M24" s="192">
        <v>5.9375045268328153</v>
      </c>
      <c r="N24" s="192">
        <v>5.9472293095979056</v>
      </c>
      <c r="O24" s="192">
        <v>5.9523156565790147</v>
      </c>
    </row>
    <row r="25" spans="1:15" ht="13.25" customHeight="1">
      <c r="A25" s="957" t="s">
        <v>70</v>
      </c>
      <c r="B25" s="194" t="s">
        <v>396</v>
      </c>
      <c r="C25" s="515">
        <v>1767615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</row>
    <row r="26" spans="1:15" ht="13.25" customHeight="1">
      <c r="A26" s="958"/>
      <c r="B26" s="194" t="s">
        <v>213</v>
      </c>
      <c r="C26" s="515">
        <v>390293.70708259498</v>
      </c>
      <c r="D26" s="106">
        <v>29934.803450821601</v>
      </c>
      <c r="E26" s="77">
        <v>30296.295261272498</v>
      </c>
      <c r="F26" s="77">
        <v>31791.7870717234</v>
      </c>
      <c r="G26" s="77">
        <v>32187.678882174303</v>
      </c>
      <c r="H26" s="77">
        <v>33167.770692625199</v>
      </c>
      <c r="I26" s="77">
        <v>34798.2461239779</v>
      </c>
      <c r="J26" s="77">
        <v>35353</v>
      </c>
      <c r="K26" s="77">
        <v>33957</v>
      </c>
      <c r="L26" s="77">
        <v>31283</v>
      </c>
      <c r="M26" s="77">
        <v>30444</v>
      </c>
      <c r="N26" s="77">
        <v>30478.125599999999</v>
      </c>
      <c r="O26" s="77">
        <v>36602</v>
      </c>
    </row>
    <row r="27" spans="1:15" ht="13.25" customHeight="1">
      <c r="A27" s="958"/>
      <c r="B27" s="194" t="s">
        <v>449</v>
      </c>
      <c r="C27" s="515">
        <v>4929.2537648500156</v>
      </c>
      <c r="D27" s="77">
        <v>381.91517697342141</v>
      </c>
      <c r="E27" s="77">
        <v>387.16092024603705</v>
      </c>
      <c r="F27" s="77">
        <v>415.86226013061491</v>
      </c>
      <c r="G27" s="77">
        <v>417.51471213625155</v>
      </c>
      <c r="H27" s="77">
        <v>437.23277698360158</v>
      </c>
      <c r="I27" s="77">
        <v>452.45865433616433</v>
      </c>
      <c r="J27" s="77">
        <v>444.16644962445929</v>
      </c>
      <c r="K27" s="77">
        <v>428.27872607663761</v>
      </c>
      <c r="L27" s="77">
        <v>389.7170261500537</v>
      </c>
      <c r="M27" s="77">
        <v>380.34775151927278</v>
      </c>
      <c r="N27" s="77">
        <v>381.00111769771371</v>
      </c>
      <c r="O27" s="77">
        <v>413.59819297578758</v>
      </c>
    </row>
    <row r="28" spans="1:15" ht="13.25" customHeight="1">
      <c r="A28" s="958"/>
      <c r="B28" s="194" t="s">
        <v>440</v>
      </c>
      <c r="C28" s="552">
        <v>12.629600927198332</v>
      </c>
      <c r="D28" s="106">
        <v>12.758232323150237</v>
      </c>
      <c r="E28" s="106">
        <v>12.779150615849113</v>
      </c>
      <c r="F28" s="106">
        <v>13.080807920373111</v>
      </c>
      <c r="G28" s="106">
        <v>12.971258774657196</v>
      </c>
      <c r="H28" s="106">
        <v>13.182458991156121</v>
      </c>
      <c r="I28" s="106">
        <v>13.002340770973381</v>
      </c>
      <c r="J28" s="106">
        <v>12.56375554053289</v>
      </c>
      <c r="K28" s="106">
        <v>12.612384076232813</v>
      </c>
      <c r="L28" s="106">
        <v>12.457789411183509</v>
      </c>
      <c r="M28" s="106">
        <v>12.493356704745525</v>
      </c>
      <c r="N28" s="106">
        <v>12.500805420190069</v>
      </c>
      <c r="O28" s="106">
        <v>11.299879596081842</v>
      </c>
    </row>
    <row r="29" spans="1:15" ht="13.25" customHeight="1">
      <c r="A29" s="960"/>
      <c r="B29" s="947" t="s">
        <v>635</v>
      </c>
      <c r="C29" s="551">
        <v>4.8097141509560544</v>
      </c>
      <c r="D29" s="192">
        <v>4.8161970817176387</v>
      </c>
      <c r="E29" s="192">
        <v>4.8209734747577899</v>
      </c>
      <c r="F29" s="192">
        <v>4.816912718606523</v>
      </c>
      <c r="G29" s="192">
        <v>4.7974071043149538</v>
      </c>
      <c r="H29" s="192">
        <v>4.7946613810624079</v>
      </c>
      <c r="I29" s="192">
        <v>4.8088737299599655</v>
      </c>
      <c r="J29" s="192">
        <v>4.8109263062619103</v>
      </c>
      <c r="K29" s="192">
        <v>4.8081192881179593</v>
      </c>
      <c r="L29" s="192">
        <v>4.8040388479035174</v>
      </c>
      <c r="M29" s="192">
        <v>4.7997228846874691</v>
      </c>
      <c r="N29" s="192">
        <v>4.808587300803957</v>
      </c>
      <c r="O29" s="192">
        <v>4.831129565859051</v>
      </c>
    </row>
    <row r="30" spans="1:15" ht="13.25" customHeight="1">
      <c r="A30" s="957" t="s">
        <v>71</v>
      </c>
      <c r="B30" s="194" t="s">
        <v>396</v>
      </c>
      <c r="C30" s="515">
        <v>4533927</v>
      </c>
      <c r="D30" s="106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</row>
    <row r="31" spans="1:15" ht="13.25" customHeight="1">
      <c r="A31" s="958"/>
      <c r="B31" s="194" t="s">
        <v>213</v>
      </c>
      <c r="C31" s="515">
        <v>476209.91432960896</v>
      </c>
      <c r="D31" s="77">
        <v>32140</v>
      </c>
      <c r="E31" s="77">
        <v>37900</v>
      </c>
      <c r="F31" s="77">
        <v>40260</v>
      </c>
      <c r="G31" s="77">
        <v>47341</v>
      </c>
      <c r="H31" s="77">
        <v>46975</v>
      </c>
      <c r="I31" s="77">
        <v>46898.059000000001</v>
      </c>
      <c r="J31" s="77">
        <v>45725.279329608937</v>
      </c>
      <c r="K31" s="77">
        <v>41879.423999999999</v>
      </c>
      <c r="L31" s="77">
        <v>37194.152000000002</v>
      </c>
      <c r="M31" s="77">
        <v>34577</v>
      </c>
      <c r="N31" s="77">
        <v>34102</v>
      </c>
      <c r="O31" s="77">
        <v>31218</v>
      </c>
    </row>
    <row r="32" spans="1:15" ht="13.25" customHeight="1">
      <c r="A32" s="958"/>
      <c r="B32" s="194" t="s">
        <v>449</v>
      </c>
      <c r="C32" s="515">
        <v>12753.737180790733</v>
      </c>
      <c r="D32" s="77">
        <v>848.56849050000005</v>
      </c>
      <c r="E32" s="77">
        <v>1014.8799289999999</v>
      </c>
      <c r="F32" s="77">
        <v>1088.2448742279998</v>
      </c>
      <c r="G32" s="77">
        <v>1296.6600305000002</v>
      </c>
      <c r="H32" s="77">
        <v>1285.81883143</v>
      </c>
      <c r="I32" s="77">
        <v>1277.2101386290103</v>
      </c>
      <c r="J32" s="77">
        <v>1235.1620450988112</v>
      </c>
      <c r="K32" s="77">
        <v>1120.1873890602499</v>
      </c>
      <c r="L32" s="77">
        <v>984.88258910427794</v>
      </c>
      <c r="M32" s="77">
        <v>912.03901338587798</v>
      </c>
      <c r="N32" s="77">
        <v>891.31240335513212</v>
      </c>
      <c r="O32" s="77">
        <v>798.77144649937418</v>
      </c>
    </row>
    <row r="33" spans="1:16" ht="13.25" customHeight="1">
      <c r="A33" s="958"/>
      <c r="B33" s="194" t="s">
        <v>440</v>
      </c>
      <c r="C33" s="552">
        <v>26.781754845959014</v>
      </c>
      <c r="D33" s="106">
        <v>26.402255460485378</v>
      </c>
      <c r="E33" s="106">
        <v>26.777834538258574</v>
      </c>
      <c r="F33" s="106">
        <v>27.03042409905613</v>
      </c>
      <c r="G33" s="106">
        <v>27.389789622103468</v>
      </c>
      <c r="H33" s="106">
        <v>27.372407268334221</v>
      </c>
      <c r="I33" s="106">
        <v>27.233752651234678</v>
      </c>
      <c r="J33" s="106">
        <v>27.01267358467496</v>
      </c>
      <c r="K33" s="106">
        <v>26.747917761721123</v>
      </c>
      <c r="L33" s="106">
        <v>26.479501108246208</v>
      </c>
      <c r="M33" s="106">
        <v>26.377042929863144</v>
      </c>
      <c r="N33" s="106">
        <v>26.136660704801248</v>
      </c>
      <c r="O33" s="106">
        <v>25.586887260534763</v>
      </c>
    </row>
    <row r="34" spans="1:16" ht="13.25" customHeight="1">
      <c r="A34" s="960"/>
      <c r="B34" s="947" t="s">
        <v>635</v>
      </c>
      <c r="C34" s="551">
        <v>4.8435648702773229</v>
      </c>
      <c r="D34" s="192">
        <v>4.771103513209578</v>
      </c>
      <c r="E34" s="192">
        <v>4.8235348136045371</v>
      </c>
      <c r="F34" s="192">
        <v>4.8441186933631686</v>
      </c>
      <c r="G34" s="192">
        <v>4.8988963882314245</v>
      </c>
      <c r="H34" s="192">
        <v>4.8799992423554963</v>
      </c>
      <c r="I34" s="192">
        <v>4.8806585001149569</v>
      </c>
      <c r="J34" s="192">
        <v>4.8751026934864852</v>
      </c>
      <c r="K34" s="192">
        <v>4.8629163332193963</v>
      </c>
      <c r="L34" s="192">
        <v>4.8446171122211013</v>
      </c>
      <c r="M34" s="192">
        <v>4.8293133924938658</v>
      </c>
      <c r="N34" s="192">
        <v>4.8018118232770055</v>
      </c>
      <c r="O34" s="192">
        <v>4.7231152628276352</v>
      </c>
      <c r="P34" s="108"/>
    </row>
    <row r="35" spans="1:16" ht="13.25" customHeight="1">
      <c r="A35" s="193"/>
      <c r="B35" s="194"/>
      <c r="C35" s="195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83" t="s">
        <v>226</v>
      </c>
      <c r="P35" s="108"/>
    </row>
    <row r="36" spans="1:16" ht="15" customHeight="1" thickBot="1">
      <c r="A36" s="186" t="s">
        <v>227</v>
      </c>
      <c r="B36" s="194"/>
      <c r="C36" s="195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</row>
    <row r="37" spans="1:16" ht="22.25" customHeight="1">
      <c r="A37" s="547" t="s">
        <v>404</v>
      </c>
      <c r="B37" s="548" t="s">
        <v>53</v>
      </c>
      <c r="C37" s="548" t="s">
        <v>54</v>
      </c>
      <c r="D37" s="548" t="s">
        <v>55</v>
      </c>
      <c r="E37" s="548" t="s">
        <v>56</v>
      </c>
      <c r="F37" s="548" t="s">
        <v>57</v>
      </c>
      <c r="G37" s="548" t="s">
        <v>58</v>
      </c>
      <c r="H37" s="548" t="s">
        <v>59</v>
      </c>
      <c r="I37" s="548" t="s">
        <v>60</v>
      </c>
      <c r="J37" s="548" t="s">
        <v>61</v>
      </c>
      <c r="K37" s="548" t="s">
        <v>62</v>
      </c>
      <c r="L37" s="548" t="s">
        <v>63</v>
      </c>
      <c r="M37" s="548" t="s">
        <v>64</v>
      </c>
      <c r="N37" s="548" t="s">
        <v>65</v>
      </c>
      <c r="O37" s="548" t="s">
        <v>66</v>
      </c>
      <c r="P37" s="108"/>
    </row>
    <row r="38" spans="1:16" ht="13.25" customHeight="1">
      <c r="A38" s="957" t="s">
        <v>72</v>
      </c>
      <c r="B38" s="194" t="s">
        <v>396</v>
      </c>
      <c r="C38" s="515">
        <v>1069412</v>
      </c>
      <c r="D38" s="106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</row>
    <row r="39" spans="1:16" ht="13.25" customHeight="1">
      <c r="A39" s="958"/>
      <c r="B39" s="194" t="s">
        <v>213</v>
      </c>
      <c r="C39" s="515">
        <v>118241.3</v>
      </c>
      <c r="D39" s="77">
        <v>8448</v>
      </c>
      <c r="E39" s="77">
        <v>9100</v>
      </c>
      <c r="F39" s="77">
        <v>9751</v>
      </c>
      <c r="G39" s="77">
        <v>10950.3</v>
      </c>
      <c r="H39" s="77">
        <v>11054</v>
      </c>
      <c r="I39" s="77">
        <v>11312</v>
      </c>
      <c r="J39" s="77">
        <v>10860</v>
      </c>
      <c r="K39" s="77">
        <v>10001</v>
      </c>
      <c r="L39" s="77">
        <v>9557</v>
      </c>
      <c r="M39" s="77">
        <v>8849</v>
      </c>
      <c r="N39" s="77">
        <v>8912</v>
      </c>
      <c r="O39" s="77">
        <v>9447</v>
      </c>
    </row>
    <row r="40" spans="1:16" ht="13.25" customHeight="1">
      <c r="A40" s="958"/>
      <c r="B40" s="194" t="s">
        <v>449</v>
      </c>
      <c r="C40" s="515">
        <v>3971.3008508293774</v>
      </c>
      <c r="D40" s="77">
        <v>281.42237999999998</v>
      </c>
      <c r="E40" s="77">
        <v>309.09728199999995</v>
      </c>
      <c r="F40" s="77">
        <v>331.07647249999991</v>
      </c>
      <c r="G40" s="77">
        <v>380.93156349999992</v>
      </c>
      <c r="H40" s="77">
        <v>379.92827524999996</v>
      </c>
      <c r="I40" s="77">
        <v>389.57689066176476</v>
      </c>
      <c r="J40" s="77">
        <v>364.87765404716981</v>
      </c>
      <c r="K40" s="77">
        <v>334.81416213039995</v>
      </c>
      <c r="L40" s="77">
        <v>314.98281681016499</v>
      </c>
      <c r="M40" s="77">
        <v>288.68288330885713</v>
      </c>
      <c r="N40" s="77">
        <v>288.35827617020408</v>
      </c>
      <c r="O40" s="77">
        <v>307.55219445081718</v>
      </c>
    </row>
    <row r="41" spans="1:16" ht="13.25" customHeight="1">
      <c r="A41" s="958"/>
      <c r="B41" s="194" t="s">
        <v>440</v>
      </c>
      <c r="C41" s="552">
        <v>33.586410592824819</v>
      </c>
      <c r="D41" s="106">
        <v>33.312308238636362</v>
      </c>
      <c r="E41" s="106">
        <v>33.966734285714274</v>
      </c>
      <c r="F41" s="106">
        <v>33.953078914983067</v>
      </c>
      <c r="G41" s="106">
        <v>34.78731756207592</v>
      </c>
      <c r="H41" s="106">
        <v>34.370207639768402</v>
      </c>
      <c r="I41" s="106">
        <v>34.439258368260674</v>
      </c>
      <c r="J41" s="106">
        <v>33.59831068574308</v>
      </c>
      <c r="K41" s="106">
        <v>33.47806840619937</v>
      </c>
      <c r="L41" s="106">
        <v>32.958335964231978</v>
      </c>
      <c r="M41" s="106">
        <v>32.623221076828699</v>
      </c>
      <c r="N41" s="106">
        <v>32.356180001144985</v>
      </c>
      <c r="O41" s="106">
        <v>32.555540854325947</v>
      </c>
    </row>
    <row r="42" spans="1:16" ht="13.25" customHeight="1">
      <c r="A42" s="960"/>
      <c r="B42" s="947" t="s">
        <v>635</v>
      </c>
      <c r="C42" s="551">
        <v>3.8636780456729647</v>
      </c>
      <c r="D42" s="192">
        <v>3.8625952088813968</v>
      </c>
      <c r="E42" s="192">
        <v>3.8981125574569111</v>
      </c>
      <c r="F42" s="192">
        <v>3.8958538960964684</v>
      </c>
      <c r="G42" s="192">
        <v>3.9351418790530337</v>
      </c>
      <c r="H42" s="192">
        <v>3.9146752342735778</v>
      </c>
      <c r="I42" s="192">
        <v>3.8989825059855612</v>
      </c>
      <c r="J42" s="192">
        <v>3.8719588838430106</v>
      </c>
      <c r="K42" s="192">
        <v>3.8432288160715355</v>
      </c>
      <c r="L42" s="192">
        <v>3.8341183280099984</v>
      </c>
      <c r="M42" s="192">
        <v>3.8086892541722697</v>
      </c>
      <c r="N42" s="192">
        <v>3.7750392611737476</v>
      </c>
      <c r="O42" s="192">
        <v>3.7766248540022622</v>
      </c>
    </row>
    <row r="43" spans="1:16" ht="13.25" customHeight="1">
      <c r="A43" s="957" t="s">
        <v>223</v>
      </c>
      <c r="B43" s="194" t="s">
        <v>397</v>
      </c>
      <c r="C43" s="515">
        <v>29494581.353924587</v>
      </c>
      <c r="D43" s="77">
        <v>28864976.02115</v>
      </c>
      <c r="E43" s="77">
        <v>29132458.180979993</v>
      </c>
      <c r="F43" s="77">
        <v>29468775.784899995</v>
      </c>
      <c r="G43" s="77">
        <v>29638127.986800004</v>
      </c>
      <c r="H43" s="77">
        <v>29611649.217</v>
      </c>
      <c r="I43" s="77">
        <v>29757926.121740002</v>
      </c>
      <c r="J43" s="77">
        <v>29945328.636250008</v>
      </c>
      <c r="K43" s="77">
        <v>29672794.684749998</v>
      </c>
      <c r="L43" s="77">
        <v>29796084.586100008</v>
      </c>
      <c r="M43" s="77">
        <v>29814929.063612506</v>
      </c>
      <c r="N43" s="77">
        <v>29210401.285512496</v>
      </c>
      <c r="O43" s="77">
        <v>29021524.678299997</v>
      </c>
    </row>
    <row r="44" spans="1:16" ht="13.25" customHeight="1">
      <c r="A44" s="958"/>
      <c r="B44" s="194" t="s">
        <v>450</v>
      </c>
      <c r="C44" s="515">
        <v>510961.5815656925</v>
      </c>
      <c r="D44" s="77">
        <v>42232.333247864015</v>
      </c>
      <c r="E44" s="77">
        <v>42061.923215691</v>
      </c>
      <c r="F44" s="77">
        <v>42047.389795417213</v>
      </c>
      <c r="G44" s="77">
        <v>41901.736678058798</v>
      </c>
      <c r="H44" s="77">
        <v>42049.680864769194</v>
      </c>
      <c r="I44" s="77">
        <v>42216.30900658801</v>
      </c>
      <c r="J44" s="77">
        <v>42529.391327011603</v>
      </c>
      <c r="K44" s="77">
        <v>43085.949596512401</v>
      </c>
      <c r="L44" s="77">
        <v>43061.401343554004</v>
      </c>
      <c r="M44" s="77">
        <v>43021.600047576503</v>
      </c>
      <c r="N44" s="77">
        <v>43304.209894522704</v>
      </c>
      <c r="O44" s="77">
        <v>43449.656548127008</v>
      </c>
    </row>
    <row r="45" spans="1:16" ht="13.25" customHeight="1">
      <c r="A45" s="958"/>
      <c r="B45" s="194" t="s">
        <v>443</v>
      </c>
      <c r="C45" s="552">
        <v>17.323913685511702</v>
      </c>
      <c r="D45" s="78">
        <v>1.4630995437834233</v>
      </c>
      <c r="E45" s="78">
        <v>1.4438164796938557</v>
      </c>
      <c r="F45" s="78">
        <v>1.4268454890129025</v>
      </c>
      <c r="G45" s="78">
        <v>1.4137781136757579</v>
      </c>
      <c r="H45" s="78">
        <v>1.420038463802568</v>
      </c>
      <c r="I45" s="78">
        <v>1.4186576320500504</v>
      </c>
      <c r="J45" s="78">
        <v>1.420234582950213</v>
      </c>
      <c r="K45" s="78">
        <v>1.4520354437209766</v>
      </c>
      <c r="L45" s="78">
        <v>1.4452033527801944</v>
      </c>
      <c r="M45" s="78">
        <v>1.4429549691628152</v>
      </c>
      <c r="N45" s="78">
        <v>1.4824928103949164</v>
      </c>
      <c r="O45" s="78">
        <v>1.4971527867595196</v>
      </c>
    </row>
    <row r="46" spans="1:16" ht="13.25" customHeight="1">
      <c r="A46" s="960"/>
      <c r="B46" s="947" t="s">
        <v>441</v>
      </c>
      <c r="C46" s="551">
        <v>4.6205907162465039</v>
      </c>
      <c r="D46" s="192">
        <v>4.2051224560746174</v>
      </c>
      <c r="E46" s="192">
        <v>4.2742052471621168</v>
      </c>
      <c r="F46" s="192">
        <v>4.3272303045850791</v>
      </c>
      <c r="G46" s="192">
        <v>4.4052257839116233</v>
      </c>
      <c r="H46" s="192">
        <v>4.4196481611211862</v>
      </c>
      <c r="I46" s="192">
        <v>4.8528080446638953</v>
      </c>
      <c r="J46" s="192">
        <v>4.8246181251082039</v>
      </c>
      <c r="K46" s="192">
        <v>4.8032507778999998</v>
      </c>
      <c r="L46" s="192">
        <v>4.8064017389729834</v>
      </c>
      <c r="M46" s="192">
        <v>4.8245128522323126</v>
      </c>
      <c r="N46" s="192">
        <v>4.8306471943428635</v>
      </c>
      <c r="O46" s="192">
        <v>4.843914368017197</v>
      </c>
    </row>
    <row r="47" spans="1:16" ht="13.25" customHeight="1">
      <c r="A47" s="957" t="s">
        <v>224</v>
      </c>
      <c r="B47" s="194" t="s">
        <v>398</v>
      </c>
      <c r="C47" s="515">
        <v>945549.09637549252</v>
      </c>
      <c r="D47" s="77">
        <v>935719.72</v>
      </c>
      <c r="E47" s="77">
        <v>963356.951626478</v>
      </c>
      <c r="F47" s="77">
        <v>980845.36</v>
      </c>
      <c r="G47" s="77">
        <v>989289.331626478</v>
      </c>
      <c r="H47" s="77">
        <v>983587.451626478</v>
      </c>
      <c r="I47" s="77">
        <v>973251.72</v>
      </c>
      <c r="J47" s="77">
        <v>950244.96</v>
      </c>
      <c r="K47" s="77">
        <v>929308</v>
      </c>
      <c r="L47" s="77">
        <v>917259.21162647801</v>
      </c>
      <c r="M47" s="77">
        <v>903664.77</v>
      </c>
      <c r="N47" s="77">
        <v>908484.96</v>
      </c>
      <c r="O47" s="77">
        <v>911576.72</v>
      </c>
    </row>
    <row r="48" spans="1:16" ht="13.25" customHeight="1">
      <c r="A48" s="958"/>
      <c r="B48" s="194" t="s">
        <v>451</v>
      </c>
      <c r="C48" s="515">
        <v>2246935.8620396554</v>
      </c>
      <c r="D48" s="77">
        <v>187351.19808292732</v>
      </c>
      <c r="E48" s="77">
        <v>180945.90781920656</v>
      </c>
      <c r="F48" s="77">
        <v>195429.92216796498</v>
      </c>
      <c r="G48" s="77">
        <v>196488.46377337663</v>
      </c>
      <c r="H48" s="77">
        <v>199003.91680899795</v>
      </c>
      <c r="I48" s="77">
        <v>194334.69460443442</v>
      </c>
      <c r="J48" s="77">
        <v>191982.11752727945</v>
      </c>
      <c r="K48" s="77">
        <v>187571.25599276114</v>
      </c>
      <c r="L48" s="77">
        <v>179218.35522082576</v>
      </c>
      <c r="M48" s="77">
        <v>180254.52928472715</v>
      </c>
      <c r="N48" s="77">
        <v>175311.4757213163</v>
      </c>
      <c r="O48" s="77">
        <v>179044.02503583813</v>
      </c>
    </row>
    <row r="49" spans="1:17" ht="13.25" customHeight="1">
      <c r="A49" s="958"/>
      <c r="B49" s="194" t="s">
        <v>452</v>
      </c>
      <c r="C49" s="552">
        <v>7.7912430508356936</v>
      </c>
      <c r="D49" s="106">
        <v>6.4587577944099968</v>
      </c>
      <c r="E49" s="106">
        <v>6.7081613308289016</v>
      </c>
      <c r="F49" s="106">
        <v>6.427303726732509</v>
      </c>
      <c r="G49" s="106">
        <v>6.6205257144989265</v>
      </c>
      <c r="H49" s="106">
        <v>6.5265993143483687</v>
      </c>
      <c r="I49" s="106">
        <v>6.6558558493800017</v>
      </c>
      <c r="J49" s="106">
        <v>6.5172369166136352</v>
      </c>
      <c r="K49" s="106">
        <v>6.5109583444733534</v>
      </c>
      <c r="L49" s="106">
        <v>6.5128211287565758</v>
      </c>
      <c r="M49" s="106">
        <v>6.4345346062248261</v>
      </c>
      <c r="N49" s="106">
        <v>6.432374904012951</v>
      </c>
      <c r="O49" s="106">
        <v>6.3358503833155018</v>
      </c>
    </row>
    <row r="50" spans="1:17" ht="13.25" customHeight="1">
      <c r="A50" s="960"/>
      <c r="B50" s="947" t="s">
        <v>441</v>
      </c>
      <c r="C50" s="551">
        <v>1.4537314581503584</v>
      </c>
      <c r="D50" s="192">
        <v>1.4181456532470922</v>
      </c>
      <c r="E50" s="192">
        <v>1.4237784998645284</v>
      </c>
      <c r="F50" s="192">
        <v>1.4294853831867618</v>
      </c>
      <c r="G50" s="192">
        <v>1.4347405435035319</v>
      </c>
      <c r="H50" s="192">
        <v>1.4540559817829011</v>
      </c>
      <c r="I50" s="192">
        <v>1.4586355752280353</v>
      </c>
      <c r="J50" s="192">
        <v>1.4696007543425853</v>
      </c>
      <c r="K50" s="192">
        <v>1.4683455218836194</v>
      </c>
      <c r="L50" s="192">
        <v>1.469369537131485</v>
      </c>
      <c r="M50" s="192">
        <v>1.4692396459657935</v>
      </c>
      <c r="N50" s="192">
        <v>1.4740342730748639</v>
      </c>
      <c r="O50" s="192">
        <v>1.4793900821669621</v>
      </c>
    </row>
    <row r="51" spans="1:17" ht="13.25" customHeight="1">
      <c r="A51" s="957" t="s">
        <v>11</v>
      </c>
      <c r="B51" s="194" t="s">
        <v>73</v>
      </c>
      <c r="C51" s="515">
        <v>2139190.2200000002</v>
      </c>
      <c r="D51" s="77">
        <v>211019</v>
      </c>
      <c r="E51" s="77">
        <v>315426.09999999998</v>
      </c>
      <c r="F51" s="77">
        <v>301515</v>
      </c>
      <c r="G51" s="77">
        <v>27167.42</v>
      </c>
      <c r="H51" s="77">
        <v>36141.4</v>
      </c>
      <c r="I51" s="77">
        <v>22020.6</v>
      </c>
      <c r="J51" s="77">
        <v>2519</v>
      </c>
      <c r="K51" s="77">
        <v>302</v>
      </c>
      <c r="L51" s="77">
        <v>9071</v>
      </c>
      <c r="M51" s="77">
        <v>63950</v>
      </c>
      <c r="N51" s="77">
        <v>828271</v>
      </c>
      <c r="O51" s="77">
        <v>321787.7</v>
      </c>
    </row>
    <row r="52" spans="1:17" ht="13.25" customHeight="1">
      <c r="A52" s="958"/>
      <c r="B52" s="194" t="s">
        <v>453</v>
      </c>
      <c r="C52" s="515">
        <v>4422.1866065736594</v>
      </c>
      <c r="D52" s="77">
        <v>436.14243639999995</v>
      </c>
      <c r="E52" s="77">
        <v>617.87796680000008</v>
      </c>
      <c r="F52" s="77">
        <v>592.12492180000004</v>
      </c>
      <c r="G52" s="77">
        <v>50.261712799999998</v>
      </c>
      <c r="H52" s="77">
        <v>67.452448700000005</v>
      </c>
      <c r="I52" s="77">
        <v>43.364824012000007</v>
      </c>
      <c r="J52" s="77">
        <v>4.3433028800000004</v>
      </c>
      <c r="K52" s="77">
        <v>0.62571399999999999</v>
      </c>
      <c r="L52" s="77">
        <v>21.649711293795274</v>
      </c>
      <c r="M52" s="77">
        <v>181.43886430000003</v>
      </c>
      <c r="N52" s="77">
        <v>1752.2405488667569</v>
      </c>
      <c r="O52" s="77">
        <v>654.66415472110725</v>
      </c>
    </row>
    <row r="53" spans="1:17" ht="13.25" customHeight="1">
      <c r="A53" s="958"/>
      <c r="B53" s="194" t="s">
        <v>454</v>
      </c>
      <c r="C53" s="516">
        <v>2.0672245811658856</v>
      </c>
      <c r="D53" s="78">
        <v>2.0668396514057972</v>
      </c>
      <c r="E53" s="78">
        <v>1.9588675978303638</v>
      </c>
      <c r="F53" s="78">
        <v>1.9638323857851188</v>
      </c>
      <c r="G53" s="78">
        <v>1.850073094905589</v>
      </c>
      <c r="H53" s="78">
        <v>1.8663485282805869</v>
      </c>
      <c r="I53" s="78">
        <v>1.9692843978819838</v>
      </c>
      <c r="J53" s="78">
        <v>1.7242171020246131</v>
      </c>
      <c r="K53" s="78">
        <v>2.0719006622516556</v>
      </c>
      <c r="L53" s="78">
        <v>2.3866951045965465</v>
      </c>
      <c r="M53" s="78">
        <v>2.8371988162627058</v>
      </c>
      <c r="N53" s="78">
        <v>2.1155401418940865</v>
      </c>
      <c r="O53" s="78">
        <v>2.0344598464177075</v>
      </c>
      <c r="P53" s="78"/>
      <c r="Q53" s="78"/>
    </row>
    <row r="54" spans="1:17" ht="13.25" customHeight="1">
      <c r="A54" s="960"/>
      <c r="B54" s="947" t="s">
        <v>441</v>
      </c>
      <c r="C54" s="551">
        <v>14.718986665163655</v>
      </c>
      <c r="D54" s="192">
        <v>14.89727060553254</v>
      </c>
      <c r="E54" s="192">
        <v>14.776391624793199</v>
      </c>
      <c r="F54" s="192">
        <v>14.795882005423469</v>
      </c>
      <c r="G54" s="192">
        <v>13.371014340149417</v>
      </c>
      <c r="H54" s="192">
        <v>13.491360227627151</v>
      </c>
      <c r="I54" s="192">
        <v>13.774789385982908</v>
      </c>
      <c r="J54" s="192">
        <v>13.552069739745161</v>
      </c>
      <c r="K54" s="192">
        <v>13.755351006656795</v>
      </c>
      <c r="L54" s="192">
        <v>14.087221176490342</v>
      </c>
      <c r="M54" s="192">
        <v>14.415438167025171</v>
      </c>
      <c r="N54" s="192">
        <v>14.76828067328943</v>
      </c>
      <c r="O54" s="192">
        <v>14.750777971006389</v>
      </c>
      <c r="P54" s="108"/>
    </row>
    <row r="55" spans="1:17" ht="13.25" customHeight="1">
      <c r="A55" s="957" t="s">
        <v>12</v>
      </c>
      <c r="B55" s="194" t="s">
        <v>455</v>
      </c>
      <c r="C55" s="515">
        <v>347563.8</v>
      </c>
      <c r="D55" s="77">
        <v>23249</v>
      </c>
      <c r="E55" s="77">
        <v>62011.8</v>
      </c>
      <c r="F55" s="77">
        <v>51549</v>
      </c>
      <c r="G55" s="77">
        <v>5903</v>
      </c>
      <c r="H55" s="77">
        <v>2635</v>
      </c>
      <c r="I55" s="77">
        <v>1599</v>
      </c>
      <c r="J55" s="77">
        <v>125</v>
      </c>
      <c r="K55" s="77">
        <v>0</v>
      </c>
      <c r="L55" s="77">
        <v>1753</v>
      </c>
      <c r="M55" s="77">
        <v>20400</v>
      </c>
      <c r="N55" s="77">
        <v>148557</v>
      </c>
      <c r="O55" s="77">
        <v>29782</v>
      </c>
    </row>
    <row r="56" spans="1:17" ht="13.25" customHeight="1">
      <c r="A56" s="958"/>
      <c r="B56" s="194" t="s">
        <v>453</v>
      </c>
      <c r="C56" s="515">
        <v>695.6992077164216</v>
      </c>
      <c r="D56" s="77">
        <v>43.059814000000003</v>
      </c>
      <c r="E56" s="77">
        <v>117.99449999999999</v>
      </c>
      <c r="F56" s="77">
        <v>99.595369999999988</v>
      </c>
      <c r="G56" s="77">
        <v>9.7957970000000003</v>
      </c>
      <c r="H56" s="77">
        <v>4.29915</v>
      </c>
      <c r="I56" s="77">
        <v>2.9365740000000002</v>
      </c>
      <c r="J56" s="77">
        <v>0.16309000000000001</v>
      </c>
      <c r="K56" s="77">
        <v>0</v>
      </c>
      <c r="L56" s="77">
        <v>3.1301502999999999</v>
      </c>
      <c r="M56" s="77">
        <v>46.840931199999993</v>
      </c>
      <c r="N56" s="77">
        <v>305.49457296456791</v>
      </c>
      <c r="O56" s="77">
        <v>62.389258251853732</v>
      </c>
    </row>
    <row r="57" spans="1:17" ht="13.25" customHeight="1">
      <c r="A57" s="958"/>
      <c r="B57" s="194" t="s">
        <v>456</v>
      </c>
      <c r="C57" s="516">
        <v>2.0016446123457667</v>
      </c>
      <c r="D57" s="78">
        <v>1.8521146715987786</v>
      </c>
      <c r="E57" s="78">
        <v>1.9027749557342311</v>
      </c>
      <c r="F57" s="78">
        <v>1.9320524161477426</v>
      </c>
      <c r="G57" s="78">
        <v>1.6594607826528884</v>
      </c>
      <c r="H57" s="78">
        <v>1.6315559772296016</v>
      </c>
      <c r="I57" s="78">
        <v>1.8365065666041276</v>
      </c>
      <c r="J57" s="78">
        <v>1.3047200000000001</v>
      </c>
      <c r="K57" s="78">
        <v>0</v>
      </c>
      <c r="L57" s="78">
        <v>1.7855962920707358</v>
      </c>
      <c r="M57" s="78">
        <v>2.2961240784313723</v>
      </c>
      <c r="N57" s="78">
        <v>2.0564131812339235</v>
      </c>
      <c r="O57" s="78">
        <v>2.0948646246677094</v>
      </c>
      <c r="P57" s="167"/>
    </row>
    <row r="58" spans="1:17" ht="13.25" customHeight="1">
      <c r="A58" s="960"/>
      <c r="B58" s="947" t="s">
        <v>441</v>
      </c>
      <c r="C58" s="551">
        <v>6.4560382476297189</v>
      </c>
      <c r="D58" s="192">
        <v>6.6505790454353031</v>
      </c>
      <c r="E58" s="192">
        <v>6.3426964413922953</v>
      </c>
      <c r="F58" s="192">
        <v>6.406398866257927</v>
      </c>
      <c r="G58" s="192">
        <v>5.9900032077572281</v>
      </c>
      <c r="H58" s="192">
        <v>6.3350265218759931</v>
      </c>
      <c r="I58" s="192">
        <v>6.6997343938257874</v>
      </c>
      <c r="J58" s="192">
        <v>6.3399558498896242</v>
      </c>
      <c r="K58" s="192">
        <v>0</v>
      </c>
      <c r="L58" s="192">
        <v>6.8546343799935592</v>
      </c>
      <c r="M58" s="192">
        <v>6.914983669609601</v>
      </c>
      <c r="N58" s="192">
        <v>6.4006790590496063</v>
      </c>
      <c r="O58" s="192">
        <v>6.5922193665167681</v>
      </c>
      <c r="P58" s="108"/>
    </row>
    <row r="59" spans="1:17" ht="13.25" customHeight="1">
      <c r="A59" s="957" t="s">
        <v>225</v>
      </c>
      <c r="B59" s="948" t="s">
        <v>457</v>
      </c>
      <c r="C59" s="884">
        <v>4296344.4826990506</v>
      </c>
      <c r="D59" s="885">
        <v>448863</v>
      </c>
      <c r="E59" s="885">
        <v>1480959.85</v>
      </c>
      <c r="F59" s="885">
        <v>1102386</v>
      </c>
      <c r="G59" s="885">
        <v>169459.3626990504</v>
      </c>
      <c r="H59" s="885">
        <v>185062</v>
      </c>
      <c r="I59" s="885">
        <v>114734.47</v>
      </c>
      <c r="J59" s="885">
        <v>104032</v>
      </c>
      <c r="K59" s="885">
        <v>64293.4</v>
      </c>
      <c r="L59" s="885">
        <v>73128.399999999994</v>
      </c>
      <c r="M59" s="885">
        <v>12117</v>
      </c>
      <c r="N59" s="885">
        <v>344322</v>
      </c>
      <c r="O59" s="885">
        <v>196987</v>
      </c>
      <c r="P59" s="109"/>
    </row>
    <row r="60" spans="1:17" ht="13.25" customHeight="1">
      <c r="A60" s="958"/>
      <c r="B60" s="194" t="s">
        <v>458</v>
      </c>
      <c r="C60" s="515">
        <v>7983.7865281597115</v>
      </c>
      <c r="D60" s="77">
        <v>785.52013199199996</v>
      </c>
      <c r="E60" s="77">
        <v>2698.4984293759999</v>
      </c>
      <c r="F60" s="77">
        <v>2016.07403284</v>
      </c>
      <c r="G60" s="77">
        <v>306.60069158043393</v>
      </c>
      <c r="H60" s="77">
        <v>455.09544708320004</v>
      </c>
      <c r="I60" s="77">
        <v>248.74518823272561</v>
      </c>
      <c r="J60" s="77">
        <v>204.84253280000001</v>
      </c>
      <c r="K60" s="77">
        <v>135.61883119999999</v>
      </c>
      <c r="L60" s="77">
        <v>138.35027600000001</v>
      </c>
      <c r="M60" s="77">
        <v>26.419449898</v>
      </c>
      <c r="N60" s="77">
        <v>647.95819628471008</v>
      </c>
      <c r="O60" s="77">
        <v>320.06332087264082</v>
      </c>
    </row>
    <row r="61" spans="1:17" ht="13.25" customHeight="1">
      <c r="A61" s="958"/>
      <c r="B61" s="194" t="s">
        <v>459</v>
      </c>
      <c r="C61" s="516">
        <v>1.8582742981410407</v>
      </c>
      <c r="D61" s="78">
        <v>1.7500220156083257</v>
      </c>
      <c r="E61" s="78">
        <v>1.8221280133799709</v>
      </c>
      <c r="F61" s="78">
        <v>1.8288276818101827</v>
      </c>
      <c r="G61" s="78">
        <v>1.8092874108404282</v>
      </c>
      <c r="H61" s="78">
        <v>2.4591512416552295</v>
      </c>
      <c r="I61" s="78">
        <v>2.1680074717974955</v>
      </c>
      <c r="J61" s="78">
        <v>1.9690338818824977</v>
      </c>
      <c r="K61" s="78">
        <v>2.1093740757216137</v>
      </c>
      <c r="L61" s="78">
        <v>1.891881621914332</v>
      </c>
      <c r="M61" s="78">
        <v>2.1803622924816373</v>
      </c>
      <c r="N61" s="78">
        <v>1.8818379199839397</v>
      </c>
      <c r="O61" s="78">
        <v>1.6247941279000178</v>
      </c>
    </row>
    <row r="62" spans="1:17" ht="13.25" customHeight="1" thickBot="1">
      <c r="A62" s="959"/>
      <c r="B62" s="949" t="s">
        <v>441</v>
      </c>
      <c r="C62" s="553">
        <v>6.9008320188027117</v>
      </c>
      <c r="D62" s="168">
        <v>6.9101874146549331</v>
      </c>
      <c r="E62" s="168">
        <v>6.7845768336330803</v>
      </c>
      <c r="F62" s="168">
        <v>6.7827789975147921</v>
      </c>
      <c r="G62" s="168">
        <v>6.9930469195788127</v>
      </c>
      <c r="H62" s="168">
        <v>7.6250164301183423</v>
      </c>
      <c r="I62" s="168">
        <v>7.6098607503210669</v>
      </c>
      <c r="J62" s="168">
        <v>7.4841962945028504</v>
      </c>
      <c r="K62" s="168">
        <v>7.2168647016279337</v>
      </c>
      <c r="L62" s="168">
        <v>7.184647107845521</v>
      </c>
      <c r="M62" s="168">
        <v>7.0615169353418938</v>
      </c>
      <c r="N62" s="168">
        <v>6.6460921358017684</v>
      </c>
      <c r="O62" s="168">
        <v>6.8050617218205955</v>
      </c>
    </row>
    <row r="63" spans="1:17" ht="9" customHeight="1">
      <c r="A63" s="778" t="s">
        <v>402</v>
      </c>
      <c r="B63" s="794"/>
      <c r="C63" s="795"/>
      <c r="D63" s="795"/>
      <c r="E63" s="795"/>
      <c r="F63" s="795" t="s">
        <v>361</v>
      </c>
      <c r="G63" s="795"/>
      <c r="H63" s="189"/>
      <c r="I63" s="189"/>
      <c r="J63" s="189"/>
      <c r="K63" s="189"/>
      <c r="L63" s="189"/>
      <c r="M63" s="189"/>
      <c r="N63" s="189"/>
      <c r="O63" s="108"/>
    </row>
    <row r="64" spans="1:17" ht="9" customHeight="1">
      <c r="A64" s="778" t="s">
        <v>359</v>
      </c>
      <c r="B64" s="794"/>
      <c r="C64" s="795"/>
      <c r="D64" s="794"/>
      <c r="E64" s="796"/>
      <c r="F64" s="794"/>
      <c r="G64" s="795"/>
      <c r="H64" s="189"/>
      <c r="I64" s="189"/>
      <c r="J64" s="189"/>
      <c r="K64" s="190"/>
      <c r="L64" s="188"/>
      <c r="M64" s="189"/>
      <c r="N64" s="188"/>
      <c r="O64" s="108"/>
    </row>
    <row r="65" spans="1:15" ht="9" customHeight="1">
      <c r="A65" s="780" t="s">
        <v>358</v>
      </c>
      <c r="B65" s="794"/>
      <c r="C65" s="795"/>
      <c r="D65" s="794"/>
      <c r="E65" s="796"/>
      <c r="F65" s="794"/>
      <c r="G65" s="795"/>
      <c r="H65" s="189"/>
      <c r="I65" s="189"/>
      <c r="J65" s="189"/>
      <c r="K65" s="190"/>
      <c r="L65" s="188"/>
      <c r="M65" s="189"/>
      <c r="N65" s="188"/>
      <c r="O65" s="108"/>
    </row>
    <row r="66" spans="1:15" ht="9" customHeight="1">
      <c r="A66" s="780"/>
      <c r="B66" s="794"/>
      <c r="C66" s="795"/>
      <c r="D66" s="794"/>
      <c r="E66" s="796"/>
      <c r="F66" s="794"/>
      <c r="G66" s="795"/>
      <c r="H66" s="189"/>
      <c r="I66" s="189"/>
      <c r="J66" s="189"/>
      <c r="K66" s="190"/>
      <c r="L66" s="188"/>
      <c r="M66" s="189"/>
      <c r="N66" s="188"/>
      <c r="O66" s="108"/>
    </row>
    <row r="67" spans="1:15" ht="10.25" customHeight="1">
      <c r="A67" s="191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77"/>
    </row>
    <row r="68" spans="1:15" ht="10.25" customHeight="1">
      <c r="A68" s="191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77"/>
    </row>
    <row r="69" spans="1:15" ht="10.25" customHeight="1">
      <c r="A69" s="190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77"/>
    </row>
    <row r="70" spans="1:15" ht="10.25" customHeight="1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77"/>
    </row>
    <row r="71" spans="1:15" ht="10.25" customHeight="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77"/>
    </row>
    <row r="72" spans="1:15" ht="13.2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</row>
    <row r="73" spans="1:15" ht="13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</row>
    <row r="74" spans="1:15" ht="13.2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</row>
    <row r="75" spans="1:15" ht="13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</row>
    <row r="76" spans="1:15" ht="13.2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</row>
    <row r="77" spans="1:15" ht="13.2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</row>
    <row r="78" spans="1:15" ht="13.2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</row>
    <row r="79" spans="1:15" ht="13.2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</row>
    <row r="80" spans="1:15" ht="13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</row>
    <row r="81" spans="1:15" ht="13.2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</row>
    <row r="82" spans="1:15" ht="13.2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</row>
  </sheetData>
  <mergeCells count="12">
    <mergeCell ref="A59:A62"/>
    <mergeCell ref="A5:A9"/>
    <mergeCell ref="A10:A14"/>
    <mergeCell ref="A15:A19"/>
    <mergeCell ref="A20:A24"/>
    <mergeCell ref="A25:A29"/>
    <mergeCell ref="A30:A34"/>
    <mergeCell ref="A38:A42"/>
    <mergeCell ref="A43:A46"/>
    <mergeCell ref="A47:A50"/>
    <mergeCell ref="A51:A54"/>
    <mergeCell ref="A55:A58"/>
  </mergeCells>
  <printOptions horizontalCentered="1" verticalCentered="1"/>
  <pageMargins left="0" right="0" top="0" bottom="0" header="0" footer="0"/>
  <pageSetup paperSize="9" orientation="landscape" horizontalDpi="120" verticalDpi="144" r:id="rId1"/>
  <headerFooter scaleWithDoc="0" alignWithMargins="0"/>
  <rowBreaks count="1" manualBreakCount="1">
    <brk id="35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59999389629810485"/>
  </sheetPr>
  <dimension ref="A2:P40"/>
  <sheetViews>
    <sheetView showGridLines="0" zoomScaleNormal="100" workbookViewId="0">
      <selection activeCell="J54" sqref="J54"/>
    </sheetView>
  </sheetViews>
  <sheetFormatPr baseColWidth="10" defaultColWidth="7" defaultRowHeight="13.25" customHeight="1"/>
  <cols>
    <col min="1" max="1" width="14" style="73" customWidth="1"/>
    <col min="2" max="2" width="10.19921875" style="73" customWidth="1"/>
    <col min="3" max="8" width="9.59765625" style="73" customWidth="1"/>
    <col min="9" max="9" width="8" style="73" customWidth="1"/>
    <col min="10" max="10" width="12.19921875" style="73" customWidth="1"/>
    <col min="11" max="16384" width="7" style="73"/>
  </cols>
  <sheetData>
    <row r="2" spans="1:16" ht="13.25" customHeight="1">
      <c r="A2" s="198" t="s">
        <v>479</v>
      </c>
    </row>
    <row r="3" spans="1:16" ht="13.25" customHeight="1">
      <c r="A3" s="199" t="s">
        <v>229</v>
      </c>
      <c r="B3" s="929"/>
      <c r="C3" s="929"/>
      <c r="D3" s="929"/>
      <c r="E3" s="929"/>
      <c r="F3" s="929"/>
      <c r="G3" s="929"/>
      <c r="H3" s="929"/>
      <c r="J3" s="107"/>
      <c r="K3" s="78"/>
    </row>
    <row r="4" spans="1:16" ht="5" customHeight="1" thickBot="1"/>
    <row r="5" spans="1:16" ht="15" customHeight="1">
      <c r="A5" s="565" t="s">
        <v>18</v>
      </c>
      <c r="B5" s="565" t="s">
        <v>19</v>
      </c>
      <c r="C5" s="565" t="s">
        <v>5</v>
      </c>
      <c r="D5" s="565" t="s">
        <v>6</v>
      </c>
      <c r="E5" s="565" t="s">
        <v>7</v>
      </c>
      <c r="F5" s="565" t="s">
        <v>8</v>
      </c>
      <c r="G5" s="565" t="s">
        <v>9</v>
      </c>
      <c r="H5" s="565" t="s">
        <v>10</v>
      </c>
      <c r="K5" s="78"/>
    </row>
    <row r="6" spans="1:16" ht="15" customHeight="1">
      <c r="A6" s="554" t="s">
        <v>90</v>
      </c>
      <c r="B6" s="555">
        <f t="shared" ref="B6:H6" si="0">(B8+B9+B10+B11+B12+B16+B17+B18+B19+B20+B21+B22+B23+B24+B25+B26+B27+B28+B31+B32+B33+B34+B35+B36)</f>
        <v>803595899.09999979</v>
      </c>
      <c r="C6" s="555">
        <f t="shared" si="0"/>
        <v>2592724.5999999996</v>
      </c>
      <c r="D6" s="555">
        <f t="shared" si="0"/>
        <v>3458391.5999999996</v>
      </c>
      <c r="E6" s="555">
        <f t="shared" si="0"/>
        <v>1316220.1000000001</v>
      </c>
      <c r="F6" s="737">
        <f t="shared" si="0"/>
        <v>390293.7</v>
      </c>
      <c r="G6" s="737">
        <f t="shared" si="0"/>
        <v>476210</v>
      </c>
      <c r="H6" s="737">
        <f t="shared" si="0"/>
        <v>118241.3</v>
      </c>
    </row>
    <row r="7" spans="1:16" ht="3" customHeight="1">
      <c r="A7" s="109"/>
      <c r="B7" s="203"/>
      <c r="C7" s="203"/>
      <c r="D7" s="203"/>
      <c r="E7" s="203"/>
      <c r="F7" s="479"/>
      <c r="G7" s="479"/>
      <c r="H7" s="479"/>
    </row>
    <row r="8" spans="1:16" ht="13.25" customHeight="1">
      <c r="A8" s="73" t="s">
        <v>21</v>
      </c>
      <c r="B8" s="204">
        <v>94257.600000000006</v>
      </c>
      <c r="C8" s="204">
        <v>2156</v>
      </c>
      <c r="D8" s="204">
        <v>5942</v>
      </c>
      <c r="E8" s="204">
        <v>3329</v>
      </c>
      <c r="F8" s="430">
        <v>18318</v>
      </c>
      <c r="G8" s="430">
        <v>0</v>
      </c>
      <c r="H8" s="430">
        <v>0</v>
      </c>
      <c r="J8" s="204"/>
      <c r="K8" s="204"/>
      <c r="L8" s="204"/>
      <c r="M8" s="204"/>
      <c r="N8" s="204"/>
      <c r="O8" s="204"/>
      <c r="P8" s="204"/>
    </row>
    <row r="9" spans="1:16" ht="13.25" customHeight="1">
      <c r="A9" s="73" t="s">
        <v>22</v>
      </c>
      <c r="B9" s="204">
        <v>14666979</v>
      </c>
      <c r="C9" s="204">
        <v>112641.2</v>
      </c>
      <c r="D9" s="204">
        <v>114661.9</v>
      </c>
      <c r="E9" s="204">
        <v>47003.9</v>
      </c>
      <c r="F9" s="430">
        <v>96548.2</v>
      </c>
      <c r="G9" s="430">
        <v>0</v>
      </c>
      <c r="H9" s="430">
        <v>0</v>
      </c>
      <c r="J9" s="204"/>
      <c r="K9" s="204"/>
      <c r="L9" s="204"/>
      <c r="M9" s="204"/>
      <c r="N9" s="204"/>
      <c r="O9" s="204"/>
      <c r="P9" s="204"/>
    </row>
    <row r="10" spans="1:16" ht="13.25" customHeight="1">
      <c r="A10" s="73" t="s">
        <v>23</v>
      </c>
      <c r="B10" s="204">
        <v>12038949.6</v>
      </c>
      <c r="C10" s="204">
        <v>26248</v>
      </c>
      <c r="D10" s="204">
        <v>30240</v>
      </c>
      <c r="E10" s="204">
        <v>20895</v>
      </c>
      <c r="F10" s="430">
        <v>17887</v>
      </c>
      <c r="G10" s="430">
        <v>0</v>
      </c>
      <c r="H10" s="430">
        <v>0</v>
      </c>
      <c r="J10" s="204"/>
      <c r="K10" s="204"/>
      <c r="L10" s="204"/>
      <c r="M10" s="204"/>
      <c r="N10" s="204"/>
      <c r="O10" s="204"/>
      <c r="P10" s="204"/>
    </row>
    <row r="11" spans="1:16" ht="13.25" customHeight="1">
      <c r="A11" s="73" t="s">
        <v>24</v>
      </c>
      <c r="B11" s="204">
        <v>143372459.90000001</v>
      </c>
      <c r="C11" s="204">
        <v>210806</v>
      </c>
      <c r="D11" s="204">
        <v>346595</v>
      </c>
      <c r="E11" s="204">
        <v>63890</v>
      </c>
      <c r="F11" s="430">
        <v>34765</v>
      </c>
      <c r="G11" s="430">
        <v>1322.9</v>
      </c>
      <c r="H11" s="430">
        <v>0</v>
      </c>
      <c r="J11" s="204"/>
      <c r="K11" s="204"/>
      <c r="L11" s="204"/>
      <c r="M11" s="204"/>
      <c r="N11" s="204"/>
      <c r="O11" s="204"/>
      <c r="P11" s="204"/>
    </row>
    <row r="12" spans="1:16" ht="13.25" customHeight="1">
      <c r="A12" s="73" t="s">
        <v>25</v>
      </c>
      <c r="B12" s="204">
        <v>1684121</v>
      </c>
      <c r="C12" s="204">
        <v>84819</v>
      </c>
      <c r="D12" s="204">
        <v>142637</v>
      </c>
      <c r="E12" s="204">
        <v>179786</v>
      </c>
      <c r="F12" s="430">
        <v>24415</v>
      </c>
      <c r="G12" s="430">
        <v>0</v>
      </c>
      <c r="H12" s="430">
        <v>0</v>
      </c>
      <c r="J12" s="204"/>
      <c r="K12" s="204"/>
      <c r="L12" s="204"/>
      <c r="M12" s="204"/>
      <c r="N12" s="204"/>
      <c r="O12" s="204"/>
      <c r="P12" s="204"/>
    </row>
    <row r="13" spans="1:16" ht="13.25" customHeight="1">
      <c r="A13" s="73" t="s">
        <v>26</v>
      </c>
      <c r="B13" s="204">
        <v>1063586.3999999999</v>
      </c>
      <c r="C13" s="204">
        <v>61028</v>
      </c>
      <c r="D13" s="204">
        <v>56478</v>
      </c>
      <c r="E13" s="204">
        <v>98733</v>
      </c>
      <c r="F13" s="430">
        <v>14222</v>
      </c>
      <c r="G13" s="430">
        <v>0</v>
      </c>
      <c r="H13" s="430">
        <v>0</v>
      </c>
      <c r="J13" s="204"/>
      <c r="K13" s="204"/>
      <c r="L13" s="204"/>
      <c r="M13" s="204"/>
      <c r="N13" s="204"/>
      <c r="O13" s="204"/>
      <c r="P13" s="204"/>
    </row>
    <row r="14" spans="1:16" ht="13.25" customHeight="1">
      <c r="A14" s="73" t="s">
        <v>27</v>
      </c>
      <c r="B14" s="204">
        <v>290132.7</v>
      </c>
      <c r="C14" s="204">
        <v>20198</v>
      </c>
      <c r="D14" s="204">
        <v>47364</v>
      </c>
      <c r="E14" s="204">
        <v>50966</v>
      </c>
      <c r="F14" s="430">
        <v>1211</v>
      </c>
      <c r="G14" s="430">
        <v>0</v>
      </c>
      <c r="H14" s="430">
        <v>0</v>
      </c>
      <c r="J14" s="204"/>
      <c r="K14" s="204"/>
      <c r="L14" s="204"/>
      <c r="M14" s="204"/>
      <c r="N14" s="204"/>
      <c r="O14" s="204"/>
      <c r="P14" s="204"/>
    </row>
    <row r="15" spans="1:16" ht="13.25" customHeight="1">
      <c r="A15" s="73" t="s">
        <v>28</v>
      </c>
      <c r="B15" s="204">
        <v>330402</v>
      </c>
      <c r="C15" s="204">
        <v>3593</v>
      </c>
      <c r="D15" s="204">
        <v>38795</v>
      </c>
      <c r="E15" s="204">
        <v>30087</v>
      </c>
      <c r="F15" s="430">
        <v>8982</v>
      </c>
      <c r="G15" s="430">
        <v>0</v>
      </c>
      <c r="H15" s="430">
        <v>0</v>
      </c>
      <c r="J15" s="204"/>
      <c r="K15" s="204"/>
      <c r="L15" s="204"/>
      <c r="M15" s="204"/>
      <c r="N15" s="204"/>
      <c r="O15" s="204"/>
      <c r="P15" s="204"/>
    </row>
    <row r="16" spans="1:16" ht="13.25" customHeight="1">
      <c r="A16" s="73" t="s">
        <v>29</v>
      </c>
      <c r="B16" s="204">
        <v>373998</v>
      </c>
      <c r="C16" s="204">
        <v>3395</v>
      </c>
      <c r="D16" s="204">
        <v>32121</v>
      </c>
      <c r="E16" s="204">
        <v>56392</v>
      </c>
      <c r="F16" s="430">
        <v>4582</v>
      </c>
      <c r="G16" s="430">
        <v>0</v>
      </c>
      <c r="H16" s="430">
        <v>0</v>
      </c>
      <c r="J16" s="204"/>
      <c r="K16" s="204"/>
      <c r="L16" s="204"/>
      <c r="M16" s="204"/>
      <c r="N16" s="204"/>
      <c r="O16" s="204"/>
      <c r="P16" s="204"/>
    </row>
    <row r="17" spans="1:16" ht="13.25" customHeight="1">
      <c r="A17" s="73" t="s">
        <v>30</v>
      </c>
      <c r="B17" s="204">
        <v>17448956.199999999</v>
      </c>
      <c r="C17" s="204">
        <v>132582</v>
      </c>
      <c r="D17" s="204">
        <v>61807</v>
      </c>
      <c r="E17" s="204">
        <v>62463</v>
      </c>
      <c r="F17" s="430">
        <v>20332</v>
      </c>
      <c r="G17" s="430">
        <v>479</v>
      </c>
      <c r="H17" s="430">
        <v>0</v>
      </c>
      <c r="J17" s="204"/>
      <c r="K17" s="204"/>
      <c r="L17" s="204"/>
      <c r="M17" s="204"/>
      <c r="N17" s="204"/>
      <c r="O17" s="204"/>
      <c r="P17" s="204"/>
    </row>
    <row r="18" spans="1:16" ht="13.25" customHeight="1">
      <c r="A18" s="73" t="s">
        <v>31</v>
      </c>
      <c r="B18" s="204">
        <v>432052927.89999998</v>
      </c>
      <c r="C18" s="204">
        <v>54211</v>
      </c>
      <c r="D18" s="204">
        <v>1241576.5</v>
      </c>
      <c r="E18" s="204">
        <v>109623.8</v>
      </c>
      <c r="F18" s="430">
        <v>35626</v>
      </c>
      <c r="G18" s="430">
        <v>2849</v>
      </c>
      <c r="H18" s="430">
        <v>1963</v>
      </c>
      <c r="J18" s="204"/>
      <c r="K18" s="204"/>
      <c r="L18" s="204"/>
      <c r="M18" s="204"/>
      <c r="N18" s="204"/>
      <c r="O18" s="204"/>
      <c r="P18" s="204"/>
    </row>
    <row r="19" spans="1:16" ht="13.25" customHeight="1">
      <c r="A19" s="73" t="s">
        <v>32</v>
      </c>
      <c r="B19" s="204">
        <v>44320106.399999999</v>
      </c>
      <c r="C19" s="204">
        <v>13345</v>
      </c>
      <c r="D19" s="204">
        <v>280296</v>
      </c>
      <c r="E19" s="204">
        <v>21179</v>
      </c>
      <c r="F19" s="430">
        <v>23441</v>
      </c>
      <c r="G19" s="430">
        <v>0</v>
      </c>
      <c r="H19" s="430">
        <v>0</v>
      </c>
      <c r="J19" s="204"/>
      <c r="K19" s="204"/>
      <c r="L19" s="204"/>
      <c r="M19" s="204"/>
      <c r="N19" s="204"/>
      <c r="O19" s="204"/>
      <c r="P19" s="204"/>
    </row>
    <row r="20" spans="1:16" ht="13.25" customHeight="1">
      <c r="A20" s="73" t="s">
        <v>33</v>
      </c>
      <c r="B20" s="204">
        <v>614189.9</v>
      </c>
      <c r="C20" s="204">
        <v>158066</v>
      </c>
      <c r="D20" s="204">
        <v>211891</v>
      </c>
      <c r="E20" s="204">
        <v>151838</v>
      </c>
      <c r="F20" s="430">
        <v>24833</v>
      </c>
      <c r="G20" s="430">
        <v>1665</v>
      </c>
      <c r="H20" s="430">
        <v>0</v>
      </c>
      <c r="J20" s="204"/>
      <c r="K20" s="204"/>
      <c r="L20" s="204"/>
      <c r="M20" s="204"/>
      <c r="N20" s="204"/>
      <c r="O20" s="204"/>
      <c r="P20" s="204"/>
    </row>
    <row r="21" spans="1:16" ht="13.25" customHeight="1">
      <c r="A21" s="73" t="s">
        <v>34</v>
      </c>
      <c r="B21" s="204">
        <v>264768.5</v>
      </c>
      <c r="C21" s="204">
        <v>112599</v>
      </c>
      <c r="D21" s="204">
        <v>38987</v>
      </c>
      <c r="E21" s="204">
        <v>23734</v>
      </c>
      <c r="F21" s="430">
        <v>1038</v>
      </c>
      <c r="G21" s="430">
        <v>17941</v>
      </c>
      <c r="H21" s="430">
        <v>4193</v>
      </c>
      <c r="J21" s="204"/>
      <c r="K21" s="204"/>
      <c r="L21" s="204"/>
      <c r="M21" s="204"/>
      <c r="N21" s="204"/>
      <c r="O21" s="204"/>
      <c r="P21" s="204"/>
    </row>
    <row r="22" spans="1:16" ht="13.25" customHeight="1">
      <c r="A22" s="73" t="s">
        <v>35</v>
      </c>
      <c r="B22" s="204">
        <v>4720597.0999999996</v>
      </c>
      <c r="C22" s="204">
        <v>300729</v>
      </c>
      <c r="D22" s="204">
        <v>122779</v>
      </c>
      <c r="E22" s="204">
        <v>59365</v>
      </c>
      <c r="F22" s="430">
        <v>4040</v>
      </c>
      <c r="G22" s="430">
        <v>14265</v>
      </c>
      <c r="H22" s="430">
        <v>8850</v>
      </c>
      <c r="J22" s="204"/>
      <c r="K22" s="204"/>
      <c r="L22" s="204"/>
      <c r="M22" s="204"/>
      <c r="N22" s="204"/>
      <c r="O22" s="204"/>
      <c r="P22" s="204"/>
    </row>
    <row r="23" spans="1:16" ht="13.25" customHeight="1">
      <c r="A23" s="73" t="s">
        <v>36</v>
      </c>
      <c r="B23" s="204">
        <v>459984.9</v>
      </c>
      <c r="C23" s="204">
        <v>104760</v>
      </c>
      <c r="D23" s="204">
        <v>35892.300000000003</v>
      </c>
      <c r="E23" s="204">
        <v>25999.599999999999</v>
      </c>
      <c r="F23" s="430">
        <v>21540.400000000001</v>
      </c>
      <c r="G23" s="430">
        <v>19986</v>
      </c>
      <c r="H23" s="430">
        <v>8444</v>
      </c>
      <c r="J23" s="204"/>
      <c r="K23" s="204"/>
      <c r="L23" s="204"/>
      <c r="M23" s="204"/>
      <c r="N23" s="204"/>
      <c r="O23" s="204"/>
      <c r="P23" s="204"/>
    </row>
    <row r="24" spans="1:16" ht="13.25" customHeight="1">
      <c r="A24" s="73" t="s">
        <v>37</v>
      </c>
      <c r="B24" s="204">
        <v>77959808.099999994</v>
      </c>
      <c r="C24" s="204">
        <v>136204</v>
      </c>
      <c r="D24" s="204">
        <v>214046</v>
      </c>
      <c r="E24" s="204">
        <v>32484</v>
      </c>
      <c r="F24" s="430">
        <v>10885</v>
      </c>
      <c r="G24" s="430">
        <v>45975</v>
      </c>
      <c r="H24" s="430">
        <v>12838</v>
      </c>
      <c r="J24" s="204"/>
      <c r="K24" s="204"/>
      <c r="L24" s="204"/>
      <c r="M24" s="204"/>
      <c r="N24" s="204"/>
      <c r="O24" s="204"/>
      <c r="P24" s="204"/>
    </row>
    <row r="25" spans="1:16" ht="13.25" customHeight="1">
      <c r="A25" s="73" t="s">
        <v>38</v>
      </c>
      <c r="B25" s="204">
        <v>91235.3</v>
      </c>
      <c r="C25" s="204">
        <v>3448</v>
      </c>
      <c r="D25" s="204">
        <v>26968</v>
      </c>
      <c r="E25" s="204">
        <v>3570</v>
      </c>
      <c r="F25" s="430">
        <v>847</v>
      </c>
      <c r="G25" s="430">
        <v>4667</v>
      </c>
      <c r="H25" s="430">
        <v>1689</v>
      </c>
      <c r="J25" s="204"/>
      <c r="K25" s="204"/>
      <c r="L25" s="204"/>
      <c r="M25" s="204"/>
      <c r="N25" s="204"/>
      <c r="O25" s="204"/>
      <c r="P25" s="204"/>
    </row>
    <row r="26" spans="1:16" ht="13.25" customHeight="1">
      <c r="A26" s="73" t="s">
        <v>39</v>
      </c>
      <c r="B26" s="204">
        <v>8603163.8000000007</v>
      </c>
      <c r="C26" s="204">
        <v>8504</v>
      </c>
      <c r="D26" s="204">
        <v>70732</v>
      </c>
      <c r="E26" s="204">
        <v>5276</v>
      </c>
      <c r="F26" s="430">
        <v>5850</v>
      </c>
      <c r="G26" s="430">
        <v>8763</v>
      </c>
      <c r="H26" s="430">
        <v>5134</v>
      </c>
      <c r="J26" s="204"/>
      <c r="K26" s="204"/>
      <c r="L26" s="204"/>
      <c r="M26" s="204"/>
      <c r="N26" s="204"/>
      <c r="O26" s="204"/>
      <c r="P26" s="204"/>
    </row>
    <row r="27" spans="1:16" ht="13.25" customHeight="1">
      <c r="A27" s="73" t="s">
        <v>40</v>
      </c>
      <c r="B27" s="204">
        <v>492296.3</v>
      </c>
      <c r="C27" s="204">
        <v>141460</v>
      </c>
      <c r="D27" s="204">
        <v>61979.8</v>
      </c>
      <c r="E27" s="204">
        <v>93214</v>
      </c>
      <c r="F27" s="430">
        <v>25058</v>
      </c>
      <c r="G27" s="430">
        <v>33353.1</v>
      </c>
      <c r="H27" s="430">
        <v>5586</v>
      </c>
      <c r="J27" s="204"/>
      <c r="K27" s="204"/>
      <c r="L27" s="204"/>
      <c r="M27" s="204"/>
      <c r="N27" s="204"/>
      <c r="O27" s="204"/>
      <c r="P27" s="204"/>
    </row>
    <row r="28" spans="1:16" ht="13.25" customHeight="1">
      <c r="A28" s="73" t="s">
        <v>41</v>
      </c>
      <c r="B28" s="204">
        <v>367079.2</v>
      </c>
      <c r="C28" s="204">
        <v>70337.399999999994</v>
      </c>
      <c r="D28" s="204">
        <v>60118.1</v>
      </c>
      <c r="E28" s="204">
        <v>37934.800000000003</v>
      </c>
      <c r="F28" s="430">
        <v>16083</v>
      </c>
      <c r="G28" s="430">
        <v>20060</v>
      </c>
      <c r="H28" s="430">
        <v>10042.299999999999</v>
      </c>
      <c r="J28" s="204"/>
      <c r="K28" s="204"/>
      <c r="L28" s="204"/>
      <c r="M28" s="204"/>
      <c r="N28" s="204"/>
      <c r="O28" s="204"/>
      <c r="P28" s="204"/>
    </row>
    <row r="29" spans="1:16" ht="13.25" customHeight="1">
      <c r="A29" s="73" t="s">
        <v>42</v>
      </c>
      <c r="B29" s="204">
        <v>223591.3</v>
      </c>
      <c r="C29" s="204">
        <v>36060.400000000001</v>
      </c>
      <c r="D29" s="204">
        <v>21959</v>
      </c>
      <c r="E29" s="204">
        <v>18955.8</v>
      </c>
      <c r="F29" s="430">
        <v>4626</v>
      </c>
      <c r="G29" s="430">
        <v>13583</v>
      </c>
      <c r="H29" s="430">
        <v>5222.3</v>
      </c>
      <c r="J29" s="204"/>
      <c r="K29" s="204"/>
      <c r="L29" s="204"/>
      <c r="M29" s="204"/>
      <c r="N29" s="204"/>
      <c r="O29" s="204"/>
      <c r="P29" s="204"/>
    </row>
    <row r="30" spans="1:16" ht="13.25" customHeight="1">
      <c r="A30" s="73" t="s">
        <v>43</v>
      </c>
      <c r="B30" s="204">
        <v>143487.9</v>
      </c>
      <c r="C30" s="204">
        <v>34277</v>
      </c>
      <c r="D30" s="204">
        <v>38159.1</v>
      </c>
      <c r="E30" s="204">
        <v>18979</v>
      </c>
      <c r="F30" s="430">
        <v>11457</v>
      </c>
      <c r="G30" s="430">
        <v>6477</v>
      </c>
      <c r="H30" s="430">
        <v>4820</v>
      </c>
      <c r="J30" s="204"/>
      <c r="K30" s="204"/>
      <c r="L30" s="204"/>
      <c r="M30" s="204"/>
      <c r="N30" s="204"/>
      <c r="O30" s="204"/>
      <c r="P30" s="204"/>
    </row>
    <row r="31" spans="1:16" ht="13.25" customHeight="1">
      <c r="A31" s="73" t="s">
        <v>44</v>
      </c>
      <c r="B31" s="204">
        <v>1767781.5</v>
      </c>
      <c r="C31" s="204">
        <v>304422</v>
      </c>
      <c r="D31" s="204">
        <v>128736</v>
      </c>
      <c r="E31" s="204">
        <v>76083</v>
      </c>
      <c r="F31" s="430">
        <v>4175</v>
      </c>
      <c r="G31" s="430">
        <v>95074</v>
      </c>
      <c r="H31" s="430">
        <v>20037</v>
      </c>
      <c r="J31" s="204"/>
      <c r="K31" s="204"/>
      <c r="L31" s="204"/>
      <c r="M31" s="204"/>
      <c r="N31" s="204"/>
      <c r="O31" s="204"/>
      <c r="P31" s="204"/>
    </row>
    <row r="32" spans="1:16" ht="13.25" customHeight="1">
      <c r="A32" s="73" t="s">
        <v>45</v>
      </c>
      <c r="B32" s="204">
        <v>1277709.8999999999</v>
      </c>
      <c r="C32" s="204">
        <v>600435</v>
      </c>
      <c r="D32" s="204">
        <v>77210</v>
      </c>
      <c r="E32" s="204">
        <v>148880</v>
      </c>
      <c r="F32" s="430">
        <v>0</v>
      </c>
      <c r="G32" s="430">
        <v>209810</v>
      </c>
      <c r="H32" s="430">
        <v>39465</v>
      </c>
      <c r="J32" s="204"/>
      <c r="K32" s="204"/>
      <c r="L32" s="204"/>
      <c r="M32" s="204"/>
      <c r="N32" s="204"/>
      <c r="O32" s="204"/>
      <c r="P32" s="204"/>
    </row>
    <row r="33" spans="1:16" ht="13.25" customHeight="1">
      <c r="A33" s="73" t="s">
        <v>46</v>
      </c>
      <c r="B33" s="204">
        <v>17838694.699999999</v>
      </c>
      <c r="C33" s="204">
        <v>5176</v>
      </c>
      <c r="D33" s="204">
        <v>74443</v>
      </c>
      <c r="E33" s="204">
        <v>52158</v>
      </c>
      <c r="F33" s="430">
        <v>0</v>
      </c>
      <c r="G33" s="430">
        <v>0</v>
      </c>
      <c r="H33" s="430">
        <v>0</v>
      </c>
      <c r="J33" s="204"/>
      <c r="K33" s="204"/>
      <c r="L33" s="204"/>
      <c r="M33" s="204"/>
      <c r="N33" s="204"/>
      <c r="O33" s="204"/>
      <c r="P33" s="204"/>
    </row>
    <row r="34" spans="1:16" ht="13.25" customHeight="1">
      <c r="A34" s="73" t="s">
        <v>47</v>
      </c>
      <c r="B34" s="204">
        <v>11879965.9</v>
      </c>
      <c r="C34" s="204">
        <v>2278</v>
      </c>
      <c r="D34" s="204">
        <v>44014</v>
      </c>
      <c r="E34" s="204">
        <v>9982</v>
      </c>
      <c r="F34" s="430">
        <v>30.1</v>
      </c>
      <c r="G34" s="430">
        <v>0</v>
      </c>
      <c r="H34" s="430">
        <v>0</v>
      </c>
      <c r="J34" s="204"/>
      <c r="K34" s="204"/>
      <c r="L34" s="204"/>
      <c r="M34" s="204"/>
      <c r="N34" s="204"/>
      <c r="O34" s="204"/>
      <c r="P34" s="204"/>
    </row>
    <row r="35" spans="1:16" ht="13.25" customHeight="1">
      <c r="A35" s="73" t="s">
        <v>48</v>
      </c>
      <c r="B35" s="204">
        <v>6931980</v>
      </c>
      <c r="C35" s="204">
        <v>2493</v>
      </c>
      <c r="D35" s="204">
        <v>15032</v>
      </c>
      <c r="E35" s="204">
        <v>17518</v>
      </c>
      <c r="F35" s="430">
        <v>0</v>
      </c>
      <c r="G35" s="430">
        <v>0</v>
      </c>
      <c r="H35" s="430">
        <v>0</v>
      </c>
      <c r="J35" s="204"/>
      <c r="K35" s="204"/>
      <c r="L35" s="204"/>
      <c r="M35" s="204"/>
      <c r="N35" s="204"/>
      <c r="O35" s="204"/>
      <c r="P35" s="204"/>
    </row>
    <row r="36" spans="1:16" ht="13.25" customHeight="1" thickBot="1">
      <c r="A36" s="74" t="s">
        <v>49</v>
      </c>
      <c r="B36" s="432">
        <v>4273888.4000000004</v>
      </c>
      <c r="C36" s="432">
        <v>1610</v>
      </c>
      <c r="D36" s="432">
        <v>19687</v>
      </c>
      <c r="E36" s="432">
        <v>13622</v>
      </c>
      <c r="F36" s="431">
        <v>0</v>
      </c>
      <c r="G36" s="431">
        <v>0</v>
      </c>
      <c r="H36" s="431">
        <v>0</v>
      </c>
      <c r="J36" s="204"/>
      <c r="K36" s="204"/>
      <c r="L36" s="204"/>
      <c r="M36" s="204"/>
      <c r="N36" s="204"/>
      <c r="O36" s="204"/>
      <c r="P36" s="204"/>
    </row>
    <row r="37" spans="1:16" ht="9" customHeight="1">
      <c r="A37" s="778" t="s">
        <v>402</v>
      </c>
      <c r="B37" s="794"/>
      <c r="C37" s="797"/>
      <c r="D37" s="794"/>
      <c r="E37" s="794"/>
      <c r="F37" s="200"/>
      <c r="G37" s="200"/>
      <c r="H37" s="107"/>
    </row>
    <row r="38" spans="1:16" ht="9" customHeight="1">
      <c r="A38" s="778" t="s">
        <v>359</v>
      </c>
      <c r="B38" s="798"/>
      <c r="C38" s="798"/>
      <c r="D38" s="798"/>
      <c r="E38" s="798"/>
      <c r="F38" s="201"/>
      <c r="G38" s="201"/>
      <c r="H38" s="164"/>
    </row>
    <row r="39" spans="1:16" ht="9" customHeight="1">
      <c r="A39" s="780" t="s">
        <v>358</v>
      </c>
      <c r="B39" s="794"/>
      <c r="C39" s="794"/>
      <c r="D39" s="794"/>
      <c r="E39" s="794"/>
      <c r="F39" s="188"/>
      <c r="G39" s="188"/>
      <c r="H39" s="77"/>
    </row>
    <row r="40" spans="1:16" ht="13.25" customHeight="1">
      <c r="A40" s="780"/>
      <c r="B40" s="796"/>
      <c r="C40" s="796"/>
      <c r="D40" s="796"/>
      <c r="E40" s="796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9" tint="0.59999389629810485"/>
  </sheetPr>
  <dimension ref="A2:S40"/>
  <sheetViews>
    <sheetView showGridLines="0" topLeftCell="A3" zoomScaleNormal="100" workbookViewId="0">
      <selection activeCell="O11" sqref="O11"/>
    </sheetView>
  </sheetViews>
  <sheetFormatPr baseColWidth="10" defaultColWidth="7" defaultRowHeight="13.25" customHeight="1"/>
  <cols>
    <col min="1" max="1" width="14" style="73" customWidth="1"/>
    <col min="2" max="8" width="9.59765625" style="73" customWidth="1"/>
    <col min="9" max="9" width="8" style="73" hidden="1" customWidth="1"/>
    <col min="10" max="16384" width="7" style="73"/>
  </cols>
  <sheetData>
    <row r="2" spans="1:19" ht="13.25" customHeight="1">
      <c r="A2" s="198" t="s">
        <v>480</v>
      </c>
    </row>
    <row r="3" spans="1:19" ht="13.25" customHeight="1">
      <c r="A3" s="202" t="s">
        <v>230</v>
      </c>
      <c r="B3" s="103"/>
      <c r="C3" s="103"/>
      <c r="D3" s="103"/>
      <c r="E3" s="103"/>
      <c r="F3" s="103"/>
      <c r="G3" s="103"/>
      <c r="H3" s="103"/>
    </row>
    <row r="4" spans="1:19" ht="5" customHeight="1" thickBot="1"/>
    <row r="5" spans="1:19" ht="15" customHeight="1">
      <c r="A5" s="568" t="s">
        <v>18</v>
      </c>
      <c r="B5" s="568" t="s">
        <v>19</v>
      </c>
      <c r="C5" s="568" t="s">
        <v>5</v>
      </c>
      <c r="D5" s="568" t="s">
        <v>6</v>
      </c>
      <c r="E5" s="568" t="s">
        <v>7</v>
      </c>
      <c r="F5" s="568" t="s">
        <v>8</v>
      </c>
      <c r="G5" s="568" t="s">
        <v>9</v>
      </c>
      <c r="H5" s="568" t="s">
        <v>10</v>
      </c>
    </row>
    <row r="6" spans="1:19" ht="15" customHeight="1">
      <c r="A6" s="556" t="s">
        <v>90</v>
      </c>
      <c r="B6" s="557">
        <f t="shared" ref="B6:H6" si="0">(B8+B9+B10+B11+B12+B16+B17+B18+B19+B20+B21+B22+B23+B24+B25+B26+B27+B28+B31+B32+B33+B34+B35+B36)</f>
        <v>1801776.2899999993</v>
      </c>
      <c r="C6" s="617">
        <f t="shared" si="0"/>
        <v>33536.32</v>
      </c>
      <c r="D6" s="617">
        <f t="shared" si="0"/>
        <v>181404.61999999994</v>
      </c>
      <c r="E6" s="617">
        <f t="shared" si="0"/>
        <v>192718.40999999997</v>
      </c>
      <c r="F6" s="617">
        <f t="shared" si="0"/>
        <v>4929.2499999999991</v>
      </c>
      <c r="G6" s="617">
        <f t="shared" si="0"/>
        <v>12753.74</v>
      </c>
      <c r="H6" s="617">
        <f t="shared" si="0"/>
        <v>3971.3</v>
      </c>
    </row>
    <row r="7" spans="1:19" ht="3" customHeight="1">
      <c r="A7" s="109"/>
      <c r="B7" s="479"/>
      <c r="C7" s="887"/>
      <c r="D7" s="887"/>
      <c r="E7" s="887"/>
      <c r="F7" s="887"/>
      <c r="G7" s="887"/>
      <c r="H7" s="887"/>
    </row>
    <row r="8" spans="1:19" ht="13.25" customHeight="1">
      <c r="A8" s="73" t="s">
        <v>21</v>
      </c>
      <c r="B8" s="430">
        <v>242.66</v>
      </c>
      <c r="C8" s="427">
        <v>27.47</v>
      </c>
      <c r="D8" s="427">
        <v>285.08999999999997</v>
      </c>
      <c r="E8" s="427">
        <v>494.43</v>
      </c>
      <c r="F8" s="427">
        <v>191.45</v>
      </c>
      <c r="G8" s="427">
        <v>0</v>
      </c>
      <c r="H8" s="427">
        <v>0</v>
      </c>
      <c r="J8" s="928"/>
      <c r="L8" s="430"/>
      <c r="M8" s="430"/>
      <c r="N8" s="430"/>
      <c r="O8" s="430"/>
      <c r="P8" s="430"/>
      <c r="Q8" s="430"/>
      <c r="R8" s="430"/>
      <c r="S8" s="430"/>
    </row>
    <row r="9" spans="1:19" ht="13.25" customHeight="1">
      <c r="A9" s="73" t="s">
        <v>22</v>
      </c>
      <c r="B9" s="430">
        <v>32372.31</v>
      </c>
      <c r="C9" s="427">
        <v>1771.24</v>
      </c>
      <c r="D9" s="427">
        <v>6003.66</v>
      </c>
      <c r="E9" s="427">
        <v>7206.76</v>
      </c>
      <c r="F9" s="427">
        <v>1350.55</v>
      </c>
      <c r="G9" s="427">
        <v>0</v>
      </c>
      <c r="H9" s="427">
        <v>0</v>
      </c>
      <c r="L9" s="430"/>
      <c r="M9" s="430"/>
      <c r="N9" s="430"/>
      <c r="O9" s="430"/>
      <c r="P9" s="430"/>
      <c r="Q9" s="430"/>
      <c r="R9" s="430"/>
    </row>
    <row r="10" spans="1:19" ht="13.25" customHeight="1">
      <c r="A10" s="73" t="s">
        <v>23</v>
      </c>
      <c r="B10" s="430">
        <v>26526.58</v>
      </c>
      <c r="C10" s="427">
        <v>428.85</v>
      </c>
      <c r="D10" s="427">
        <v>1521.26</v>
      </c>
      <c r="E10" s="427">
        <v>2995.19</v>
      </c>
      <c r="F10" s="427">
        <v>295.08999999999997</v>
      </c>
      <c r="G10" s="427">
        <v>0</v>
      </c>
      <c r="H10" s="427">
        <v>0</v>
      </c>
      <c r="L10" s="430"/>
      <c r="M10" s="430"/>
      <c r="N10" s="430"/>
      <c r="O10" s="430"/>
      <c r="P10" s="430"/>
      <c r="Q10" s="430"/>
      <c r="R10" s="430"/>
    </row>
    <row r="11" spans="1:19" ht="13.25" customHeight="1">
      <c r="A11" s="73" t="s">
        <v>24</v>
      </c>
      <c r="B11" s="430">
        <v>319759.46999999997</v>
      </c>
      <c r="C11" s="427">
        <v>2850.39</v>
      </c>
      <c r="D11" s="427">
        <v>20469.349999999999</v>
      </c>
      <c r="E11" s="427">
        <v>9165.85</v>
      </c>
      <c r="F11" s="427">
        <v>460.07</v>
      </c>
      <c r="G11" s="427">
        <v>41.37</v>
      </c>
      <c r="H11" s="427">
        <v>0</v>
      </c>
      <c r="L11" s="430"/>
      <c r="M11" s="430"/>
      <c r="N11" s="430"/>
      <c r="O11" s="430"/>
      <c r="P11" s="430"/>
      <c r="Q11" s="430"/>
      <c r="R11" s="430"/>
    </row>
    <row r="12" spans="1:19" ht="13.25" customHeight="1">
      <c r="A12" s="73" t="s">
        <v>25</v>
      </c>
      <c r="B12" s="430">
        <v>3638.76</v>
      </c>
      <c r="C12" s="427">
        <v>954.97</v>
      </c>
      <c r="D12" s="427">
        <v>5891.25</v>
      </c>
      <c r="E12" s="427">
        <v>23679.29</v>
      </c>
      <c r="F12" s="427">
        <v>250.02</v>
      </c>
      <c r="G12" s="427">
        <v>0</v>
      </c>
      <c r="H12" s="427">
        <v>0</v>
      </c>
      <c r="L12" s="430"/>
      <c r="M12" s="430"/>
      <c r="N12" s="430"/>
      <c r="O12" s="430"/>
      <c r="P12" s="430"/>
      <c r="Q12" s="430"/>
      <c r="R12" s="430"/>
    </row>
    <row r="13" spans="1:19" ht="13.25" customHeight="1">
      <c r="A13" s="73" t="s">
        <v>26</v>
      </c>
      <c r="B13" s="430">
        <v>2341.71</v>
      </c>
      <c r="C13" s="427">
        <v>651.74</v>
      </c>
      <c r="D13" s="427">
        <v>2103.37</v>
      </c>
      <c r="E13" s="427">
        <v>11952.55</v>
      </c>
      <c r="F13" s="427">
        <v>141.47999999999999</v>
      </c>
      <c r="G13" s="427">
        <v>0</v>
      </c>
      <c r="H13" s="427">
        <v>0</v>
      </c>
      <c r="L13" s="430"/>
      <c r="M13" s="430"/>
      <c r="N13" s="430"/>
      <c r="O13" s="430"/>
      <c r="P13" s="430"/>
      <c r="Q13" s="430"/>
      <c r="R13" s="430"/>
    </row>
    <row r="14" spans="1:19" ht="13.25" customHeight="1">
      <c r="A14" s="73" t="s">
        <v>27</v>
      </c>
      <c r="B14" s="430">
        <v>611.07000000000005</v>
      </c>
      <c r="C14" s="427">
        <v>260.16000000000003</v>
      </c>
      <c r="D14" s="427">
        <v>1996.31</v>
      </c>
      <c r="E14" s="427">
        <v>7093.68</v>
      </c>
      <c r="F14" s="427">
        <v>16.739999999999998</v>
      </c>
      <c r="G14" s="427">
        <v>0</v>
      </c>
      <c r="H14" s="427">
        <v>0</v>
      </c>
      <c r="L14" s="430"/>
      <c r="M14" s="430"/>
      <c r="N14" s="430"/>
      <c r="O14" s="430"/>
      <c r="P14" s="430"/>
      <c r="Q14" s="430"/>
      <c r="R14" s="430"/>
    </row>
    <row r="15" spans="1:19" ht="13.25" customHeight="1">
      <c r="A15" s="73" t="s">
        <v>28</v>
      </c>
      <c r="B15" s="430">
        <v>685.98</v>
      </c>
      <c r="C15" s="427">
        <v>43.06</v>
      </c>
      <c r="D15" s="427">
        <v>1791.57</v>
      </c>
      <c r="E15" s="427">
        <v>4633.0600000000004</v>
      </c>
      <c r="F15" s="427">
        <v>91.8</v>
      </c>
      <c r="G15" s="427">
        <v>0</v>
      </c>
      <c r="H15" s="427">
        <v>0</v>
      </c>
      <c r="L15" s="430"/>
      <c r="M15" s="430"/>
      <c r="N15" s="430"/>
      <c r="O15" s="430"/>
      <c r="P15" s="430"/>
      <c r="Q15" s="430"/>
      <c r="R15" s="430"/>
    </row>
    <row r="16" spans="1:19" ht="13.25" customHeight="1">
      <c r="A16" s="73" t="s">
        <v>29</v>
      </c>
      <c r="B16" s="430">
        <v>792.47</v>
      </c>
      <c r="C16" s="427">
        <v>53.85</v>
      </c>
      <c r="D16" s="427">
        <v>1688.1</v>
      </c>
      <c r="E16" s="427">
        <v>8002.18</v>
      </c>
      <c r="F16" s="427">
        <v>57.72</v>
      </c>
      <c r="G16" s="427">
        <v>0</v>
      </c>
      <c r="H16" s="427">
        <v>0</v>
      </c>
      <c r="L16" s="430"/>
      <c r="M16" s="430"/>
      <c r="N16" s="430"/>
      <c r="O16" s="430"/>
      <c r="P16" s="430"/>
      <c r="Q16" s="430"/>
      <c r="R16" s="430"/>
    </row>
    <row r="17" spans="1:18" ht="13.25" customHeight="1">
      <c r="A17" s="73" t="s">
        <v>30</v>
      </c>
      <c r="B17" s="430">
        <v>39267.08</v>
      </c>
      <c r="C17" s="427">
        <v>1428.87</v>
      </c>
      <c r="D17" s="427">
        <v>1856.85</v>
      </c>
      <c r="E17" s="427">
        <v>8641.02</v>
      </c>
      <c r="F17" s="427">
        <v>205.74</v>
      </c>
      <c r="G17" s="427">
        <v>12.34</v>
      </c>
      <c r="H17" s="427">
        <v>0</v>
      </c>
      <c r="L17" s="430"/>
      <c r="M17" s="430"/>
      <c r="N17" s="430"/>
      <c r="O17" s="430"/>
      <c r="P17" s="430"/>
      <c r="Q17" s="430"/>
      <c r="R17" s="430"/>
    </row>
    <row r="18" spans="1:18" ht="13.25" customHeight="1">
      <c r="A18" s="73" t="s">
        <v>31</v>
      </c>
      <c r="B18" s="430">
        <v>976907.95</v>
      </c>
      <c r="C18" s="427">
        <v>663.59</v>
      </c>
      <c r="D18" s="427">
        <v>78327.06</v>
      </c>
      <c r="E18" s="427">
        <v>21447.52</v>
      </c>
      <c r="F18" s="427">
        <v>457.35</v>
      </c>
      <c r="G18" s="427">
        <v>79.53</v>
      </c>
      <c r="H18" s="427">
        <v>59.7</v>
      </c>
      <c r="L18" s="430"/>
      <c r="M18" s="430"/>
      <c r="N18" s="430"/>
      <c r="O18" s="430"/>
      <c r="P18" s="430"/>
      <c r="Q18" s="430"/>
      <c r="R18" s="430"/>
    </row>
    <row r="19" spans="1:18" ht="13.25" customHeight="1">
      <c r="A19" s="73" t="s">
        <v>32</v>
      </c>
      <c r="B19" s="430">
        <v>96667.93</v>
      </c>
      <c r="C19" s="427">
        <v>143.54</v>
      </c>
      <c r="D19" s="427">
        <v>13365.9</v>
      </c>
      <c r="E19" s="427">
        <v>2796.46</v>
      </c>
      <c r="F19" s="427">
        <v>306.5</v>
      </c>
      <c r="G19" s="427">
        <v>0</v>
      </c>
      <c r="H19" s="427">
        <v>0</v>
      </c>
      <c r="L19" s="430"/>
      <c r="M19" s="430"/>
      <c r="N19" s="430"/>
      <c r="O19" s="430"/>
      <c r="P19" s="430"/>
      <c r="Q19" s="430"/>
      <c r="R19" s="430"/>
    </row>
    <row r="20" spans="1:18" ht="13.25" customHeight="1">
      <c r="A20" s="73" t="s">
        <v>33</v>
      </c>
      <c r="B20" s="430">
        <v>1285.22</v>
      </c>
      <c r="C20" s="427">
        <v>1776.52</v>
      </c>
      <c r="D20" s="427">
        <v>8017.06</v>
      </c>
      <c r="E20" s="427">
        <v>25252.62</v>
      </c>
      <c r="F20" s="427">
        <v>243.95</v>
      </c>
      <c r="G20" s="427">
        <v>41.9</v>
      </c>
      <c r="H20" s="427">
        <v>0</v>
      </c>
      <c r="L20" s="430"/>
      <c r="M20" s="430"/>
      <c r="N20" s="430"/>
      <c r="O20" s="430"/>
      <c r="P20" s="430"/>
      <c r="Q20" s="430"/>
      <c r="R20" s="430"/>
    </row>
    <row r="21" spans="1:18" ht="13.25" customHeight="1">
      <c r="A21" s="73" t="s">
        <v>34</v>
      </c>
      <c r="B21" s="430">
        <v>581.14</v>
      </c>
      <c r="C21" s="427">
        <v>1364.19</v>
      </c>
      <c r="D21" s="427">
        <v>1451.12</v>
      </c>
      <c r="E21" s="427">
        <v>3803.09</v>
      </c>
      <c r="F21" s="427">
        <v>12.29</v>
      </c>
      <c r="G21" s="427">
        <v>406.21</v>
      </c>
      <c r="H21" s="427">
        <v>122.04</v>
      </c>
      <c r="L21" s="430"/>
      <c r="M21" s="430"/>
      <c r="N21" s="430"/>
      <c r="O21" s="430"/>
      <c r="P21" s="430"/>
      <c r="Q21" s="430"/>
      <c r="R21" s="430"/>
    </row>
    <row r="22" spans="1:18" ht="13.25" customHeight="1">
      <c r="A22" s="73" t="s">
        <v>35</v>
      </c>
      <c r="B22" s="430">
        <v>10501.71</v>
      </c>
      <c r="C22" s="427">
        <v>3400.46</v>
      </c>
      <c r="D22" s="427">
        <v>5510.86</v>
      </c>
      <c r="E22" s="427">
        <v>7787.01</v>
      </c>
      <c r="F22" s="427">
        <v>41.9</v>
      </c>
      <c r="G22" s="427">
        <v>319.14</v>
      </c>
      <c r="H22" s="427">
        <v>248.49</v>
      </c>
      <c r="L22" s="430"/>
      <c r="M22" s="430"/>
      <c r="N22" s="430"/>
      <c r="O22" s="430"/>
      <c r="P22" s="430"/>
      <c r="Q22" s="430"/>
      <c r="R22" s="430"/>
    </row>
    <row r="23" spans="1:18" ht="13.25" customHeight="1">
      <c r="A23" s="73" t="s">
        <v>36</v>
      </c>
      <c r="B23" s="430">
        <v>968.22</v>
      </c>
      <c r="C23" s="427">
        <v>1305.23</v>
      </c>
      <c r="D23" s="427">
        <v>1466.49</v>
      </c>
      <c r="E23" s="427">
        <v>3104.35</v>
      </c>
      <c r="F23" s="427">
        <v>286.69</v>
      </c>
      <c r="G23" s="427">
        <v>514.41999999999996</v>
      </c>
      <c r="H23" s="427">
        <v>252.66</v>
      </c>
      <c r="L23" s="430"/>
      <c r="M23" s="430"/>
      <c r="N23" s="430"/>
      <c r="O23" s="430"/>
      <c r="P23" s="430"/>
      <c r="Q23" s="430"/>
      <c r="R23" s="430"/>
    </row>
    <row r="24" spans="1:18" ht="13.25" customHeight="1">
      <c r="A24" s="73" t="s">
        <v>37</v>
      </c>
      <c r="B24" s="430">
        <v>174115.49</v>
      </c>
      <c r="C24" s="427">
        <v>1972.24</v>
      </c>
      <c r="D24" s="427">
        <v>11997.63</v>
      </c>
      <c r="E24" s="427">
        <v>5347.75</v>
      </c>
      <c r="F24" s="427">
        <v>127.94</v>
      </c>
      <c r="G24" s="427">
        <v>1127.53</v>
      </c>
      <c r="H24" s="427">
        <v>443.38</v>
      </c>
      <c r="L24" s="430"/>
      <c r="M24" s="430"/>
      <c r="N24" s="430"/>
      <c r="O24" s="430"/>
      <c r="P24" s="430"/>
      <c r="Q24" s="430"/>
      <c r="R24" s="430"/>
    </row>
    <row r="25" spans="1:18" ht="13.25" customHeight="1">
      <c r="A25" s="73" t="s">
        <v>38</v>
      </c>
      <c r="B25" s="430">
        <v>190.98</v>
      </c>
      <c r="C25" s="427">
        <v>72.78</v>
      </c>
      <c r="D25" s="427">
        <v>1264.7</v>
      </c>
      <c r="E25" s="427">
        <v>718.7</v>
      </c>
      <c r="F25" s="427">
        <v>14.22</v>
      </c>
      <c r="G25" s="427">
        <v>134.96</v>
      </c>
      <c r="H25" s="427">
        <v>61.28</v>
      </c>
      <c r="L25" s="430"/>
      <c r="M25" s="430"/>
      <c r="N25" s="430"/>
      <c r="O25" s="430"/>
      <c r="P25" s="430"/>
      <c r="Q25" s="430"/>
      <c r="R25" s="430"/>
    </row>
    <row r="26" spans="1:18" ht="13.25" customHeight="1">
      <c r="A26" s="73" t="s">
        <v>39</v>
      </c>
      <c r="B26" s="430">
        <v>19292.330000000002</v>
      </c>
      <c r="C26" s="427">
        <v>199.63</v>
      </c>
      <c r="D26" s="427">
        <v>2888.59</v>
      </c>
      <c r="E26" s="427">
        <v>997.11</v>
      </c>
      <c r="F26" s="427">
        <v>85.22</v>
      </c>
      <c r="G26" s="427">
        <v>247.63</v>
      </c>
      <c r="H26" s="427">
        <v>149.22999999999999</v>
      </c>
      <c r="L26" s="430"/>
      <c r="M26" s="430"/>
      <c r="N26" s="430"/>
      <c r="O26" s="430"/>
      <c r="P26" s="430"/>
      <c r="Q26" s="430"/>
      <c r="R26" s="430"/>
    </row>
    <row r="27" spans="1:18" ht="13.25" customHeight="1">
      <c r="A27" s="73" t="s">
        <v>40</v>
      </c>
      <c r="B27" s="430">
        <v>1051</v>
      </c>
      <c r="C27" s="427">
        <v>1703.98</v>
      </c>
      <c r="D27" s="427">
        <v>2811.19</v>
      </c>
      <c r="E27" s="427">
        <v>11890.44</v>
      </c>
      <c r="F27" s="427">
        <v>305.79000000000002</v>
      </c>
      <c r="G27" s="427">
        <v>864.23</v>
      </c>
      <c r="H27" s="427">
        <v>167.69</v>
      </c>
      <c r="L27" s="430"/>
      <c r="M27" s="430"/>
      <c r="N27" s="430"/>
      <c r="O27" s="430"/>
      <c r="P27" s="430"/>
      <c r="Q27" s="430"/>
      <c r="R27" s="430"/>
    </row>
    <row r="28" spans="1:18" ht="13.25" customHeight="1">
      <c r="A28" s="73" t="s">
        <v>41</v>
      </c>
      <c r="B28" s="430">
        <v>761.41</v>
      </c>
      <c r="C28" s="427">
        <v>822.77</v>
      </c>
      <c r="D28" s="427">
        <v>2536.4</v>
      </c>
      <c r="E28" s="427">
        <v>4277.33</v>
      </c>
      <c r="F28" s="427">
        <v>182.59</v>
      </c>
      <c r="G28" s="427">
        <v>525.54</v>
      </c>
      <c r="H28" s="427">
        <v>284.32</v>
      </c>
      <c r="L28" s="430"/>
      <c r="M28" s="430"/>
      <c r="N28" s="430"/>
      <c r="O28" s="430"/>
      <c r="P28" s="430"/>
      <c r="Q28" s="430"/>
      <c r="R28" s="430"/>
    </row>
    <row r="29" spans="1:18" ht="13.25" customHeight="1">
      <c r="A29" s="73" t="s">
        <v>42</v>
      </c>
      <c r="B29" s="430">
        <v>464.87</v>
      </c>
      <c r="C29" s="427">
        <v>441.29</v>
      </c>
      <c r="D29" s="427">
        <v>893.97</v>
      </c>
      <c r="E29" s="427">
        <v>2175.3000000000002</v>
      </c>
      <c r="F29" s="427">
        <v>58.24</v>
      </c>
      <c r="G29" s="427">
        <v>357.56</v>
      </c>
      <c r="H29" s="427">
        <v>144.75</v>
      </c>
      <c r="L29" s="430"/>
      <c r="M29" s="430"/>
      <c r="N29" s="430"/>
      <c r="O29" s="430"/>
      <c r="P29" s="430"/>
      <c r="Q29" s="430"/>
      <c r="R29" s="430"/>
    </row>
    <row r="30" spans="1:18" ht="13.25" customHeight="1">
      <c r="A30" s="73" t="s">
        <v>43</v>
      </c>
      <c r="B30" s="430">
        <v>296.54000000000002</v>
      </c>
      <c r="C30" s="427">
        <v>381.48</v>
      </c>
      <c r="D30" s="427">
        <v>1642.43</v>
      </c>
      <c r="E30" s="427">
        <v>2102.0300000000002</v>
      </c>
      <c r="F30" s="427">
        <v>124.35</v>
      </c>
      <c r="G30" s="427">
        <v>167.98</v>
      </c>
      <c r="H30" s="427">
        <v>139.58000000000001</v>
      </c>
      <c r="L30" s="430"/>
      <c r="M30" s="430"/>
      <c r="N30" s="430"/>
      <c r="O30" s="430"/>
      <c r="P30" s="430"/>
      <c r="Q30" s="430"/>
      <c r="R30" s="430"/>
    </row>
    <row r="31" spans="1:18" ht="13.25" customHeight="1">
      <c r="A31" s="73" t="s">
        <v>44</v>
      </c>
      <c r="B31" s="430">
        <v>3861.37</v>
      </c>
      <c r="C31" s="427">
        <v>4030.43</v>
      </c>
      <c r="D31" s="427">
        <v>4583.99</v>
      </c>
      <c r="E31" s="427">
        <v>11976.59</v>
      </c>
      <c r="F31" s="427">
        <v>53.84</v>
      </c>
      <c r="G31" s="427">
        <v>2566.0100000000002</v>
      </c>
      <c r="H31" s="427">
        <v>614.58000000000004</v>
      </c>
      <c r="L31" s="430"/>
      <c r="M31" s="430"/>
      <c r="N31" s="430"/>
      <c r="O31" s="430"/>
      <c r="P31" s="430"/>
      <c r="Q31" s="430"/>
      <c r="R31" s="430"/>
    </row>
    <row r="32" spans="1:18" ht="13.25" customHeight="1">
      <c r="A32" s="73" t="s">
        <v>45</v>
      </c>
      <c r="B32" s="430">
        <v>2662.14</v>
      </c>
      <c r="C32" s="427">
        <v>8420.4699999999993</v>
      </c>
      <c r="D32" s="427">
        <v>2636.13</v>
      </c>
      <c r="E32" s="427">
        <v>21545.72</v>
      </c>
      <c r="F32" s="427">
        <v>0</v>
      </c>
      <c r="G32" s="427">
        <v>5872.93</v>
      </c>
      <c r="H32" s="427">
        <v>1567.93</v>
      </c>
      <c r="L32" s="430"/>
      <c r="M32" s="430"/>
      <c r="N32" s="430"/>
      <c r="O32" s="430"/>
      <c r="P32" s="430"/>
      <c r="Q32" s="430"/>
      <c r="R32" s="430"/>
    </row>
    <row r="33" spans="1:18" ht="13.25" customHeight="1">
      <c r="A33" s="73" t="s">
        <v>46</v>
      </c>
      <c r="B33" s="430">
        <v>39409.019999999997</v>
      </c>
      <c r="C33" s="427">
        <v>58.2</v>
      </c>
      <c r="D33" s="427">
        <v>3036.33</v>
      </c>
      <c r="E33" s="427">
        <v>5683.18</v>
      </c>
      <c r="F33" s="427">
        <v>0</v>
      </c>
      <c r="G33" s="427">
        <v>0</v>
      </c>
      <c r="H33" s="427">
        <v>0</v>
      </c>
      <c r="L33" s="430"/>
      <c r="M33" s="430"/>
      <c r="N33" s="430"/>
      <c r="O33" s="430"/>
      <c r="P33" s="430"/>
      <c r="Q33" s="430"/>
      <c r="R33" s="430"/>
    </row>
    <row r="34" spans="1:18" ht="13.25" customHeight="1">
      <c r="A34" s="73" t="s">
        <v>47</v>
      </c>
      <c r="B34" s="430">
        <v>26244.400000000001</v>
      </c>
      <c r="C34" s="427">
        <v>28.65</v>
      </c>
      <c r="D34" s="427">
        <v>1824.08</v>
      </c>
      <c r="E34" s="427">
        <v>1486.82</v>
      </c>
      <c r="F34" s="427">
        <v>0.33</v>
      </c>
      <c r="G34" s="427">
        <v>0</v>
      </c>
      <c r="H34" s="427">
        <v>0</v>
      </c>
      <c r="L34" s="430"/>
      <c r="M34" s="430"/>
      <c r="N34" s="430"/>
      <c r="O34" s="430"/>
      <c r="P34" s="430"/>
      <c r="Q34" s="430"/>
      <c r="R34" s="430"/>
    </row>
    <row r="35" spans="1:18" ht="13.25" customHeight="1">
      <c r="A35" s="73" t="s">
        <v>48</v>
      </c>
      <c r="B35" s="430">
        <v>15263.38</v>
      </c>
      <c r="C35" s="427">
        <v>29.79</v>
      </c>
      <c r="D35" s="427">
        <v>712.38</v>
      </c>
      <c r="E35" s="427">
        <v>2229.04</v>
      </c>
      <c r="F35" s="427">
        <v>0</v>
      </c>
      <c r="G35" s="427">
        <v>0</v>
      </c>
      <c r="H35" s="427">
        <v>0</v>
      </c>
      <c r="L35" s="430"/>
      <c r="M35" s="430"/>
      <c r="N35" s="430"/>
      <c r="O35" s="430"/>
      <c r="P35" s="430"/>
      <c r="Q35" s="430"/>
      <c r="R35" s="430"/>
    </row>
    <row r="36" spans="1:18" ht="13.25" customHeight="1" thickBot="1">
      <c r="A36" s="74" t="s">
        <v>49</v>
      </c>
      <c r="B36" s="431">
        <v>9413.27</v>
      </c>
      <c r="C36" s="428">
        <v>28.21</v>
      </c>
      <c r="D36" s="428">
        <v>1259.1500000000001</v>
      </c>
      <c r="E36" s="428">
        <v>2189.96</v>
      </c>
      <c r="F36" s="428">
        <v>0</v>
      </c>
      <c r="G36" s="428">
        <v>0</v>
      </c>
      <c r="H36" s="428">
        <v>0</v>
      </c>
      <c r="L36" s="430"/>
      <c r="M36" s="430"/>
      <c r="N36" s="430"/>
      <c r="O36" s="430"/>
      <c r="P36" s="430"/>
      <c r="Q36" s="430"/>
      <c r="R36" s="430"/>
    </row>
    <row r="37" spans="1:18" ht="9" customHeight="1">
      <c r="A37" s="778" t="s">
        <v>402</v>
      </c>
      <c r="B37" s="794"/>
      <c r="C37" s="797"/>
      <c r="D37" s="797"/>
      <c r="E37" s="794"/>
      <c r="F37" s="200"/>
      <c r="G37" s="200"/>
      <c r="H37" s="164"/>
    </row>
    <row r="38" spans="1:18" ht="9" customHeight="1">
      <c r="A38" s="778" t="s">
        <v>359</v>
      </c>
      <c r="B38" s="798"/>
      <c r="C38" s="798"/>
      <c r="D38" s="798"/>
      <c r="E38" s="798"/>
      <c r="F38" s="201"/>
      <c r="G38" s="201"/>
      <c r="H38" s="77"/>
    </row>
    <row r="39" spans="1:18" ht="9" customHeight="1">
      <c r="A39" s="780" t="s">
        <v>358</v>
      </c>
      <c r="B39" s="794"/>
      <c r="C39" s="794"/>
      <c r="D39" s="794"/>
      <c r="E39" s="794"/>
      <c r="F39" s="188"/>
      <c r="G39" s="188"/>
    </row>
    <row r="40" spans="1:18" ht="13.25" customHeight="1">
      <c r="A40" s="780"/>
      <c r="B40" s="796"/>
      <c r="C40" s="796"/>
      <c r="D40" s="796"/>
      <c r="E40" s="796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theme="9" tint="0.59999389629810485"/>
  </sheetPr>
  <dimension ref="A2:I40"/>
  <sheetViews>
    <sheetView showGridLines="0" zoomScaleNormal="100" workbookViewId="0">
      <selection activeCell="D14" sqref="D14"/>
    </sheetView>
  </sheetViews>
  <sheetFormatPr baseColWidth="10" defaultColWidth="7" defaultRowHeight="13.25" customHeight="1"/>
  <cols>
    <col min="1" max="1" width="14" style="73" customWidth="1"/>
    <col min="2" max="8" width="9" style="73" customWidth="1"/>
    <col min="9" max="9" width="8" style="73" customWidth="1"/>
    <col min="10" max="16384" width="7" style="73"/>
  </cols>
  <sheetData>
    <row r="2" spans="1:9" ht="13.25" customHeight="1">
      <c r="A2" s="198" t="s">
        <v>481</v>
      </c>
      <c r="B2" s="109"/>
      <c r="C2" s="109"/>
    </row>
    <row r="3" spans="1:9" ht="13.25" customHeight="1">
      <c r="A3" s="202" t="s">
        <v>231</v>
      </c>
      <c r="B3" s="104"/>
      <c r="C3" s="104"/>
      <c r="D3" s="103"/>
      <c r="E3" s="103"/>
      <c r="F3" s="103"/>
      <c r="G3" s="103"/>
      <c r="H3" s="103"/>
    </row>
    <row r="4" spans="1:9" ht="5" customHeight="1" thickBot="1"/>
    <row r="5" spans="1:9" ht="15" customHeight="1">
      <c r="A5" s="568" t="s">
        <v>18</v>
      </c>
      <c r="B5" s="568" t="s">
        <v>19</v>
      </c>
      <c r="C5" s="568" t="s">
        <v>5</v>
      </c>
      <c r="D5" s="568" t="s">
        <v>6</v>
      </c>
      <c r="E5" s="568" t="s">
        <v>7</v>
      </c>
      <c r="F5" s="568" t="s">
        <v>8</v>
      </c>
      <c r="G5" s="568" t="s">
        <v>9</v>
      </c>
      <c r="H5" s="568" t="s">
        <v>10</v>
      </c>
    </row>
    <row r="6" spans="1:9" ht="15" customHeight="1">
      <c r="A6" s="556" t="s">
        <v>90</v>
      </c>
      <c r="B6" s="558">
        <f>('C 8'!B6/'C 7'!B6)*1000</f>
        <v>2.2421422160291358</v>
      </c>
      <c r="C6" s="559">
        <f>('C 8'!C6/'C 7'!C6)*1000</f>
        <v>12.934779112289831</v>
      </c>
      <c r="D6" s="559">
        <f>('C 8'!D6/'C 7'!D6)*1000</f>
        <v>52.453464205730761</v>
      </c>
      <c r="E6" s="559">
        <f>('C 8'!E6/'C 7'!E6)*1000</f>
        <v>146.41807247891137</v>
      </c>
      <c r="F6" s="616">
        <f>('C 8'!F6/'C 7'!F6)*1000</f>
        <v>12.62959151018835</v>
      </c>
      <c r="G6" s="616">
        <f>('C 8'!G6/'C 7'!G6)*1000</f>
        <v>26.781755948006133</v>
      </c>
      <c r="H6" s="616">
        <f>('C 8'!H6/'C 7'!H6)*1000</f>
        <v>33.586403397120975</v>
      </c>
    </row>
    <row r="7" spans="1:9" ht="3" customHeight="1">
      <c r="A7" s="109"/>
      <c r="B7" s="463"/>
      <c r="C7" s="465"/>
      <c r="D7" s="465"/>
      <c r="E7" s="465"/>
      <c r="F7" s="886"/>
      <c r="G7" s="886"/>
      <c r="H7" s="886"/>
    </row>
    <row r="8" spans="1:9" ht="13.25" customHeight="1">
      <c r="A8" s="73" t="s">
        <v>21</v>
      </c>
      <c r="B8" s="464">
        <f>'C 8'!B8/'C 7'!B8*1000</f>
        <v>2.5744343161718524</v>
      </c>
      <c r="C8" s="466">
        <f>'C 8'!C8/'C 7'!C8*1000</f>
        <v>12.741187384044526</v>
      </c>
      <c r="D8" s="466">
        <f>'C 8'!D8/'C 7'!D8*1000</f>
        <v>47.97879501851228</v>
      </c>
      <c r="E8" s="466">
        <f>'C 8'!E8/'C 7'!E8*1000</f>
        <v>148.52207870231302</v>
      </c>
      <c r="F8" s="266">
        <f>'C 8'!F8/'C 7'!F8*1000</f>
        <v>10.451468500928048</v>
      </c>
      <c r="G8" s="266">
        <v>0</v>
      </c>
      <c r="H8" s="266">
        <v>0</v>
      </c>
      <c r="I8" s="166" t="s">
        <v>75</v>
      </c>
    </row>
    <row r="9" spans="1:9" ht="13.25" customHeight="1">
      <c r="A9" s="73" t="s">
        <v>22</v>
      </c>
      <c r="B9" s="464">
        <f>'C 8'!B9/'C 7'!B9*1000</f>
        <v>2.2071559521562008</v>
      </c>
      <c r="C9" s="466">
        <f>'C 8'!C9/'C 7'!C9*1000</f>
        <v>15.724619411014798</v>
      </c>
      <c r="D9" s="466">
        <f>'C 8'!D9/'C 7'!D9*1000</f>
        <v>52.359676579578746</v>
      </c>
      <c r="E9" s="466">
        <f>'C 8'!E9/'C 7'!E9*1000</f>
        <v>153.32259663559833</v>
      </c>
      <c r="F9" s="266">
        <f>'C 8'!F9/'C 7'!F9*1000</f>
        <v>13.988349860484194</v>
      </c>
      <c r="G9" s="266">
        <v>0</v>
      </c>
      <c r="H9" s="266">
        <v>0</v>
      </c>
    </row>
    <row r="10" spans="1:9" ht="13.25" customHeight="1">
      <c r="A10" s="73" t="s">
        <v>23</v>
      </c>
      <c r="B10" s="464">
        <f>'C 8'!B10/'C 7'!B10*1000</f>
        <v>2.2033965488151894</v>
      </c>
      <c r="C10" s="466">
        <f>'C 8'!C10/'C 7'!C10*1000</f>
        <v>16.338387686680893</v>
      </c>
      <c r="D10" s="466">
        <f>'C 8'!D10/'C 7'!D10*1000</f>
        <v>50.30621693121693</v>
      </c>
      <c r="E10" s="466">
        <f>'C 8'!E10/'C 7'!E10*1000</f>
        <v>143.34481933476908</v>
      </c>
      <c r="F10" s="266">
        <f>'C 8'!F10/'C 7'!F10*1000</f>
        <v>16.49745625314474</v>
      </c>
      <c r="G10" s="266">
        <v>0</v>
      </c>
      <c r="H10" s="266">
        <v>0</v>
      </c>
    </row>
    <row r="11" spans="1:9" ht="13.25" customHeight="1">
      <c r="A11" s="73" t="s">
        <v>24</v>
      </c>
      <c r="B11" s="464">
        <f>'C 8'!B11/'C 7'!B11*1000</f>
        <v>2.2302712126375392</v>
      </c>
      <c r="C11" s="466">
        <f>'C 8'!C11/'C 7'!C11*1000</f>
        <v>13.521389334269422</v>
      </c>
      <c r="D11" s="466">
        <f>'C 8'!D11/'C 7'!D11*1000</f>
        <v>59.05841111383603</v>
      </c>
      <c r="E11" s="466">
        <f>'C 8'!E11/'C 7'!E11*1000</f>
        <v>143.46298325246516</v>
      </c>
      <c r="F11" s="266">
        <f>'C 8'!F11/'C 7'!F11*1000</f>
        <v>13.233712066733784</v>
      </c>
      <c r="G11" s="266">
        <f>'C 8'!G11/'C 7'!G11*1000</f>
        <v>31.272205004157527</v>
      </c>
      <c r="H11" s="266">
        <v>0</v>
      </c>
    </row>
    <row r="12" spans="1:9" ht="13.25" customHeight="1">
      <c r="A12" s="73" t="s">
        <v>25</v>
      </c>
      <c r="B12" s="464">
        <f>'C 8'!B12/'C 7'!B12*1000</f>
        <v>2.1606286009140674</v>
      </c>
      <c r="C12" s="466">
        <f>'C 8'!C12/'C 7'!C12*1000</f>
        <v>11.258916044754123</v>
      </c>
      <c r="D12" s="466">
        <f>'C 8'!D12/'C 7'!D12*1000</f>
        <v>41.302396993767395</v>
      </c>
      <c r="E12" s="466">
        <f>'C 8'!E12/'C 7'!E12*1000</f>
        <v>131.70819752372265</v>
      </c>
      <c r="F12" s="266">
        <f>'C 8'!F12/'C 7'!F12*1000</f>
        <v>10.240425967642844</v>
      </c>
      <c r="G12" s="266">
        <v>0</v>
      </c>
      <c r="H12" s="266">
        <v>0</v>
      </c>
    </row>
    <row r="13" spans="1:9" ht="13.25" customHeight="1">
      <c r="A13" s="73" t="s">
        <v>26</v>
      </c>
      <c r="B13" s="464">
        <f>'C 8'!B13/'C 7'!B13*1000</f>
        <v>2.2017111162760266</v>
      </c>
      <c r="C13" s="466">
        <f>'C 8'!C13/'C 7'!C13*1000</f>
        <v>10.679360293635709</v>
      </c>
      <c r="D13" s="466">
        <f>'C 8'!D13/'C 7'!D13*1000</f>
        <v>37.242289032897766</v>
      </c>
      <c r="E13" s="466">
        <f>'C 8'!E13/'C 7'!E13*1000</f>
        <v>121.05932160473195</v>
      </c>
      <c r="F13" s="266">
        <f>'C 8'!F13/'C 7'!F13*1000</f>
        <v>9.9479679369990155</v>
      </c>
      <c r="G13" s="266">
        <v>0</v>
      </c>
      <c r="H13" s="266">
        <v>0</v>
      </c>
    </row>
    <row r="14" spans="1:9" ht="13.25" customHeight="1">
      <c r="A14" s="73" t="s">
        <v>27</v>
      </c>
      <c r="B14" s="464">
        <f>'C 8'!B14/'C 7'!B14*1000</f>
        <v>2.1061741747827805</v>
      </c>
      <c r="C14" s="466">
        <f>'C 8'!C14/'C 7'!C14*1000</f>
        <v>12.880483216160016</v>
      </c>
      <c r="D14" s="466">
        <f>'C 8'!D14/'C 7'!D14*1000</f>
        <v>42.14825605945444</v>
      </c>
      <c r="E14" s="466">
        <f>'C 8'!E14/'C 7'!E14*1000</f>
        <v>139.18455440882158</v>
      </c>
      <c r="F14" s="266">
        <f>'C 8'!F14/'C 7'!F14*1000</f>
        <v>13.823286540049544</v>
      </c>
      <c r="G14" s="266">
        <v>0</v>
      </c>
      <c r="H14" s="266">
        <v>0</v>
      </c>
    </row>
    <row r="15" spans="1:9" ht="13.25" customHeight="1">
      <c r="A15" s="73" t="s">
        <v>28</v>
      </c>
      <c r="B15" s="464">
        <f>'C 8'!B15/'C 7'!B15*1000</f>
        <v>2.0761980859680027</v>
      </c>
      <c r="C15" s="466">
        <f>'C 8'!C15/'C 7'!C15*1000</f>
        <v>11.98441413860284</v>
      </c>
      <c r="D15" s="466">
        <f>'C 8'!D15/'C 7'!D15*1000</f>
        <v>46.180435623147311</v>
      </c>
      <c r="E15" s="466">
        <f>'C 8'!E15/'C 7'!E15*1000</f>
        <v>153.988765912188</v>
      </c>
      <c r="F15" s="266">
        <f>'C 8'!F15/'C 7'!F15*1000</f>
        <v>10.220440881763528</v>
      </c>
      <c r="G15" s="266">
        <v>0</v>
      </c>
      <c r="H15" s="266">
        <v>0</v>
      </c>
    </row>
    <row r="16" spans="1:9" ht="13.25" customHeight="1">
      <c r="A16" s="73" t="s">
        <v>29</v>
      </c>
      <c r="B16" s="464">
        <f>'C 8'!B16/'C 7'!B16*1000</f>
        <v>2.1189150744121625</v>
      </c>
      <c r="C16" s="466">
        <f>'C 8'!C16/'C 7'!C16*1000</f>
        <v>15.861561119293079</v>
      </c>
      <c r="D16" s="466">
        <f>'C 8'!D16/'C 7'!D16*1000</f>
        <v>52.55440366115625</v>
      </c>
      <c r="E16" s="466">
        <f>'C 8'!E16/'C 7'!E16*1000</f>
        <v>141.90275216342744</v>
      </c>
      <c r="F16" s="266">
        <f>'C 8'!F16/'C 7'!F16*1000</f>
        <v>12.59711916193802</v>
      </c>
      <c r="G16" s="266">
        <v>0</v>
      </c>
      <c r="H16" s="266">
        <v>0</v>
      </c>
    </row>
    <row r="17" spans="1:8" ht="13.25" customHeight="1">
      <c r="A17" s="73" t="s">
        <v>30</v>
      </c>
      <c r="B17" s="464">
        <f>'C 8'!B17/'C 7'!B17*1000</f>
        <v>2.2503970753276352</v>
      </c>
      <c r="C17" s="466">
        <f>'C 8'!C17/'C 7'!C17*1000</f>
        <v>10.777254830972529</v>
      </c>
      <c r="D17" s="466">
        <f>'C 8'!D17/'C 7'!D17*1000</f>
        <v>30.042713608490946</v>
      </c>
      <c r="E17" s="466">
        <f>'C 8'!E17/'C 7'!E17*1000</f>
        <v>138.33821622400461</v>
      </c>
      <c r="F17" s="266">
        <f>'C 8'!F17/'C 7'!F17*1000</f>
        <v>10.119024198308086</v>
      </c>
      <c r="G17" s="266">
        <f>'C 8'!G17/'C 7'!G17*1000</f>
        <v>25.762004175365345</v>
      </c>
      <c r="H17" s="266">
        <v>0</v>
      </c>
    </row>
    <row r="18" spans="1:8" ht="13.25" customHeight="1">
      <c r="A18" s="73" t="s">
        <v>31</v>
      </c>
      <c r="B18" s="464">
        <f>'C 8'!B18/'C 7'!B18*1000</f>
        <v>2.2610839712353679</v>
      </c>
      <c r="C18" s="466">
        <f>'C 8'!C18/'C 7'!C18*1000</f>
        <v>12.240873623434359</v>
      </c>
      <c r="D18" s="466">
        <f>'C 8'!D18/'C 7'!D18*1000</f>
        <v>63.086777174020284</v>
      </c>
      <c r="E18" s="466">
        <f>'C 8'!E18/'C 7'!E18*1000</f>
        <v>195.64656580049223</v>
      </c>
      <c r="F18" s="266">
        <f>'C 8'!F18/'C 7'!F18*1000</f>
        <v>12.837534384999721</v>
      </c>
      <c r="G18" s="266">
        <f>'C 8'!G18/'C 7'!G18*1000</f>
        <v>27.915057915057915</v>
      </c>
      <c r="H18" s="266">
        <f>'C 8'!H18/'C 7'!H18*1000</f>
        <v>30.412633723892004</v>
      </c>
    </row>
    <row r="19" spans="1:8" ht="13.25" customHeight="1">
      <c r="A19" s="73" t="s">
        <v>32</v>
      </c>
      <c r="B19" s="464">
        <f>'C 8'!B19/'C 7'!B19*1000</f>
        <v>2.1811303684054333</v>
      </c>
      <c r="C19" s="466">
        <f>'C 8'!C19/'C 7'!C19*1000</f>
        <v>10.756088422630199</v>
      </c>
      <c r="D19" s="466">
        <f>'C 8'!D19/'C 7'!D19*1000</f>
        <v>47.684947341381971</v>
      </c>
      <c r="E19" s="466">
        <f>'C 8'!E19/'C 7'!E19*1000</f>
        <v>132.03928419660986</v>
      </c>
      <c r="F19" s="266">
        <f>'C 8'!F19/'C 7'!F19*1000</f>
        <v>13.075380743142357</v>
      </c>
      <c r="G19" s="266">
        <v>0</v>
      </c>
      <c r="H19" s="266">
        <v>0</v>
      </c>
    </row>
    <row r="20" spans="1:8" ht="13.25" customHeight="1">
      <c r="A20" s="73" t="s">
        <v>33</v>
      </c>
      <c r="B20" s="464">
        <f>'C 8'!B20/'C 7'!B20*1000</f>
        <v>2.0925449930062348</v>
      </c>
      <c r="C20" s="466">
        <f>'C 8'!C20/'C 7'!C20*1000</f>
        <v>11.239102653322028</v>
      </c>
      <c r="D20" s="466">
        <f>'C 8'!D20/'C 7'!D20*1000</f>
        <v>37.83577405364079</v>
      </c>
      <c r="E20" s="466">
        <f>'C 8'!E20/'C 7'!E20*1000</f>
        <v>166.31291244615971</v>
      </c>
      <c r="F20" s="266">
        <f>'C 8'!F20/'C 7'!F20*1000</f>
        <v>9.8236217935811219</v>
      </c>
      <c r="G20" s="266">
        <f>'C 8'!G20/'C 7'!G20*1000</f>
        <v>25.165165165165167</v>
      </c>
      <c r="H20" s="266">
        <v>0</v>
      </c>
    </row>
    <row r="21" spans="1:8" ht="13.25" customHeight="1">
      <c r="A21" s="73" t="s">
        <v>34</v>
      </c>
      <c r="B21" s="464">
        <f>'C 8'!B21/'C 7'!B21*1000</f>
        <v>2.1948985623289778</v>
      </c>
      <c r="C21" s="466">
        <f>'C 8'!C21/'C 7'!C21*1000</f>
        <v>12.115471718221299</v>
      </c>
      <c r="D21" s="466">
        <f>'C 8'!D21/'C 7'!D21*1000</f>
        <v>37.220611998871419</v>
      </c>
      <c r="E21" s="466">
        <f>'C 8'!E21/'C 7'!E21*1000</f>
        <v>160.2380551108115</v>
      </c>
      <c r="F21" s="266">
        <f>'C 8'!F21/'C 7'!F21*1000</f>
        <v>11.840077071290942</v>
      </c>
      <c r="G21" s="266">
        <f>'C 8'!G21/'C 7'!G21*1000</f>
        <v>22.641435817401483</v>
      </c>
      <c r="H21" s="266">
        <f>'C 8'!H21/'C 7'!H21*1000</f>
        <v>29.105652277605536</v>
      </c>
    </row>
    <row r="22" spans="1:8" ht="13.25" customHeight="1">
      <c r="A22" s="73" t="s">
        <v>35</v>
      </c>
      <c r="B22" s="464">
        <f>'C 8'!B22/'C 7'!B22*1000</f>
        <v>2.2246571307684788</v>
      </c>
      <c r="C22" s="466">
        <f>'C 8'!C22/'C 7'!C22*1000</f>
        <v>11.307389709672163</v>
      </c>
      <c r="D22" s="466">
        <f>'C 8'!D22/'C 7'!D22*1000</f>
        <v>44.884385766295537</v>
      </c>
      <c r="E22" s="466">
        <f>'C 8'!E22/'C 7'!E22*1000</f>
        <v>131.17173418681043</v>
      </c>
      <c r="F22" s="266">
        <f>'C 8'!F22/'C 7'!F22*1000</f>
        <v>10.37128712871287</v>
      </c>
      <c r="G22" s="266">
        <f>'C 8'!G22/'C 7'!G22*1000</f>
        <v>22.372239747634069</v>
      </c>
      <c r="H22" s="266">
        <f>'C 8'!H22/'C 7'!H22*1000</f>
        <v>28.077966101694916</v>
      </c>
    </row>
    <row r="23" spans="1:8" ht="13.25" customHeight="1">
      <c r="A23" s="73" t="s">
        <v>36</v>
      </c>
      <c r="B23" s="464">
        <f>'C 8'!B23/'C 7'!B23*1000</f>
        <v>2.1048951824288147</v>
      </c>
      <c r="C23" s="466">
        <f>'C 8'!C23/'C 7'!C23*1000</f>
        <v>12.459240168003054</v>
      </c>
      <c r="D23" s="466">
        <f>'C 8'!D23/'C 7'!D23*1000</f>
        <v>40.858067050593021</v>
      </c>
      <c r="E23" s="466">
        <f>'C 8'!E23/'C 7'!E23*1000</f>
        <v>119.39991384482839</v>
      </c>
      <c r="F23" s="266">
        <f>'C 8'!F23/'C 7'!F23*1000</f>
        <v>13.309409296020499</v>
      </c>
      <c r="G23" s="266">
        <f>'C 8'!G23/'C 7'!G23*1000</f>
        <v>25.739017312118481</v>
      </c>
      <c r="H23" s="266">
        <f>'C 8'!H23/'C 7'!H23*1000</f>
        <v>29.921837991473236</v>
      </c>
    </row>
    <row r="24" spans="1:8" ht="13.25" customHeight="1">
      <c r="A24" s="73" t="s">
        <v>37</v>
      </c>
      <c r="B24" s="464">
        <f>'C 8'!B24/'C 7'!B24*1000</f>
        <v>2.2334007002256846</v>
      </c>
      <c r="C24" s="466">
        <f>'C 8'!C24/'C 7'!C24*1000</f>
        <v>14.480044638923967</v>
      </c>
      <c r="D24" s="466">
        <f>'C 8'!D24/'C 7'!D24*1000</f>
        <v>56.051643104753182</v>
      </c>
      <c r="E24" s="466">
        <f>'C 8'!E24/'C 7'!E24*1000</f>
        <v>164.6272010836104</v>
      </c>
      <c r="F24" s="266">
        <f>'C 8'!F24/'C 7'!F24*1000</f>
        <v>11.753789618741386</v>
      </c>
      <c r="G24" s="266">
        <f>'C 8'!G24/'C 7'!G24*1000</f>
        <v>24.52485046220772</v>
      </c>
      <c r="H24" s="266">
        <f>'C 8'!H24/'C 7'!H24*1000</f>
        <v>34.536532170119955</v>
      </c>
    </row>
    <row r="25" spans="1:8" ht="13.25" customHeight="1">
      <c r="A25" s="73" t="s">
        <v>38</v>
      </c>
      <c r="B25" s="464">
        <f>'C 8'!B25/'C 7'!B25*1000</f>
        <v>2.0932687238382512</v>
      </c>
      <c r="C25" s="466">
        <f>'C 8'!C25/'C 7'!C25*1000</f>
        <v>21.107888631090486</v>
      </c>
      <c r="D25" s="466">
        <f>'C 8'!D25/'C 7'!D25*1000</f>
        <v>46.896321566300806</v>
      </c>
      <c r="E25" s="466">
        <f>'C 8'!E25/'C 7'!E25*1000</f>
        <v>201.31652661064427</v>
      </c>
      <c r="F25" s="266">
        <f>'C 8'!F25/'C 7'!F25*1000</f>
        <v>16.788665879574971</v>
      </c>
      <c r="G25" s="266">
        <f>'C 8'!G25/'C 7'!G25*1000</f>
        <v>28.917934433254768</v>
      </c>
      <c r="H25" s="266">
        <f>'C 8'!H25/'C 7'!H25*1000</f>
        <v>36.281823564239197</v>
      </c>
    </row>
    <row r="26" spans="1:8" ht="13.25" customHeight="1">
      <c r="A26" s="73" t="s">
        <v>39</v>
      </c>
      <c r="B26" s="464">
        <f>'C 8'!B26/'C 7'!B26*1000</f>
        <v>2.2424692181264758</v>
      </c>
      <c r="C26" s="466">
        <f>'C 8'!C26/'C 7'!C26*1000</f>
        <v>23.474835371589837</v>
      </c>
      <c r="D26" s="466">
        <f>'C 8'!D26/'C 7'!D26*1000</f>
        <v>40.838517219928747</v>
      </c>
      <c r="E26" s="466">
        <f>'C 8'!E26/'C 7'!E26*1000</f>
        <v>188.98976497346476</v>
      </c>
      <c r="F26" s="266">
        <f>'C 8'!F26/'C 7'!F26*1000</f>
        <v>14.567521367521367</v>
      </c>
      <c r="G26" s="266">
        <f>'C 8'!G26/'C 7'!G26*1000</f>
        <v>28.258587241812165</v>
      </c>
      <c r="H26" s="266">
        <f>'C 8'!H26/'C 7'!H26*1000</f>
        <v>29.067004285157768</v>
      </c>
    </row>
    <row r="27" spans="1:8" ht="13.25" customHeight="1">
      <c r="A27" s="73" t="s">
        <v>40</v>
      </c>
      <c r="B27" s="464">
        <f>'C 8'!B27/'C 7'!B27*1000</f>
        <v>2.1348931527618631</v>
      </c>
      <c r="C27" s="466">
        <f>'C 8'!C27/'C 7'!C27*1000</f>
        <v>12.045666619539093</v>
      </c>
      <c r="D27" s="466">
        <f>'C 8'!D27/'C 7'!D27*1000</f>
        <v>45.356551650699103</v>
      </c>
      <c r="E27" s="466">
        <f>'C 8'!E27/'C 7'!E27*1000</f>
        <v>127.56066685261871</v>
      </c>
      <c r="F27" s="266">
        <f>'C 8'!F27/'C 7'!F27*1000</f>
        <v>12.203288370979328</v>
      </c>
      <c r="G27" s="266">
        <f>'C 8'!G27/'C 7'!G27*1000</f>
        <v>25.911534460065184</v>
      </c>
      <c r="H27" s="266">
        <f>'C 8'!H27/'C 7'!H27*1000</f>
        <v>30.01969208736126</v>
      </c>
    </row>
    <row r="28" spans="1:8" ht="13.25" customHeight="1">
      <c r="A28" s="73" t="s">
        <v>41</v>
      </c>
      <c r="B28" s="464">
        <f>'C 8'!B28/'C 7'!B28*1000</f>
        <v>2.074239019808259</v>
      </c>
      <c r="C28" s="466">
        <f>'C 8'!C28/'C 7'!C28*1000</f>
        <v>11.697475311854006</v>
      </c>
      <c r="D28" s="466">
        <f>'C 8'!D28/'C 7'!D28*1000</f>
        <v>42.190288781581593</v>
      </c>
      <c r="E28" s="466">
        <f>'C 8'!E28/'C 7'!E28*1000</f>
        <v>112.75477925282325</v>
      </c>
      <c r="F28" s="266">
        <f>'C 8'!F28/'C 7'!F28*1000</f>
        <v>11.352981408941119</v>
      </c>
      <c r="G28" s="266">
        <f>'C 8'!G28/'C 7'!G28*1000</f>
        <v>26.198404785643071</v>
      </c>
      <c r="H28" s="266">
        <f>'C 8'!H28/'C 7'!H28*1000</f>
        <v>28.312239228065284</v>
      </c>
    </row>
    <row r="29" spans="1:8" ht="13.25" customHeight="1">
      <c r="A29" s="73" t="s">
        <v>42</v>
      </c>
      <c r="B29" s="464">
        <f>'C 8'!B29/'C 7'!B29*1000</f>
        <v>2.079105940168513</v>
      </c>
      <c r="C29" s="466">
        <f>'C 8'!C29/'C 7'!C29*1000</f>
        <v>12.23752371021952</v>
      </c>
      <c r="D29" s="466">
        <f>'C 8'!D29/'C 7'!D29*1000</f>
        <v>40.71087025820848</v>
      </c>
      <c r="E29" s="466">
        <f>'C 8'!E29/'C 7'!E29*1000</f>
        <v>114.75643338714274</v>
      </c>
      <c r="F29" s="266">
        <f>'C 8'!F29/'C 7'!F29*1000</f>
        <v>12.589710332900996</v>
      </c>
      <c r="G29" s="266">
        <f>'C 8'!G29/'C 7'!G29*1000</f>
        <v>26.324081572553926</v>
      </c>
      <c r="H29" s="266">
        <f>'C 8'!H29/'C 7'!H29*1000</f>
        <v>27.717672289987167</v>
      </c>
    </row>
    <row r="30" spans="1:8" ht="13.25" customHeight="1">
      <c r="A30" s="73" t="s">
        <v>43</v>
      </c>
      <c r="B30" s="464">
        <f>'C 8'!B30/'C 7'!B30*1000</f>
        <v>2.0666550977469185</v>
      </c>
      <c r="C30" s="466">
        <f>'C 8'!C30/'C 7'!C30*1000</f>
        <v>11.129328704379031</v>
      </c>
      <c r="D30" s="466">
        <f>'C 8'!D30/'C 7'!D30*1000</f>
        <v>43.041633581504804</v>
      </c>
      <c r="E30" s="466">
        <f>'C 8'!E30/'C 7'!E30*1000</f>
        <v>110.75557194794247</v>
      </c>
      <c r="F30" s="266">
        <f>'C 8'!F30/'C 7'!F30*1000</f>
        <v>10.85362660382299</v>
      </c>
      <c r="G30" s="266">
        <f>'C 8'!G30/'C 7'!G30*1000</f>
        <v>25.93484637949668</v>
      </c>
      <c r="H30" s="266">
        <f>'C 8'!H30/'C 7'!H30*1000</f>
        <v>28.958506224066394</v>
      </c>
    </row>
    <row r="31" spans="1:8" ht="13.25" customHeight="1">
      <c r="A31" s="73" t="s">
        <v>44</v>
      </c>
      <c r="B31" s="464">
        <f>'C 8'!B31/'C 7'!B31*1000</f>
        <v>2.1843027546107932</v>
      </c>
      <c r="C31" s="466">
        <f>'C 8'!C31/'C 7'!C31*1000</f>
        <v>13.23961474532064</v>
      </c>
      <c r="D31" s="466">
        <f>'C 8'!D31/'C 7'!D31*1000</f>
        <v>35.607677728063635</v>
      </c>
      <c r="E31" s="466">
        <f>'C 8'!E31/'C 7'!E31*1000</f>
        <v>157.41479699801533</v>
      </c>
      <c r="F31" s="266">
        <f>'C 8'!F31/'C 7'!F31*1000</f>
        <v>12.895808383233533</v>
      </c>
      <c r="G31" s="266">
        <f>'C 8'!G31/'C 7'!G31*1000</f>
        <v>26.989608094747254</v>
      </c>
      <c r="H31" s="266">
        <f>'C 8'!H31/'C 7'!H31*1000</f>
        <v>30.672256325797278</v>
      </c>
    </row>
    <row r="32" spans="1:8" ht="13.25" customHeight="1">
      <c r="A32" s="73" t="s">
        <v>45</v>
      </c>
      <c r="B32" s="464">
        <f>'C 8'!B32/'C 7'!B32*1000</f>
        <v>2.0835245934934057</v>
      </c>
      <c r="C32" s="466">
        <f>'C 8'!C32/'C 7'!C32*1000</f>
        <v>14.023949303421684</v>
      </c>
      <c r="D32" s="466">
        <f>'C 8'!D32/'C 7'!D32*1000</f>
        <v>34.142339075249325</v>
      </c>
      <c r="E32" s="466">
        <f>'C 8'!E32/'C 7'!E32*1000</f>
        <v>144.71869962385813</v>
      </c>
      <c r="F32" s="266">
        <v>0</v>
      </c>
      <c r="G32" s="266">
        <f>'C 8'!G32/'C 7'!G32*1000</f>
        <v>27.991659120156335</v>
      </c>
      <c r="H32" s="266">
        <f>'C 8'!H32/'C 7'!H32*1000</f>
        <v>39.729633852780943</v>
      </c>
    </row>
    <row r="33" spans="1:8" ht="13.25" customHeight="1">
      <c r="A33" s="73" t="s">
        <v>46</v>
      </c>
      <c r="B33" s="464">
        <f>'C 8'!B33/'C 7'!B33*1000</f>
        <v>2.2091874244588086</v>
      </c>
      <c r="C33" s="466">
        <f>'C 8'!C33/'C 7'!C33*1000</f>
        <v>11.244204018547142</v>
      </c>
      <c r="D33" s="466">
        <f>'C 8'!D33/'C 7'!D33*1000</f>
        <v>40.787313783700277</v>
      </c>
      <c r="E33" s="466">
        <f>'C 8'!E33/'C 7'!E33*1000</f>
        <v>108.96084972583304</v>
      </c>
      <c r="F33" s="266">
        <v>0</v>
      </c>
      <c r="G33" s="266">
        <v>0</v>
      </c>
      <c r="H33" s="266">
        <v>0</v>
      </c>
    </row>
    <row r="34" spans="1:8" ht="13.25" customHeight="1">
      <c r="A34" s="73" t="s">
        <v>47</v>
      </c>
      <c r="B34" s="464">
        <f>'C 8'!B34/'C 7'!B34*1000</f>
        <v>2.2091309201485165</v>
      </c>
      <c r="C34" s="466">
        <f>'C 8'!C34/'C 7'!C34*1000</f>
        <v>12.576821773485513</v>
      </c>
      <c r="D34" s="466">
        <f>'C 8'!D34/'C 7'!D34*1000</f>
        <v>41.443177170900164</v>
      </c>
      <c r="E34" s="466">
        <f>'C 8'!E34/'C 7'!E34*1000</f>
        <v>148.95011019835704</v>
      </c>
      <c r="F34" s="266">
        <f>'C 8'!F34/'C 7'!F34*1000</f>
        <v>10.963455149501662</v>
      </c>
      <c r="G34" s="266">
        <v>0</v>
      </c>
      <c r="H34" s="266">
        <v>0</v>
      </c>
    </row>
    <row r="35" spans="1:8" ht="13.25" customHeight="1">
      <c r="A35" s="73" t="s">
        <v>48</v>
      </c>
      <c r="B35" s="464">
        <f>'C 8'!B35/'C 7'!B35*1000</f>
        <v>2.2018788282712873</v>
      </c>
      <c r="C35" s="466">
        <f>'C 8'!C35/'C 7'!C35*1000</f>
        <v>11.949458483754512</v>
      </c>
      <c r="D35" s="466">
        <f>'C 8'!D35/'C 7'!D35*1000</f>
        <v>47.390899414582222</v>
      </c>
      <c r="E35" s="466">
        <f>'C 8'!E35/'C 7'!E35*1000</f>
        <v>127.24283594017582</v>
      </c>
      <c r="F35" s="266">
        <v>0</v>
      </c>
      <c r="G35" s="266">
        <v>0</v>
      </c>
      <c r="H35" s="266">
        <v>0</v>
      </c>
    </row>
    <row r="36" spans="1:8" ht="13.25" customHeight="1" thickBot="1">
      <c r="A36" s="74" t="s">
        <v>49</v>
      </c>
      <c r="B36" s="503">
        <f>'C 8'!B36/'C 7'!B36*1000</f>
        <v>2.2025072063182556</v>
      </c>
      <c r="C36" s="504">
        <f>'C 8'!C36/'C 7'!C36*1000</f>
        <v>17.521739130434781</v>
      </c>
      <c r="D36" s="504">
        <f>'C 8'!D36/'C 7'!D36*1000</f>
        <v>63.95844973840606</v>
      </c>
      <c r="E36" s="504">
        <f>'C 8'!E36/'C 7'!E36*1000</f>
        <v>160.76640728233741</v>
      </c>
      <c r="F36" s="267">
        <v>0</v>
      </c>
      <c r="G36" s="267">
        <v>0</v>
      </c>
      <c r="H36" s="267">
        <v>0</v>
      </c>
    </row>
    <row r="37" spans="1:8" ht="9" customHeight="1">
      <c r="A37" s="778" t="s">
        <v>402</v>
      </c>
      <c r="B37" s="799"/>
      <c r="C37" s="798"/>
      <c r="D37" s="798"/>
      <c r="E37" s="798"/>
      <c r="F37" s="201"/>
      <c r="G37" s="201"/>
      <c r="H37" s="164"/>
    </row>
    <row r="38" spans="1:8" ht="9" customHeight="1">
      <c r="A38" s="778" t="s">
        <v>359</v>
      </c>
      <c r="B38" s="794"/>
      <c r="C38" s="794"/>
      <c r="D38" s="794"/>
      <c r="E38" s="794"/>
      <c r="F38" s="188"/>
      <c r="G38" s="188"/>
      <c r="H38" s="77"/>
    </row>
    <row r="39" spans="1:8" ht="9" customHeight="1">
      <c r="A39" s="780" t="s">
        <v>358</v>
      </c>
      <c r="B39" s="796"/>
      <c r="C39" s="796"/>
      <c r="D39" s="796"/>
      <c r="E39" s="796"/>
      <c r="F39" s="190"/>
      <c r="G39" s="190"/>
    </row>
    <row r="40" spans="1:8" ht="13.25" customHeight="1">
      <c r="A40" s="11"/>
    </row>
  </sheetData>
  <printOptions horizontalCentered="1" verticalCentered="1"/>
  <pageMargins left="0" right="0" top="0" bottom="0" header="0" footer="0"/>
  <pageSetup paperSize="9" orientation="portrait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theme="9" tint="0.59999389629810485"/>
  </sheetPr>
  <dimension ref="A2:M46"/>
  <sheetViews>
    <sheetView showGridLines="0" zoomScaleNormal="100" workbookViewId="0">
      <selection activeCell="W12" sqref="W12"/>
    </sheetView>
  </sheetViews>
  <sheetFormatPr baseColWidth="10" defaultColWidth="7" defaultRowHeight="13.25" customHeight="1"/>
  <cols>
    <col min="1" max="1" width="14.19921875" style="73" customWidth="1"/>
    <col min="2" max="6" width="12" style="73" customWidth="1"/>
    <col min="7" max="7" width="3.796875" style="73" customWidth="1"/>
    <col min="8" max="8" width="7.19921875" style="73" bestFit="1" customWidth="1"/>
    <col min="9" max="16384" width="7" style="73"/>
  </cols>
  <sheetData>
    <row r="2" spans="1:13" ht="13.25" customHeight="1">
      <c r="A2" s="198" t="s">
        <v>407</v>
      </c>
    </row>
    <row r="3" spans="1:13" ht="13.25" customHeight="1">
      <c r="A3" s="198" t="s">
        <v>482</v>
      </c>
    </row>
    <row r="4" spans="1:13" ht="13.25" customHeight="1">
      <c r="A4" s="199" t="s">
        <v>232</v>
      </c>
    </row>
    <row r="5" spans="1:13" ht="5" customHeight="1" thickBot="1"/>
    <row r="6" spans="1:13" ht="23" customHeight="1">
      <c r="A6" s="568" t="s">
        <v>18</v>
      </c>
      <c r="B6" s="800" t="s">
        <v>185</v>
      </c>
      <c r="C6" s="800" t="s">
        <v>461</v>
      </c>
      <c r="D6" s="801" t="s">
        <v>408</v>
      </c>
      <c r="E6" s="801" t="s">
        <v>409</v>
      </c>
      <c r="F6" s="801" t="s">
        <v>410</v>
      </c>
    </row>
    <row r="7" spans="1:13" ht="15" customHeight="1">
      <c r="A7" s="556" t="s">
        <v>90</v>
      </c>
      <c r="B7" s="617">
        <f>(B9+B10+B11+B12+B13+B17++B18+B19+B20+B21+B22+B23+B24+B25+B26+B27+B28+B29+B32+B33+B34+B35+B36+B37)</f>
        <v>29494581.300000001</v>
      </c>
      <c r="C7" s="586">
        <f>(C9+C10+C11+C12+C13+C17++C18+C19+C20+C21+C22+C23+C24+C25+C26+C27+C28+C29+C32+C33+C34+C35+C36+C37)</f>
        <v>945549.39999999979</v>
      </c>
      <c r="D7" s="617">
        <f>(D9+D10+D11+D12+D13+D17++D18+D19+D20+D21+D22+D23+D24+D25+D26+D27+D28+D29+D32+D33+D34+D35+D36+D37)</f>
        <v>2139190.2000000002</v>
      </c>
      <c r="E7" s="586">
        <f>(E9+E10+E11+E12+E13+E17++E18+E19+E20+E21+E22+E23+E24+E25+E26+E27+E28+E29+E32+E33+E34+E35+E36+E37)</f>
        <v>347563.8</v>
      </c>
      <c r="F7" s="617">
        <f>(F9+F10+F11+F12+F13+F17++F18+F19+F20+F21+F22+F23+F24+F25+F26+F27+F28+F29+F32+F33+F34+F35+F36+F37)</f>
        <v>4296344.5999999996</v>
      </c>
    </row>
    <row r="8" spans="1:13" ht="3" customHeight="1">
      <c r="A8" s="109"/>
      <c r="B8" s="887"/>
      <c r="C8" s="205"/>
      <c r="D8" s="887"/>
      <c r="E8" s="205"/>
      <c r="F8" s="887"/>
    </row>
    <row r="9" spans="1:13" ht="13.25" customHeight="1">
      <c r="A9" s="73" t="s">
        <v>21</v>
      </c>
      <c r="B9" s="427">
        <v>12593.4</v>
      </c>
      <c r="C9" s="206">
        <v>334.7</v>
      </c>
      <c r="D9" s="427">
        <v>0</v>
      </c>
      <c r="E9" s="890">
        <v>0</v>
      </c>
      <c r="F9" s="888">
        <v>0</v>
      </c>
      <c r="H9" s="427"/>
      <c r="I9" s="427"/>
      <c r="J9" s="427"/>
      <c r="K9" s="427"/>
      <c r="L9" s="427"/>
      <c r="M9" s="427"/>
    </row>
    <row r="10" spans="1:13" ht="13.25" customHeight="1">
      <c r="A10" s="73" t="s">
        <v>22</v>
      </c>
      <c r="B10" s="427">
        <v>373403.3</v>
      </c>
      <c r="C10" s="206">
        <v>24773.599999999999</v>
      </c>
      <c r="D10" s="427">
        <v>47</v>
      </c>
      <c r="E10" s="890">
        <v>0</v>
      </c>
      <c r="F10" s="888">
        <v>23737.4</v>
      </c>
      <c r="H10" s="427"/>
      <c r="I10" s="427"/>
      <c r="J10" s="427"/>
      <c r="K10" s="427"/>
      <c r="L10" s="427"/>
    </row>
    <row r="11" spans="1:13" ht="13.25" customHeight="1">
      <c r="A11" s="73" t="s">
        <v>23</v>
      </c>
      <c r="B11" s="427">
        <v>435489.6</v>
      </c>
      <c r="C11" s="206">
        <v>18212.7</v>
      </c>
      <c r="D11" s="427">
        <v>0</v>
      </c>
      <c r="E11" s="890">
        <v>0</v>
      </c>
      <c r="F11" s="888">
        <v>0</v>
      </c>
      <c r="H11" s="427"/>
      <c r="I11" s="427"/>
      <c r="J11" s="427"/>
      <c r="K11" s="427"/>
      <c r="L11" s="427"/>
    </row>
    <row r="12" spans="1:13" ht="13.25" customHeight="1">
      <c r="A12" s="73" t="s">
        <v>24</v>
      </c>
      <c r="B12" s="427">
        <v>4832615.9000000004</v>
      </c>
      <c r="C12" s="206">
        <v>57217</v>
      </c>
      <c r="D12" s="427">
        <v>5297</v>
      </c>
      <c r="E12" s="890">
        <v>0</v>
      </c>
      <c r="F12" s="888">
        <v>260004</v>
      </c>
      <c r="H12" s="427"/>
      <c r="I12" s="427"/>
      <c r="J12" s="427"/>
      <c r="K12" s="427"/>
      <c r="L12" s="427"/>
    </row>
    <row r="13" spans="1:13" ht="13.25" customHeight="1">
      <c r="A13" s="73" t="s">
        <v>25</v>
      </c>
      <c r="B13" s="427">
        <v>401613.4</v>
      </c>
      <c r="C13" s="206">
        <v>173516.6</v>
      </c>
      <c r="D13" s="427">
        <v>0</v>
      </c>
      <c r="E13" s="890">
        <v>0</v>
      </c>
      <c r="F13" s="888">
        <v>146799.79999999999</v>
      </c>
      <c r="H13" s="427"/>
      <c r="I13" s="427"/>
      <c r="J13" s="427"/>
      <c r="K13" s="427"/>
      <c r="L13" s="427"/>
    </row>
    <row r="14" spans="1:13" ht="13.25" customHeight="1">
      <c r="A14" s="73" t="s">
        <v>26</v>
      </c>
      <c r="B14" s="427">
        <v>183895.2</v>
      </c>
      <c r="C14" s="206">
        <v>102640.2</v>
      </c>
      <c r="D14" s="427">
        <v>0</v>
      </c>
      <c r="E14" s="890">
        <v>0</v>
      </c>
      <c r="F14" s="888">
        <v>115059.8</v>
      </c>
      <c r="H14" s="427"/>
      <c r="I14" s="427"/>
      <c r="J14" s="427"/>
      <c r="K14" s="427"/>
      <c r="L14" s="427"/>
    </row>
    <row r="15" spans="1:13" ht="13.25" customHeight="1">
      <c r="A15" s="73" t="s">
        <v>27</v>
      </c>
      <c r="B15" s="427">
        <v>137606.39999999999</v>
      </c>
      <c r="C15" s="206">
        <v>65122</v>
      </c>
      <c r="D15" s="427">
        <v>0</v>
      </c>
      <c r="E15" s="890">
        <v>0</v>
      </c>
      <c r="F15" s="888">
        <v>31740</v>
      </c>
      <c r="H15" s="427"/>
      <c r="I15" s="427"/>
      <c r="J15" s="427"/>
      <c r="K15" s="427"/>
      <c r="L15" s="427"/>
    </row>
    <row r="16" spans="1:13" ht="13.25" customHeight="1">
      <c r="A16" s="73" t="s">
        <v>28</v>
      </c>
      <c r="B16" s="427">
        <v>80111.8</v>
      </c>
      <c r="C16" s="206">
        <v>5754.4</v>
      </c>
      <c r="D16" s="427">
        <v>0</v>
      </c>
      <c r="E16" s="890">
        <v>0</v>
      </c>
      <c r="F16" s="888">
        <v>0</v>
      </c>
      <c r="H16" s="427"/>
      <c r="I16" s="427"/>
      <c r="J16" s="427"/>
      <c r="K16" s="427"/>
      <c r="L16" s="427"/>
    </row>
    <row r="17" spans="1:12" ht="13.25" customHeight="1">
      <c r="A17" s="73" t="s">
        <v>29</v>
      </c>
      <c r="B17" s="427">
        <v>127838.39999999999</v>
      </c>
      <c r="C17" s="206">
        <v>82253.600000000006</v>
      </c>
      <c r="D17" s="427">
        <v>0</v>
      </c>
      <c r="E17" s="890">
        <v>0</v>
      </c>
      <c r="F17" s="888">
        <v>6395</v>
      </c>
      <c r="H17" s="427"/>
      <c r="I17" s="427"/>
      <c r="J17" s="427"/>
      <c r="K17" s="427"/>
      <c r="L17" s="427"/>
    </row>
    <row r="18" spans="1:12" ht="13.25" customHeight="1">
      <c r="A18" s="73" t="s">
        <v>30</v>
      </c>
      <c r="B18" s="427">
        <v>200928.4</v>
      </c>
      <c r="C18" s="206">
        <v>18406</v>
      </c>
      <c r="D18" s="427">
        <v>0</v>
      </c>
      <c r="E18" s="890">
        <v>0</v>
      </c>
      <c r="F18" s="888">
        <v>7363.3</v>
      </c>
      <c r="H18" s="427"/>
      <c r="I18" s="427"/>
      <c r="J18" s="427"/>
      <c r="K18" s="427"/>
      <c r="L18" s="427"/>
    </row>
    <row r="19" spans="1:12" ht="13.25" customHeight="1">
      <c r="A19" s="73" t="s">
        <v>31</v>
      </c>
      <c r="B19" s="427">
        <v>7901656.0999999996</v>
      </c>
      <c r="C19" s="206">
        <v>72827.5</v>
      </c>
      <c r="D19" s="427">
        <v>17102</v>
      </c>
      <c r="E19" s="890">
        <v>1633</v>
      </c>
      <c r="F19" s="888">
        <v>104213.5</v>
      </c>
      <c r="H19" s="427"/>
      <c r="I19" s="427"/>
      <c r="J19" s="427"/>
      <c r="K19" s="427"/>
      <c r="L19" s="427"/>
    </row>
    <row r="20" spans="1:12" ht="13.25" customHeight="1">
      <c r="A20" s="73" t="s">
        <v>32</v>
      </c>
      <c r="B20" s="427">
        <v>10866392.6</v>
      </c>
      <c r="C20" s="206">
        <v>15845.8</v>
      </c>
      <c r="D20" s="427">
        <v>0</v>
      </c>
      <c r="E20" s="890">
        <v>0</v>
      </c>
      <c r="F20" s="888">
        <v>0</v>
      </c>
      <c r="H20" s="427"/>
      <c r="I20" s="427"/>
      <c r="J20" s="427"/>
      <c r="K20" s="427"/>
      <c r="L20" s="427"/>
    </row>
    <row r="21" spans="1:12" ht="13.25" customHeight="1">
      <c r="A21" s="73" t="s">
        <v>33</v>
      </c>
      <c r="B21" s="427">
        <v>171808.8</v>
      </c>
      <c r="C21" s="206">
        <v>40990.5</v>
      </c>
      <c r="D21" s="427">
        <v>2033</v>
      </c>
      <c r="E21" s="890">
        <v>0</v>
      </c>
      <c r="F21" s="888">
        <v>83172</v>
      </c>
      <c r="H21" s="427"/>
      <c r="I21" s="427"/>
      <c r="J21" s="427"/>
      <c r="K21" s="427"/>
      <c r="L21" s="427"/>
    </row>
    <row r="22" spans="1:12" ht="13.25" customHeight="1">
      <c r="A22" s="73" t="s">
        <v>34</v>
      </c>
      <c r="B22" s="427">
        <v>32811.699999999997</v>
      </c>
      <c r="C22" s="206">
        <v>30993.9</v>
      </c>
      <c r="D22" s="427">
        <v>103958</v>
      </c>
      <c r="E22" s="890">
        <v>8840</v>
      </c>
      <c r="F22" s="888">
        <v>365091</v>
      </c>
      <c r="H22" s="427"/>
      <c r="I22" s="427"/>
      <c r="J22" s="427"/>
      <c r="K22" s="427"/>
      <c r="L22" s="427"/>
    </row>
    <row r="23" spans="1:12" ht="13.25" customHeight="1">
      <c r="A23" s="73" t="s">
        <v>35</v>
      </c>
      <c r="B23" s="427">
        <v>132421</v>
      </c>
      <c r="C23" s="206">
        <v>42039.199999999997</v>
      </c>
      <c r="D23" s="427">
        <v>63261</v>
      </c>
      <c r="E23" s="890">
        <v>36310</v>
      </c>
      <c r="F23" s="888">
        <v>871890</v>
      </c>
      <c r="H23" s="427"/>
      <c r="I23" s="427"/>
      <c r="J23" s="427"/>
      <c r="K23" s="427"/>
      <c r="L23" s="427"/>
    </row>
    <row r="24" spans="1:12" ht="13.25" customHeight="1">
      <c r="A24" s="73" t="s">
        <v>36</v>
      </c>
      <c r="B24" s="427">
        <v>135406.5</v>
      </c>
      <c r="C24" s="206">
        <v>12893.5</v>
      </c>
      <c r="D24" s="427">
        <v>53379.199999999997</v>
      </c>
      <c r="E24" s="890">
        <v>6161.8</v>
      </c>
      <c r="F24" s="888">
        <v>137822.39999999999</v>
      </c>
      <c r="H24" s="427"/>
      <c r="I24" s="427"/>
      <c r="J24" s="427"/>
      <c r="K24" s="427"/>
      <c r="L24" s="427"/>
    </row>
    <row r="25" spans="1:12" ht="13.25" customHeight="1">
      <c r="A25" s="73" t="s">
        <v>37</v>
      </c>
      <c r="B25" s="427">
        <v>1154794</v>
      </c>
      <c r="C25" s="206">
        <v>75148.600000000006</v>
      </c>
      <c r="D25" s="427">
        <v>64694</v>
      </c>
      <c r="E25" s="890">
        <v>18259</v>
      </c>
      <c r="F25" s="888">
        <v>30965</v>
      </c>
      <c r="H25" s="427"/>
      <c r="I25" s="427"/>
      <c r="J25" s="427"/>
      <c r="K25" s="427"/>
      <c r="L25" s="427"/>
    </row>
    <row r="26" spans="1:12" ht="13.25" customHeight="1">
      <c r="A26" s="73" t="s">
        <v>38</v>
      </c>
      <c r="B26" s="427">
        <v>32011.3</v>
      </c>
      <c r="C26" s="206">
        <v>5723.7</v>
      </c>
      <c r="D26" s="427">
        <v>26948</v>
      </c>
      <c r="E26" s="890">
        <v>4286</v>
      </c>
      <c r="F26" s="888">
        <v>2431</v>
      </c>
      <c r="H26" s="427"/>
      <c r="I26" s="427"/>
      <c r="J26" s="427"/>
      <c r="K26" s="427"/>
      <c r="L26" s="427"/>
    </row>
    <row r="27" spans="1:12" ht="13.25" customHeight="1">
      <c r="A27" s="73" t="s">
        <v>39</v>
      </c>
      <c r="B27" s="427">
        <v>311575.5</v>
      </c>
      <c r="C27" s="206">
        <v>5437.1</v>
      </c>
      <c r="D27" s="427">
        <v>33817</v>
      </c>
      <c r="E27" s="890">
        <v>0</v>
      </c>
      <c r="F27" s="888">
        <v>0</v>
      </c>
      <c r="H27" s="427"/>
      <c r="I27" s="427"/>
      <c r="J27" s="427"/>
      <c r="K27" s="427"/>
      <c r="L27" s="427"/>
    </row>
    <row r="28" spans="1:12" ht="13.25" customHeight="1">
      <c r="A28" s="73" t="s">
        <v>40</v>
      </c>
      <c r="B28" s="427">
        <v>117762</v>
      </c>
      <c r="C28" s="206">
        <v>28736.7</v>
      </c>
      <c r="D28" s="427">
        <v>75860</v>
      </c>
      <c r="E28" s="890">
        <v>7925</v>
      </c>
      <c r="F28" s="888">
        <v>126436</v>
      </c>
      <c r="H28" s="427"/>
      <c r="I28" s="427"/>
      <c r="J28" s="427"/>
      <c r="K28" s="427"/>
      <c r="L28" s="427"/>
    </row>
    <row r="29" spans="1:12" ht="13.25" customHeight="1">
      <c r="A29" s="73" t="s">
        <v>41</v>
      </c>
      <c r="B29" s="427">
        <v>100117.7</v>
      </c>
      <c r="C29" s="206">
        <v>29644</v>
      </c>
      <c r="D29" s="427">
        <v>39084</v>
      </c>
      <c r="E29" s="890">
        <v>17489</v>
      </c>
      <c r="F29" s="888">
        <v>69694.2</v>
      </c>
      <c r="H29" s="427"/>
      <c r="I29" s="427"/>
      <c r="J29" s="427"/>
      <c r="K29" s="427"/>
      <c r="L29" s="427"/>
    </row>
    <row r="30" spans="1:12" ht="13.25" customHeight="1">
      <c r="A30" s="73" t="s">
        <v>42</v>
      </c>
      <c r="B30" s="427">
        <v>50574.6</v>
      </c>
      <c r="C30" s="206">
        <v>18033.8</v>
      </c>
      <c r="D30" s="427">
        <v>30571.3</v>
      </c>
      <c r="E30" s="890">
        <v>10837</v>
      </c>
      <c r="F30" s="888">
        <v>56671.3</v>
      </c>
      <c r="H30" s="427"/>
      <c r="I30" s="427"/>
      <c r="J30" s="427"/>
      <c r="K30" s="427"/>
      <c r="L30" s="427"/>
    </row>
    <row r="31" spans="1:12" ht="13.25" customHeight="1">
      <c r="A31" s="73" t="s">
        <v>43</v>
      </c>
      <c r="B31" s="427">
        <v>49543.199999999997</v>
      </c>
      <c r="C31" s="206">
        <v>11610.2</v>
      </c>
      <c r="D31" s="427">
        <v>8512.7000000000007</v>
      </c>
      <c r="E31" s="890">
        <v>6652</v>
      </c>
      <c r="F31" s="888">
        <v>13022.9</v>
      </c>
      <c r="H31" s="427"/>
      <c r="I31" s="427"/>
      <c r="J31" s="427"/>
      <c r="K31" s="427"/>
      <c r="L31" s="427"/>
    </row>
    <row r="32" spans="1:12" ht="13.25" customHeight="1">
      <c r="A32" s="73" t="s">
        <v>44</v>
      </c>
      <c r="B32" s="427">
        <v>251618</v>
      </c>
      <c r="C32" s="206">
        <v>86618</v>
      </c>
      <c r="D32" s="427">
        <v>352595</v>
      </c>
      <c r="E32" s="890">
        <v>24210</v>
      </c>
      <c r="F32" s="888">
        <v>470620</v>
      </c>
      <c r="H32" s="427"/>
      <c r="I32" s="427"/>
      <c r="J32" s="427"/>
      <c r="K32" s="427"/>
      <c r="L32" s="427"/>
    </row>
    <row r="33" spans="1:12" ht="13.25" customHeight="1">
      <c r="A33" s="73" t="s">
        <v>45</v>
      </c>
      <c r="B33" s="427">
        <v>341828</v>
      </c>
      <c r="C33" s="206">
        <v>98199.2</v>
      </c>
      <c r="D33" s="427">
        <v>1301115</v>
      </c>
      <c r="E33" s="890">
        <v>222450</v>
      </c>
      <c r="F33" s="888">
        <v>1589710</v>
      </c>
      <c r="H33" s="427"/>
      <c r="I33" s="427"/>
      <c r="J33" s="427"/>
      <c r="K33" s="427"/>
      <c r="L33" s="427"/>
    </row>
    <row r="34" spans="1:12" ht="13.25" customHeight="1">
      <c r="A34" s="73" t="s">
        <v>46</v>
      </c>
      <c r="B34" s="427">
        <v>770681</v>
      </c>
      <c r="C34" s="206">
        <v>20405.8</v>
      </c>
      <c r="D34" s="427">
        <v>0</v>
      </c>
      <c r="E34" s="890">
        <v>0</v>
      </c>
      <c r="F34" s="888">
        <v>0</v>
      </c>
      <c r="H34" s="427"/>
      <c r="I34" s="427"/>
      <c r="J34" s="427"/>
      <c r="K34" s="427"/>
      <c r="L34" s="427"/>
    </row>
    <row r="35" spans="1:12" ht="13.25" customHeight="1">
      <c r="A35" s="73" t="s">
        <v>47</v>
      </c>
      <c r="B35" s="427">
        <v>335061.09999999998</v>
      </c>
      <c r="C35" s="206">
        <v>1171.9000000000001</v>
      </c>
      <c r="D35" s="427">
        <v>0</v>
      </c>
      <c r="E35" s="890">
        <v>0</v>
      </c>
      <c r="F35" s="888">
        <v>0</v>
      </c>
      <c r="H35" s="427"/>
      <c r="I35" s="427"/>
      <c r="J35" s="427"/>
      <c r="K35" s="427"/>
      <c r="L35" s="427"/>
    </row>
    <row r="36" spans="1:12" ht="13.25" customHeight="1">
      <c r="A36" s="73" t="s">
        <v>48</v>
      </c>
      <c r="B36" s="427">
        <v>250967.9</v>
      </c>
      <c r="C36" s="206">
        <v>3213.5</v>
      </c>
      <c r="D36" s="427">
        <v>0</v>
      </c>
      <c r="E36" s="890">
        <v>0</v>
      </c>
      <c r="F36" s="888">
        <v>0</v>
      </c>
      <c r="H36" s="427"/>
      <c r="I36" s="427"/>
      <c r="J36" s="427"/>
      <c r="K36" s="427"/>
      <c r="L36" s="427"/>
    </row>
    <row r="37" spans="1:12" ht="13.25" customHeight="1" thickBot="1">
      <c r="A37" s="74" t="s">
        <v>49</v>
      </c>
      <c r="B37" s="428">
        <v>203185.7</v>
      </c>
      <c r="C37" s="589">
        <v>946.3</v>
      </c>
      <c r="D37" s="428">
        <v>0</v>
      </c>
      <c r="E37" s="891">
        <v>0</v>
      </c>
      <c r="F37" s="889">
        <v>0</v>
      </c>
      <c r="H37" s="427"/>
      <c r="I37" s="427"/>
      <c r="J37" s="427"/>
      <c r="K37" s="427"/>
      <c r="L37" s="427"/>
    </row>
    <row r="38" spans="1:12" ht="9" customHeight="1">
      <c r="A38" s="778" t="s">
        <v>402</v>
      </c>
      <c r="B38" s="794"/>
      <c r="C38" s="794"/>
      <c r="D38" s="794"/>
      <c r="E38" s="794"/>
      <c r="F38" s="188"/>
    </row>
    <row r="39" spans="1:12" ht="9" customHeight="1">
      <c r="A39" s="778" t="s">
        <v>359</v>
      </c>
      <c r="B39" s="794"/>
      <c r="C39" s="794"/>
      <c r="D39" s="794"/>
      <c r="E39" s="794"/>
      <c r="F39" s="188"/>
    </row>
    <row r="40" spans="1:12" ht="9" customHeight="1">
      <c r="A40" s="780" t="s">
        <v>358</v>
      </c>
      <c r="B40" s="794"/>
      <c r="C40" s="794"/>
      <c r="D40" s="794"/>
      <c r="E40" s="794"/>
      <c r="F40" s="188"/>
    </row>
    <row r="41" spans="1:12" ht="13.25" customHeight="1">
      <c r="A41" s="780"/>
      <c r="B41" s="794"/>
      <c r="C41" s="794"/>
      <c r="D41" s="794"/>
      <c r="E41" s="794"/>
      <c r="F41" s="77"/>
    </row>
    <row r="42" spans="1:12" ht="13.25" customHeight="1">
      <c r="B42" s="77"/>
      <c r="C42" s="77"/>
      <c r="D42" s="77"/>
      <c r="E42" s="77"/>
      <c r="F42" s="77"/>
    </row>
    <row r="43" spans="1:12" ht="13.25" customHeight="1">
      <c r="C43" s="77"/>
      <c r="D43" s="165"/>
      <c r="E43" s="165"/>
      <c r="F43" s="165"/>
    </row>
    <row r="44" spans="1:12" ht="13.25" customHeight="1">
      <c r="A44" s="24"/>
      <c r="B44" s="105"/>
      <c r="C44" s="164"/>
      <c r="D44" s="164"/>
      <c r="E44" s="164"/>
      <c r="F44" s="164"/>
    </row>
    <row r="45" spans="1:12" ht="13.25" customHeight="1">
      <c r="A45" s="33"/>
      <c r="B45" s="105"/>
      <c r="C45" s="164"/>
      <c r="D45" s="164"/>
      <c r="E45" s="164"/>
      <c r="F45" s="164"/>
    </row>
    <row r="46" spans="1:12" ht="13.25" customHeight="1">
      <c r="A46" s="24"/>
      <c r="C46" s="77"/>
      <c r="D46" s="77"/>
      <c r="E46" s="77"/>
      <c r="F46" s="77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theme="9" tint="0.59999389629810485"/>
  </sheetPr>
  <dimension ref="A2:L45"/>
  <sheetViews>
    <sheetView showGridLines="0" zoomScaleNormal="100" workbookViewId="0">
      <selection activeCell="B5" sqref="B5"/>
    </sheetView>
  </sheetViews>
  <sheetFormatPr baseColWidth="10" defaultColWidth="7" defaultRowHeight="13.25" customHeight="1"/>
  <cols>
    <col min="1" max="1" width="14" style="73" customWidth="1"/>
    <col min="2" max="6" width="13" style="73" customWidth="1"/>
    <col min="7" max="16384" width="7" style="73"/>
  </cols>
  <sheetData>
    <row r="2" spans="1:12" ht="13.25" customHeight="1">
      <c r="A2" s="198" t="s">
        <v>483</v>
      </c>
    </row>
    <row r="3" spans="1:12" ht="13.25" customHeight="1">
      <c r="A3" s="199" t="s">
        <v>236</v>
      </c>
      <c r="B3" s="103"/>
    </row>
    <row r="4" spans="1:12" ht="5" customHeight="1" thickBot="1">
      <c r="A4" s="103"/>
      <c r="B4" s="103"/>
      <c r="C4" s="103"/>
      <c r="D4" s="103"/>
      <c r="E4" s="103"/>
      <c r="F4" s="103"/>
    </row>
    <row r="5" spans="1:12" ht="23" customHeight="1">
      <c r="A5" s="568" t="s">
        <v>18</v>
      </c>
      <c r="B5" s="800" t="s">
        <v>462</v>
      </c>
      <c r="C5" s="801" t="s">
        <v>235</v>
      </c>
      <c r="D5" s="801" t="s">
        <v>463</v>
      </c>
      <c r="E5" s="801" t="s">
        <v>464</v>
      </c>
      <c r="F5" s="800" t="s">
        <v>465</v>
      </c>
    </row>
    <row r="6" spans="1:12" ht="15" customHeight="1">
      <c r="A6" s="556" t="s">
        <v>90</v>
      </c>
      <c r="B6" s="588">
        <f>(B8+B9+B10+B11+B12+B16++B17+B18+B19+B20+B21+B22+B23+B24+B25+B26+B27+B28+B31+B32+B33+B34+B35+B36)</f>
        <v>510961.6</v>
      </c>
      <c r="C6" s="586">
        <f>(C8+C9+C10+C11+C12+C16++C17+C18+C19+C20+C21+C22+C23+C24+C25+C26+C27+C28+C31+C32+C33+C34+C35+C36)</f>
        <v>2246935.85</v>
      </c>
      <c r="D6" s="587">
        <f>(D8+D9+D10+D11+D12+D16++D17+D18+D19+D20+D21+D22+D23+D24+D25+D26+D27+D28+D31+D32+D33+D34+D35+D36)</f>
        <v>4421.95</v>
      </c>
      <c r="E6" s="587">
        <f>(E8+E9+E10+E11+E12+E16++E17+E18+E19+E20+E21+E22+E23+E24+E25+E26+E27+E28+E31+E32+E33+E34+E35+E36)</f>
        <v>695.68000000000006</v>
      </c>
      <c r="F6" s="588">
        <f>(F8+F9+F10+F11+F12+F16++F17+F18+F19+F20+F21+F22+F23+F24+F25+F26+F27+F28+F31+F32+F33+F34+F35+F36)</f>
        <v>7983.8000000000011</v>
      </c>
    </row>
    <row r="7" spans="1:12" ht="3" customHeight="1">
      <c r="A7" s="109"/>
      <c r="B7" s="207"/>
      <c r="C7" s="205"/>
      <c r="D7" s="477"/>
      <c r="E7" s="477"/>
      <c r="F7" s="207"/>
    </row>
    <row r="8" spans="1:12" ht="13.25" customHeight="1">
      <c r="A8" s="73" t="s">
        <v>21</v>
      </c>
      <c r="B8" s="208">
        <v>96.41</v>
      </c>
      <c r="C8" s="206">
        <v>305.63</v>
      </c>
      <c r="D8" s="478">
        <v>0</v>
      </c>
      <c r="E8" s="478">
        <v>0</v>
      </c>
      <c r="F8" s="208">
        <v>0</v>
      </c>
      <c r="H8" s="208"/>
      <c r="I8" s="208"/>
      <c r="J8" s="208"/>
      <c r="K8" s="208"/>
      <c r="L8" s="208"/>
    </row>
    <row r="9" spans="1:12" ht="13.25" customHeight="1">
      <c r="A9" s="73" t="s">
        <v>22</v>
      </c>
      <c r="B9" s="208">
        <v>4838.59</v>
      </c>
      <c r="C9" s="206">
        <v>44291.74</v>
      </c>
      <c r="D9" s="478">
        <v>7.0000000000000007E-2</v>
      </c>
      <c r="E9" s="478">
        <v>0</v>
      </c>
      <c r="F9" s="208">
        <v>25.79</v>
      </c>
      <c r="H9" s="208"/>
      <c r="I9" s="208"/>
      <c r="J9" s="208"/>
      <c r="K9" s="208"/>
      <c r="L9" s="208"/>
    </row>
    <row r="10" spans="1:12" ht="13.25" customHeight="1">
      <c r="A10" s="73" t="s">
        <v>23</v>
      </c>
      <c r="B10" s="208">
        <v>7320.03</v>
      </c>
      <c r="C10" s="206">
        <v>46487.96</v>
      </c>
      <c r="D10" s="478">
        <v>0</v>
      </c>
      <c r="E10" s="478">
        <v>0</v>
      </c>
      <c r="F10" s="208">
        <v>0</v>
      </c>
      <c r="H10" s="208"/>
      <c r="I10" s="208"/>
      <c r="J10" s="208"/>
      <c r="K10" s="208"/>
      <c r="L10" s="208"/>
    </row>
    <row r="11" spans="1:12" ht="13.25" customHeight="1">
      <c r="A11" s="73" t="s">
        <v>24</v>
      </c>
      <c r="B11" s="208">
        <v>88835.6</v>
      </c>
      <c r="C11" s="206">
        <v>182784.37</v>
      </c>
      <c r="D11" s="478">
        <v>18.29</v>
      </c>
      <c r="E11" s="478">
        <v>0</v>
      </c>
      <c r="F11" s="208">
        <v>777.63</v>
      </c>
      <c r="H11" s="208"/>
      <c r="I11" s="208"/>
      <c r="J11" s="208"/>
      <c r="K11" s="208"/>
      <c r="L11" s="208"/>
    </row>
    <row r="12" spans="1:12" ht="13.25" customHeight="1">
      <c r="A12" s="73" t="s">
        <v>25</v>
      </c>
      <c r="B12" s="208">
        <v>2203.92</v>
      </c>
      <c r="C12" s="206">
        <v>401009.95</v>
      </c>
      <c r="D12" s="478">
        <v>0</v>
      </c>
      <c r="E12" s="478">
        <v>0</v>
      </c>
      <c r="F12" s="208">
        <v>233.92</v>
      </c>
      <c r="H12" s="208"/>
      <c r="I12" s="208"/>
      <c r="J12" s="208"/>
      <c r="K12" s="208"/>
      <c r="L12" s="208"/>
    </row>
    <row r="13" spans="1:12" ht="13.25" customHeight="1">
      <c r="A13" s="73" t="s">
        <v>26</v>
      </c>
      <c r="B13" s="208">
        <v>1222.27</v>
      </c>
      <c r="C13" s="206">
        <v>246008.29</v>
      </c>
      <c r="D13" s="478">
        <v>0</v>
      </c>
      <c r="E13" s="478">
        <v>0</v>
      </c>
      <c r="F13" s="208">
        <v>191.98</v>
      </c>
      <c r="H13" s="208"/>
      <c r="I13" s="208"/>
      <c r="J13" s="208"/>
      <c r="K13" s="208"/>
      <c r="L13" s="208"/>
    </row>
    <row r="14" spans="1:12" ht="13.25" customHeight="1">
      <c r="A14" s="73" t="s">
        <v>27</v>
      </c>
      <c r="B14" s="208">
        <v>602.89</v>
      </c>
      <c r="C14" s="206">
        <v>146784.87</v>
      </c>
      <c r="D14" s="478">
        <v>0</v>
      </c>
      <c r="E14" s="478">
        <v>0</v>
      </c>
      <c r="F14" s="208">
        <v>41.93</v>
      </c>
      <c r="H14" s="208"/>
      <c r="I14" s="208"/>
      <c r="J14" s="208"/>
      <c r="K14" s="208"/>
      <c r="L14" s="208"/>
    </row>
    <row r="15" spans="1:12" ht="13.25" customHeight="1">
      <c r="A15" s="73" t="s">
        <v>28</v>
      </c>
      <c r="B15" s="208">
        <v>378.76</v>
      </c>
      <c r="C15" s="206">
        <v>8216.7800000000007</v>
      </c>
      <c r="D15" s="478">
        <v>0</v>
      </c>
      <c r="E15" s="478">
        <v>0</v>
      </c>
      <c r="F15" s="208">
        <v>0</v>
      </c>
      <c r="H15" s="208"/>
      <c r="I15" s="208"/>
      <c r="J15" s="208"/>
      <c r="K15" s="208"/>
      <c r="L15" s="208"/>
    </row>
    <row r="16" spans="1:12" ht="13.25" customHeight="1">
      <c r="A16" s="73" t="s">
        <v>29</v>
      </c>
      <c r="B16" s="208">
        <v>1374.58</v>
      </c>
      <c r="C16" s="206">
        <v>105355.68</v>
      </c>
      <c r="D16" s="478">
        <v>0</v>
      </c>
      <c r="E16" s="478">
        <v>0</v>
      </c>
      <c r="F16" s="208">
        <v>4.01</v>
      </c>
      <c r="H16" s="208"/>
      <c r="I16" s="208"/>
      <c r="J16" s="208"/>
      <c r="K16" s="208"/>
      <c r="L16" s="208"/>
    </row>
    <row r="17" spans="1:12" ht="13.25" customHeight="1">
      <c r="A17" s="73" t="s">
        <v>30</v>
      </c>
      <c r="B17" s="208">
        <v>1309.96</v>
      </c>
      <c r="C17" s="206">
        <v>21212.59</v>
      </c>
      <c r="D17" s="478">
        <v>0</v>
      </c>
      <c r="E17" s="478">
        <v>0</v>
      </c>
      <c r="F17" s="208">
        <v>10.99</v>
      </c>
      <c r="H17" s="208"/>
      <c r="I17" s="208"/>
      <c r="J17" s="208"/>
      <c r="K17" s="208"/>
      <c r="L17" s="208"/>
    </row>
    <row r="18" spans="1:12" ht="13.25" customHeight="1">
      <c r="A18" s="73" t="s">
        <v>31</v>
      </c>
      <c r="B18" s="208">
        <v>139738.71</v>
      </c>
      <c r="C18" s="206">
        <v>365855.4</v>
      </c>
      <c r="D18" s="478">
        <v>27.78</v>
      </c>
      <c r="E18" s="478">
        <v>2.27</v>
      </c>
      <c r="F18" s="208">
        <v>135.46</v>
      </c>
      <c r="H18" s="208"/>
      <c r="I18" s="208"/>
      <c r="J18" s="208"/>
      <c r="K18" s="208"/>
      <c r="L18" s="208"/>
    </row>
    <row r="19" spans="1:12" ht="13.25" customHeight="1">
      <c r="A19" s="73" t="s">
        <v>32</v>
      </c>
      <c r="B19" s="208">
        <v>208428.29</v>
      </c>
      <c r="C19" s="206">
        <v>89716.36</v>
      </c>
      <c r="D19" s="478">
        <v>0</v>
      </c>
      <c r="E19" s="478">
        <v>0</v>
      </c>
      <c r="F19" s="208">
        <v>0</v>
      </c>
      <c r="H19" s="208"/>
      <c r="I19" s="208"/>
      <c r="J19" s="208"/>
      <c r="K19" s="208"/>
      <c r="L19" s="208"/>
    </row>
    <row r="20" spans="1:12" ht="13.25" customHeight="1">
      <c r="A20" s="73" t="s">
        <v>33</v>
      </c>
      <c r="B20" s="208">
        <v>1237.52</v>
      </c>
      <c r="C20" s="206">
        <v>61400.32</v>
      </c>
      <c r="D20" s="478">
        <v>5.15</v>
      </c>
      <c r="E20" s="478">
        <v>0</v>
      </c>
      <c r="F20" s="208">
        <v>137.79</v>
      </c>
      <c r="H20" s="208"/>
      <c r="I20" s="208"/>
      <c r="J20" s="208"/>
      <c r="K20" s="208"/>
      <c r="L20" s="208"/>
    </row>
    <row r="21" spans="1:12" ht="13.25" customHeight="1">
      <c r="A21" s="73" t="s">
        <v>34</v>
      </c>
      <c r="B21" s="208">
        <v>152.12</v>
      </c>
      <c r="C21" s="206">
        <v>39030.910000000003</v>
      </c>
      <c r="D21" s="478">
        <v>187.69</v>
      </c>
      <c r="E21" s="478">
        <v>15.15</v>
      </c>
      <c r="F21" s="208">
        <v>677.66</v>
      </c>
      <c r="H21" s="208"/>
      <c r="I21" s="208"/>
      <c r="J21" s="208"/>
      <c r="K21" s="208"/>
      <c r="L21" s="208"/>
    </row>
    <row r="22" spans="1:12" ht="13.25" customHeight="1">
      <c r="A22" s="73" t="s">
        <v>35</v>
      </c>
      <c r="B22" s="208">
        <v>1024.8599999999999</v>
      </c>
      <c r="C22" s="206">
        <v>60562.35</v>
      </c>
      <c r="D22" s="478">
        <v>168.39</v>
      </c>
      <c r="E22" s="478">
        <v>84.81</v>
      </c>
      <c r="F22" s="208">
        <v>1588.29</v>
      </c>
      <c r="H22" s="208"/>
      <c r="I22" s="208"/>
      <c r="J22" s="208"/>
      <c r="K22" s="208"/>
      <c r="L22" s="208"/>
    </row>
    <row r="23" spans="1:12" ht="13.25" customHeight="1">
      <c r="A23" s="73" t="s">
        <v>36</v>
      </c>
      <c r="B23" s="208">
        <v>589.72</v>
      </c>
      <c r="C23" s="206">
        <v>22146.83</v>
      </c>
      <c r="D23" s="478">
        <v>99.57</v>
      </c>
      <c r="E23" s="478">
        <v>11.56</v>
      </c>
      <c r="F23" s="208">
        <v>214.26</v>
      </c>
      <c r="H23" s="208"/>
      <c r="I23" s="208"/>
      <c r="J23" s="208"/>
      <c r="K23" s="208"/>
      <c r="L23" s="208"/>
    </row>
    <row r="24" spans="1:12" ht="13.25" customHeight="1">
      <c r="A24" s="73" t="s">
        <v>37</v>
      </c>
      <c r="B24" s="208">
        <v>18219.45</v>
      </c>
      <c r="C24" s="206">
        <v>355571.02</v>
      </c>
      <c r="D24" s="478">
        <v>127.59</v>
      </c>
      <c r="E24" s="478">
        <v>38.659999999999997</v>
      </c>
      <c r="F24" s="208">
        <v>46.68</v>
      </c>
      <c r="H24" s="208"/>
      <c r="I24" s="208"/>
      <c r="J24" s="208"/>
      <c r="K24" s="208"/>
      <c r="L24" s="208"/>
    </row>
    <row r="25" spans="1:12" ht="13.25" customHeight="1">
      <c r="A25" s="73" t="s">
        <v>38</v>
      </c>
      <c r="B25" s="208">
        <v>331.77</v>
      </c>
      <c r="C25" s="206">
        <v>17948.09</v>
      </c>
      <c r="D25" s="478">
        <v>54.88</v>
      </c>
      <c r="E25" s="478">
        <v>7.43</v>
      </c>
      <c r="F25" s="208">
        <v>3.57</v>
      </c>
      <c r="H25" s="208"/>
      <c r="I25" s="208"/>
      <c r="J25" s="208"/>
      <c r="K25" s="208"/>
      <c r="L25" s="208"/>
    </row>
    <row r="26" spans="1:12" ht="13.25" customHeight="1">
      <c r="A26" s="73" t="s">
        <v>39</v>
      </c>
      <c r="B26" s="208">
        <v>5267.25</v>
      </c>
      <c r="C26" s="206">
        <v>23486.48</v>
      </c>
      <c r="D26" s="478">
        <v>111.27</v>
      </c>
      <c r="E26" s="478">
        <v>0</v>
      </c>
      <c r="F26" s="208">
        <v>0</v>
      </c>
      <c r="H26" s="208"/>
      <c r="I26" s="208"/>
      <c r="J26" s="208"/>
      <c r="K26" s="208"/>
      <c r="L26" s="208"/>
    </row>
    <row r="27" spans="1:12" ht="13.25" customHeight="1">
      <c r="A27" s="73" t="s">
        <v>40</v>
      </c>
      <c r="B27" s="208">
        <v>784.91</v>
      </c>
      <c r="C27" s="206">
        <v>55772.63</v>
      </c>
      <c r="D27" s="478">
        <v>144.6</v>
      </c>
      <c r="E27" s="478">
        <v>12.25</v>
      </c>
      <c r="F27" s="208">
        <v>179.38</v>
      </c>
      <c r="H27" s="208"/>
      <c r="I27" s="208"/>
      <c r="J27" s="208"/>
      <c r="K27" s="208"/>
      <c r="L27" s="208"/>
    </row>
    <row r="28" spans="1:12" ht="13.25" customHeight="1">
      <c r="A28" s="73" t="s">
        <v>41</v>
      </c>
      <c r="B28" s="208">
        <v>481.3</v>
      </c>
      <c r="C28" s="206">
        <v>33075.19</v>
      </c>
      <c r="D28" s="478">
        <v>76.69</v>
      </c>
      <c r="E28" s="478">
        <v>30.65</v>
      </c>
      <c r="F28" s="208">
        <v>126.68</v>
      </c>
      <c r="H28" s="208"/>
      <c r="I28" s="208"/>
      <c r="J28" s="208"/>
      <c r="K28" s="208"/>
      <c r="L28" s="208"/>
    </row>
    <row r="29" spans="1:12" ht="13.25" customHeight="1">
      <c r="A29" s="73" t="s">
        <v>42</v>
      </c>
      <c r="B29" s="208">
        <v>249.49</v>
      </c>
      <c r="C29" s="206">
        <v>18178.29</v>
      </c>
      <c r="D29" s="478">
        <v>61.61</v>
      </c>
      <c r="E29" s="478">
        <v>18.399999999999999</v>
      </c>
      <c r="F29" s="208">
        <v>105.03</v>
      </c>
      <c r="H29" s="208"/>
      <c r="I29" s="208"/>
      <c r="J29" s="208"/>
      <c r="K29" s="208"/>
      <c r="L29" s="208"/>
    </row>
    <row r="30" spans="1:12" ht="13.25" customHeight="1">
      <c r="A30" s="73" t="s">
        <v>43</v>
      </c>
      <c r="B30" s="208">
        <v>231.81</v>
      </c>
      <c r="C30" s="206">
        <v>14896.9</v>
      </c>
      <c r="D30" s="478">
        <v>15.08</v>
      </c>
      <c r="E30" s="478">
        <v>12.26</v>
      </c>
      <c r="F30" s="208">
        <v>21.65</v>
      </c>
      <c r="H30" s="208"/>
      <c r="I30" s="208"/>
      <c r="J30" s="208"/>
      <c r="K30" s="208"/>
      <c r="L30" s="208"/>
    </row>
    <row r="31" spans="1:12" ht="13.25" customHeight="1">
      <c r="A31" s="73" t="s">
        <v>44</v>
      </c>
      <c r="B31" s="208">
        <v>810.59</v>
      </c>
      <c r="C31" s="206">
        <v>138765.9</v>
      </c>
      <c r="D31" s="478">
        <v>691.8</v>
      </c>
      <c r="E31" s="478">
        <v>42.54</v>
      </c>
      <c r="F31" s="208">
        <v>751.14</v>
      </c>
      <c r="H31" s="208"/>
      <c r="I31" s="208"/>
      <c r="J31" s="208"/>
      <c r="K31" s="208"/>
      <c r="L31" s="208"/>
    </row>
    <row r="32" spans="1:12" ht="13.25" customHeight="1">
      <c r="A32" s="73" t="s">
        <v>45</v>
      </c>
      <c r="B32" s="208">
        <v>1661.47</v>
      </c>
      <c r="C32" s="206">
        <v>141475.76</v>
      </c>
      <c r="D32" s="478">
        <v>2708.18</v>
      </c>
      <c r="E32" s="478">
        <v>450.36</v>
      </c>
      <c r="F32" s="208">
        <v>3070.55</v>
      </c>
      <c r="H32" s="208"/>
      <c r="I32" s="208"/>
      <c r="J32" s="208"/>
      <c r="K32" s="208"/>
      <c r="L32" s="208"/>
    </row>
    <row r="33" spans="1:12" ht="13.25" customHeight="1">
      <c r="A33" s="73" t="s">
        <v>46</v>
      </c>
      <c r="B33" s="208">
        <v>14508.86</v>
      </c>
      <c r="C33" s="206">
        <v>34010.67</v>
      </c>
      <c r="D33" s="478">
        <v>0</v>
      </c>
      <c r="E33" s="478">
        <v>0</v>
      </c>
      <c r="F33" s="208">
        <v>0</v>
      </c>
      <c r="H33" s="208"/>
      <c r="I33" s="208"/>
      <c r="J33" s="208"/>
      <c r="K33" s="208"/>
      <c r="L33" s="208"/>
    </row>
    <row r="34" spans="1:12" ht="13.25" customHeight="1">
      <c r="A34" s="73" t="s">
        <v>47</v>
      </c>
      <c r="B34" s="208">
        <v>4907.28</v>
      </c>
      <c r="C34" s="206">
        <v>1420.51</v>
      </c>
      <c r="D34" s="478">
        <v>0</v>
      </c>
      <c r="E34" s="478">
        <v>0</v>
      </c>
      <c r="F34" s="208">
        <v>0</v>
      </c>
      <c r="H34" s="208"/>
      <c r="I34" s="208"/>
      <c r="J34" s="208"/>
      <c r="K34" s="208"/>
      <c r="L34" s="208"/>
    </row>
    <row r="35" spans="1:12" ht="13.25" customHeight="1">
      <c r="A35" s="73" t="s">
        <v>48</v>
      </c>
      <c r="B35" s="208">
        <v>3482.13</v>
      </c>
      <c r="C35" s="206">
        <v>4027.66</v>
      </c>
      <c r="D35" s="478">
        <v>0</v>
      </c>
      <c r="E35" s="478">
        <v>0</v>
      </c>
      <c r="F35" s="208">
        <v>0</v>
      </c>
      <c r="H35" s="208"/>
      <c r="I35" s="208"/>
      <c r="J35" s="208"/>
      <c r="K35" s="208"/>
      <c r="L35" s="208"/>
    </row>
    <row r="36" spans="1:12" ht="13.25" customHeight="1" thickBot="1">
      <c r="A36" s="74" t="s">
        <v>49</v>
      </c>
      <c r="B36" s="591">
        <v>3356.28</v>
      </c>
      <c r="C36" s="589">
        <v>1221.8499999999999</v>
      </c>
      <c r="D36" s="590">
        <v>0</v>
      </c>
      <c r="E36" s="590">
        <v>0</v>
      </c>
      <c r="F36" s="591">
        <v>0</v>
      </c>
      <c r="H36" s="208"/>
      <c r="I36" s="208"/>
      <c r="J36" s="208"/>
      <c r="K36" s="208"/>
      <c r="L36" s="208"/>
    </row>
    <row r="37" spans="1:12" ht="9" customHeight="1">
      <c r="A37" s="778" t="s">
        <v>402</v>
      </c>
      <c r="B37" s="797"/>
      <c r="C37" s="794"/>
      <c r="D37" s="794"/>
      <c r="E37" s="188"/>
      <c r="F37" s="188"/>
    </row>
    <row r="38" spans="1:12" ht="9" customHeight="1">
      <c r="A38" s="778" t="s">
        <v>359</v>
      </c>
      <c r="B38" s="797"/>
      <c r="C38" s="796"/>
      <c r="D38" s="796"/>
      <c r="E38" s="190"/>
      <c r="F38" s="190"/>
    </row>
    <row r="39" spans="1:12" ht="9" customHeight="1">
      <c r="A39" s="780" t="s">
        <v>358</v>
      </c>
      <c r="B39" s="802"/>
      <c r="C39" s="796"/>
      <c r="D39" s="796"/>
      <c r="E39" s="190"/>
      <c r="F39" s="190"/>
    </row>
    <row r="40" spans="1:12" ht="13.25" customHeight="1">
      <c r="A40" s="780"/>
      <c r="B40" s="796"/>
      <c r="C40" s="796"/>
      <c r="D40" s="796"/>
    </row>
    <row r="43" spans="1:12" ht="13.25" customHeight="1">
      <c r="A43" s="24"/>
    </row>
    <row r="44" spans="1:12" ht="13.25" customHeight="1">
      <c r="A44" s="33"/>
    </row>
    <row r="45" spans="1:12" ht="13.25" customHeight="1">
      <c r="A45" s="24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theme="9" tint="0.59999389629810485"/>
  </sheetPr>
  <dimension ref="A1:F45"/>
  <sheetViews>
    <sheetView showGridLines="0" zoomScaleNormal="100" workbookViewId="0">
      <selection activeCell="M41" sqref="M41"/>
    </sheetView>
  </sheetViews>
  <sheetFormatPr baseColWidth="10" defaultColWidth="7" defaultRowHeight="13.25" customHeight="1"/>
  <cols>
    <col min="1" max="1" width="12" style="73" customWidth="1"/>
    <col min="2" max="6" width="13" style="73" customWidth="1"/>
    <col min="7" max="16384" width="7" style="73"/>
  </cols>
  <sheetData>
    <row r="1" spans="1:6" ht="13.25" customHeight="1">
      <c r="A1" s="109"/>
      <c r="B1" s="109"/>
    </row>
    <row r="2" spans="1:6" ht="13.25" customHeight="1">
      <c r="A2" s="198" t="s">
        <v>484</v>
      </c>
      <c r="B2" s="109"/>
    </row>
    <row r="3" spans="1:6" ht="13.25" customHeight="1">
      <c r="A3" s="202" t="s">
        <v>386</v>
      </c>
      <c r="B3" s="104"/>
      <c r="C3" s="103"/>
      <c r="D3" s="103"/>
      <c r="E3" s="103"/>
      <c r="F3" s="103"/>
    </row>
    <row r="4" spans="1:6" ht="5" customHeight="1" thickBot="1"/>
    <row r="5" spans="1:6" ht="23" customHeight="1">
      <c r="A5" s="568" t="s">
        <v>18</v>
      </c>
      <c r="B5" s="800" t="s">
        <v>462</v>
      </c>
      <c r="C5" s="801" t="s">
        <v>235</v>
      </c>
      <c r="D5" s="801" t="s">
        <v>463</v>
      </c>
      <c r="E5" s="801" t="s">
        <v>464</v>
      </c>
      <c r="F5" s="800" t="s">
        <v>465</v>
      </c>
    </row>
    <row r="6" spans="1:6" ht="15" customHeight="1">
      <c r="A6" s="556" t="s">
        <v>90</v>
      </c>
      <c r="B6" s="893">
        <f>('C 11'!B6/'C 10'!B7)*1000</f>
        <v>17.32391434219139</v>
      </c>
      <c r="C6" s="588">
        <f>('C 11'!C6/'C 10'!C7)*1000</f>
        <v>2376.3283547110291</v>
      </c>
      <c r="D6" s="897">
        <f>('C 11'!D6/'C 10'!D7)*1000</f>
        <v>2.0671139948191608</v>
      </c>
      <c r="E6" s="897">
        <f>('C 11'!E6/'C 10'!E7)*1000</f>
        <v>2.0015893484879612</v>
      </c>
      <c r="F6" s="897">
        <f>('C 11'!F6/'C 10'!F7)*1000</f>
        <v>1.8582773830572161</v>
      </c>
    </row>
    <row r="7" spans="1:6" ht="3" customHeight="1">
      <c r="A7" s="109"/>
      <c r="B7" s="894"/>
      <c r="C7" s="207"/>
      <c r="D7" s="898"/>
      <c r="E7" s="898"/>
      <c r="F7" s="898"/>
    </row>
    <row r="8" spans="1:6" ht="13.25" customHeight="1">
      <c r="A8" s="73" t="s">
        <v>21</v>
      </c>
      <c r="B8" s="895">
        <f>'C 11'!B8/'C 10'!B9*1000</f>
        <v>7.655597376403513</v>
      </c>
      <c r="C8" s="208">
        <f>'C 11'!C8/'C 10'!C9*1000</f>
        <v>913.14610098595756</v>
      </c>
      <c r="D8" s="899">
        <v>0</v>
      </c>
      <c r="E8" s="899">
        <v>0</v>
      </c>
      <c r="F8" s="899">
        <v>0</v>
      </c>
    </row>
    <row r="9" spans="1:6" ht="13.25" customHeight="1">
      <c r="A9" s="73" t="s">
        <v>22</v>
      </c>
      <c r="B9" s="895">
        <f>'C 11'!B9/'C 10'!B10*1000</f>
        <v>12.958080445459375</v>
      </c>
      <c r="C9" s="208">
        <f>'C 11'!C9/'C 10'!C10*1000</f>
        <v>1787.860464365292</v>
      </c>
      <c r="D9" s="899">
        <f>'C 11'!D9/'C 10'!D10*1000</f>
        <v>1.4893617021276597</v>
      </c>
      <c r="E9" s="899">
        <v>0</v>
      </c>
      <c r="F9" s="899">
        <f>'C 11'!F9/'C 10'!F10*1000</f>
        <v>1.0864711383723575</v>
      </c>
    </row>
    <row r="10" spans="1:6" ht="13.25" customHeight="1">
      <c r="A10" s="73" t="s">
        <v>23</v>
      </c>
      <c r="B10" s="895">
        <f>'C 11'!B10/'C 10'!B11*1000</f>
        <v>16.808736649508965</v>
      </c>
      <c r="C10" s="208">
        <f>'C 11'!C10/'C 10'!C11*1000</f>
        <v>2552.5023747165437</v>
      </c>
      <c r="D10" s="899">
        <v>0</v>
      </c>
      <c r="E10" s="899">
        <v>0</v>
      </c>
      <c r="F10" s="899">
        <v>0</v>
      </c>
    </row>
    <row r="11" spans="1:6" ht="13.25" customHeight="1">
      <c r="A11" s="73" t="s">
        <v>24</v>
      </c>
      <c r="B11" s="895">
        <f>'C 11'!B11/'C 10'!B12*1000</f>
        <v>18.382507908398015</v>
      </c>
      <c r="C11" s="208">
        <f>'C 11'!C11/'C 10'!C12*1000</f>
        <v>3194.5815054966183</v>
      </c>
      <c r="D11" s="899">
        <f>'C 11'!D11/'C 10'!D12*1000</f>
        <v>3.4528978667170094</v>
      </c>
      <c r="E11" s="899">
        <v>0</v>
      </c>
      <c r="F11" s="899">
        <f>'C 11'!F11/'C 10'!F12*1000</f>
        <v>2.9908386024830387</v>
      </c>
    </row>
    <row r="12" spans="1:6" ht="13.25" customHeight="1">
      <c r="A12" s="73" t="s">
        <v>25</v>
      </c>
      <c r="B12" s="895">
        <f>'C 11'!B12/'C 10'!B13*1000</f>
        <v>5.4876655012009063</v>
      </c>
      <c r="C12" s="208">
        <f>'C 11'!C12/'C 10'!C13*1000</f>
        <v>2311.0754244838822</v>
      </c>
      <c r="D12" s="899">
        <v>0</v>
      </c>
      <c r="E12" s="899">
        <v>0</v>
      </c>
      <c r="F12" s="899">
        <f>'C 11'!F12/'C 10'!F13*1000</f>
        <v>1.5934626613932716</v>
      </c>
    </row>
    <row r="13" spans="1:6" ht="13.25" customHeight="1">
      <c r="A13" s="73" t="s">
        <v>26</v>
      </c>
      <c r="B13" s="895">
        <f>'C 11'!B13/'C 10'!B14*1000</f>
        <v>6.6465573870334831</v>
      </c>
      <c r="C13" s="208">
        <f>'C 11'!C13/'C 10'!C14*1000</f>
        <v>2396.8025198703822</v>
      </c>
      <c r="D13" s="899">
        <v>0</v>
      </c>
      <c r="E13" s="899">
        <v>0</v>
      </c>
      <c r="F13" s="899">
        <f>'C 11'!F13/'C 10'!F14*1000</f>
        <v>1.668523672038366</v>
      </c>
    </row>
    <row r="14" spans="1:6" ht="13.25" customHeight="1">
      <c r="A14" s="73" t="s">
        <v>27</v>
      </c>
      <c r="B14" s="895">
        <f>'C 11'!B14/'C 10'!B15*1000</f>
        <v>4.3812642435235576</v>
      </c>
      <c r="C14" s="208">
        <f>'C 11'!C14/'C 10'!C15*1000</f>
        <v>2253.9981880163386</v>
      </c>
      <c r="D14" s="899">
        <v>0</v>
      </c>
      <c r="E14" s="899">
        <v>0</v>
      </c>
      <c r="F14" s="899">
        <f>'C 11'!F14/'C 10'!F15*1000</f>
        <v>1.3210459987397605</v>
      </c>
    </row>
    <row r="15" spans="1:6" ht="13.25" customHeight="1">
      <c r="A15" s="73" t="s">
        <v>28</v>
      </c>
      <c r="B15" s="895">
        <f>'C 11'!B15/'C 10'!B16*1000</f>
        <v>4.7278927698541287</v>
      </c>
      <c r="C15" s="208">
        <f>'C 11'!C15/'C 10'!C16*1000</f>
        <v>1427.9125538718201</v>
      </c>
      <c r="D15" s="899">
        <v>0</v>
      </c>
      <c r="E15" s="899">
        <v>0</v>
      </c>
      <c r="F15" s="899">
        <v>0</v>
      </c>
    </row>
    <row r="16" spans="1:6" ht="13.25" customHeight="1">
      <c r="A16" s="73" t="s">
        <v>29</v>
      </c>
      <c r="B16" s="895">
        <f>'C 11'!B16/'C 10'!B17*1000</f>
        <v>10.752481257587704</v>
      </c>
      <c r="C16" s="208">
        <f>'C 11'!C16/'C 10'!C17*1000</f>
        <v>1280.8640594454223</v>
      </c>
      <c r="D16" s="899">
        <v>0</v>
      </c>
      <c r="E16" s="899">
        <v>0</v>
      </c>
      <c r="F16" s="899">
        <f>'C 11'!F16/'C 10'!F17*1000</f>
        <v>0.62705238467552782</v>
      </c>
    </row>
    <row r="17" spans="1:6" ht="13.25" customHeight="1">
      <c r="A17" s="73" t="s">
        <v>30</v>
      </c>
      <c r="B17" s="895">
        <f>'C 11'!B17/'C 10'!B18*1000</f>
        <v>6.5195363124376646</v>
      </c>
      <c r="C17" s="208">
        <f>'C 11'!C17/'C 10'!C18*1000</f>
        <v>1152.4823427143322</v>
      </c>
      <c r="D17" s="899">
        <v>0</v>
      </c>
      <c r="E17" s="899">
        <v>0</v>
      </c>
      <c r="F17" s="899">
        <f>'C 11'!F17/'C 10'!F18*1000</f>
        <v>1.4925373134328359</v>
      </c>
    </row>
    <row r="18" spans="1:6" ht="13.25" customHeight="1">
      <c r="A18" s="73" t="s">
        <v>31</v>
      </c>
      <c r="B18" s="895">
        <f>'C 11'!B18/'C 10'!B19*1000</f>
        <v>17.68473700089276</v>
      </c>
      <c r="C18" s="208">
        <f>'C 11'!C18/'C 10'!C19*1000</f>
        <v>5023.5886169372834</v>
      </c>
      <c r="D18" s="899">
        <f>'C 11'!D18/'C 10'!D19*1000</f>
        <v>1.6243714185475384</v>
      </c>
      <c r="E18" s="899">
        <f>'C 11'!E18/'C 10'!E19*1000</f>
        <v>1.3900796080832822</v>
      </c>
      <c r="F18" s="899">
        <f>'C 11'!F18/'C 10'!F19*1000</f>
        <v>1.299831595714567</v>
      </c>
    </row>
    <row r="19" spans="1:6" ht="13.25" customHeight="1">
      <c r="A19" s="73" t="s">
        <v>32</v>
      </c>
      <c r="B19" s="895">
        <f>'C 11'!B19/'C 10'!B20*1000</f>
        <v>19.181001245988483</v>
      </c>
      <c r="C19" s="208">
        <f>'C 11'!C19/'C 10'!C20*1000</f>
        <v>5661.83846823764</v>
      </c>
      <c r="D19" s="899">
        <v>0</v>
      </c>
      <c r="E19" s="899">
        <v>0</v>
      </c>
      <c r="F19" s="899">
        <v>0</v>
      </c>
    </row>
    <row r="20" spans="1:6" ht="13.25" customHeight="1">
      <c r="A20" s="73" t="s">
        <v>33</v>
      </c>
      <c r="B20" s="895">
        <f>'C 11'!B20/'C 10'!B21*1000</f>
        <v>7.202890655193448</v>
      </c>
      <c r="C20" s="208">
        <f>'C 11'!C20/'C 10'!C21*1000</f>
        <v>1497.9158585525913</v>
      </c>
      <c r="D20" s="899">
        <f>'C 11'!D20/'C 10'!D21*1000</f>
        <v>2.5332021642892282</v>
      </c>
      <c r="E20" s="899">
        <v>0</v>
      </c>
      <c r="F20" s="899">
        <f>'C 11'!F20/'C 10'!F21*1000</f>
        <v>1.6566873467032173</v>
      </c>
    </row>
    <row r="21" spans="1:6" ht="13.25" customHeight="1">
      <c r="A21" s="73" t="s">
        <v>34</v>
      </c>
      <c r="B21" s="895">
        <f>'C 11'!B21/'C 10'!B22*1000</f>
        <v>4.6361511290180033</v>
      </c>
      <c r="C21" s="208">
        <f>'C 11'!C21/'C 10'!C22*1000</f>
        <v>1259.3094124972979</v>
      </c>
      <c r="D21" s="899">
        <f>'C 11'!D21/'C 10'!D22*1000</f>
        <v>1.8054406587275631</v>
      </c>
      <c r="E21" s="899">
        <f>'C 11'!E21/'C 10'!E22*1000</f>
        <v>1.7138009049773755</v>
      </c>
      <c r="F21" s="899">
        <f>'C 11'!F21/'C 10'!F22*1000</f>
        <v>1.8561399760607629</v>
      </c>
    </row>
    <row r="22" spans="1:6" ht="13.25" customHeight="1">
      <c r="A22" s="73" t="s">
        <v>35</v>
      </c>
      <c r="B22" s="895">
        <f>'C 11'!B22/'C 10'!B23*1000</f>
        <v>7.7394068916561567</v>
      </c>
      <c r="C22" s="208">
        <f>'C 11'!C22/'C 10'!C23*1000</f>
        <v>1440.6161392224401</v>
      </c>
      <c r="D22" s="899">
        <f>'C 11'!D22/'C 10'!D23*1000</f>
        <v>2.6618295632380136</v>
      </c>
      <c r="E22" s="899">
        <f>'C 11'!E22/'C 10'!E23*1000</f>
        <v>2.3357201872762325</v>
      </c>
      <c r="F22" s="899">
        <f>'C 11'!F22/'C 10'!F23*1000</f>
        <v>1.8216632832123316</v>
      </c>
    </row>
    <row r="23" spans="1:6" ht="13.25" customHeight="1">
      <c r="A23" s="73" t="s">
        <v>36</v>
      </c>
      <c r="B23" s="895">
        <f>'C 11'!B23/'C 10'!B24*1000</f>
        <v>4.3551823583062861</v>
      </c>
      <c r="C23" s="208">
        <f>'C 11'!C23/'C 10'!C24*1000</f>
        <v>1717.6740217939273</v>
      </c>
      <c r="D23" s="899">
        <f>'C 11'!D23/'C 10'!D24*1000</f>
        <v>1.8653333133505186</v>
      </c>
      <c r="E23" s="899">
        <f>'C 11'!E23/'C 10'!E24*1000</f>
        <v>1.8760751728391054</v>
      </c>
      <c r="F23" s="899">
        <f>'C 11'!F23/'C 10'!F24*1000</f>
        <v>1.5546094103716086</v>
      </c>
    </row>
    <row r="24" spans="1:6" ht="13.25" customHeight="1">
      <c r="A24" s="73" t="s">
        <v>37</v>
      </c>
      <c r="B24" s="895">
        <f>'C 11'!B24/'C 10'!B25*1000</f>
        <v>15.77722953184724</v>
      </c>
      <c r="C24" s="208">
        <f>'C 11'!C24/'C 10'!C25*1000</f>
        <v>4731.5721117891753</v>
      </c>
      <c r="D24" s="899">
        <f>'C 11'!D24/'C 10'!D25*1000</f>
        <v>1.9722076235817849</v>
      </c>
      <c r="E24" s="899">
        <f>'C 11'!E24/'C 10'!E25*1000</f>
        <v>2.117312010515362</v>
      </c>
      <c r="F24" s="899">
        <f>'C 11'!F24/'C 10'!F25*1000</f>
        <v>1.5075084773130953</v>
      </c>
    </row>
    <row r="25" spans="1:6" ht="13.25" customHeight="1">
      <c r="A25" s="73" t="s">
        <v>38</v>
      </c>
      <c r="B25" s="895">
        <f>'C 11'!B25/'C 10'!B26*1000</f>
        <v>10.364152658592435</v>
      </c>
      <c r="C25" s="208">
        <f>'C 11'!C25/'C 10'!C26*1000</f>
        <v>3135.7496025298324</v>
      </c>
      <c r="D25" s="899">
        <f>'C 11'!D25/'C 10'!D26*1000</f>
        <v>2.0365147691850973</v>
      </c>
      <c r="E25" s="899">
        <f>'C 11'!E25/'C 10'!E26*1000</f>
        <v>1.7335510965935605</v>
      </c>
      <c r="F25" s="899">
        <f>'C 11'!F25/'C 10'!F26*1000</f>
        <v>1.4685314685314685</v>
      </c>
    </row>
    <row r="26" spans="1:6" ht="13.25" customHeight="1">
      <c r="A26" s="73" t="s">
        <v>39</v>
      </c>
      <c r="B26" s="895">
        <f>'C 11'!B26/'C 10'!B27*1000</f>
        <v>16.905212380305898</v>
      </c>
      <c r="C26" s="208">
        <f>'C 11'!C26/'C 10'!C27*1000</f>
        <v>4319.6704125360948</v>
      </c>
      <c r="D26" s="899">
        <f>'C 11'!D26/'C 10'!D27*1000</f>
        <v>3.2903569210751988</v>
      </c>
      <c r="E26" s="899">
        <v>0</v>
      </c>
      <c r="F26" s="899">
        <v>0</v>
      </c>
    </row>
    <row r="27" spans="1:6" ht="13.25" customHeight="1">
      <c r="A27" s="73" t="s">
        <v>40</v>
      </c>
      <c r="B27" s="895">
        <f>'C 11'!B27/'C 10'!B28*1000</f>
        <v>6.6652230770537182</v>
      </c>
      <c r="C27" s="208">
        <f>'C 11'!C27/'C 10'!C28*1000</f>
        <v>1940.8154032996133</v>
      </c>
      <c r="D27" s="899">
        <f>'C 11'!D27/'C 10'!D28*1000</f>
        <v>1.906142894806222</v>
      </c>
      <c r="E27" s="899">
        <f>'C 11'!E27/'C 10'!E28*1000</f>
        <v>1.5457413249211356</v>
      </c>
      <c r="F27" s="899">
        <f>'C 11'!F27/'C 10'!F28*1000</f>
        <v>1.4187414976747128</v>
      </c>
    </row>
    <row r="28" spans="1:6" ht="13.25" customHeight="1">
      <c r="A28" s="73" t="s">
        <v>41</v>
      </c>
      <c r="B28" s="895">
        <f>'C 11'!B28/'C 10'!B29*1000</f>
        <v>4.8073417587499518</v>
      </c>
      <c r="C28" s="208">
        <f>'C 11'!C28/'C 10'!C29*1000</f>
        <v>1115.7465254351639</v>
      </c>
      <c r="D28" s="899">
        <f>'C 11'!D28/'C 10'!D29*1000</f>
        <v>1.962184013918739</v>
      </c>
      <c r="E28" s="899">
        <f>'C 11'!E28/'C 10'!E29*1000</f>
        <v>1.7525301618159985</v>
      </c>
      <c r="F28" s="899">
        <f>'C 11'!F28/'C 10'!F29*1000</f>
        <v>1.8176548407184532</v>
      </c>
    </row>
    <row r="29" spans="1:6" ht="13.25" customHeight="1">
      <c r="A29" s="73" t="s">
        <v>42</v>
      </c>
      <c r="B29" s="895">
        <f>'C 11'!B29/'C 10'!B30*1000</f>
        <v>4.9331087146512278</v>
      </c>
      <c r="C29" s="208">
        <f>'C 11'!C29/'C 10'!C30*1000</f>
        <v>1008.0121771340484</v>
      </c>
      <c r="D29" s="899">
        <f>'C 11'!D29/'C 10'!D30*1000</f>
        <v>2.015288849345628</v>
      </c>
      <c r="E29" s="899">
        <f>'C 11'!E29/'C 10'!E30*1000</f>
        <v>1.6978868690597027</v>
      </c>
      <c r="F29" s="899">
        <f>'C 11'!F29/'C 10'!F30*1000</f>
        <v>1.8533190521480889</v>
      </c>
    </row>
    <row r="30" spans="1:6" ht="13.25" customHeight="1">
      <c r="A30" s="73" t="s">
        <v>43</v>
      </c>
      <c r="B30" s="895">
        <f>'C 11'!B30/'C 10'!B31*1000</f>
        <v>4.6789468584992502</v>
      </c>
      <c r="C30" s="208">
        <f>'C 11'!C30/'C 10'!C31*1000</f>
        <v>1283.0872853180824</v>
      </c>
      <c r="D30" s="899">
        <f>'C 11'!D30/'C 10'!D31*1000</f>
        <v>1.7714708611838781</v>
      </c>
      <c r="E30" s="899">
        <f>'C 11'!E30/'C 10'!E31*1000</f>
        <v>1.8430547203848466</v>
      </c>
      <c r="F30" s="899">
        <f>'C 11'!F30/'C 10'!F31*1000</f>
        <v>1.6624561349622586</v>
      </c>
    </row>
    <row r="31" spans="1:6" ht="13.25" customHeight="1">
      <c r="A31" s="73" t="s">
        <v>44</v>
      </c>
      <c r="B31" s="895">
        <f>'C 11'!B31/'C 10'!B32*1000</f>
        <v>3.2215103847896414</v>
      </c>
      <c r="C31" s="208">
        <f>'C 11'!C31/'C 10'!C32*1000</f>
        <v>1602.0446096654275</v>
      </c>
      <c r="D31" s="899">
        <f>'C 11'!D31/'C 10'!D32*1000</f>
        <v>1.9620244189509211</v>
      </c>
      <c r="E31" s="899">
        <f>'C 11'!E31/'C 10'!E32*1000</f>
        <v>1.7571251548946716</v>
      </c>
      <c r="F31" s="899">
        <f>'C 11'!F31/'C 10'!F32*1000</f>
        <v>1.59606476562832</v>
      </c>
    </row>
    <row r="32" spans="1:6" ht="13.25" customHeight="1">
      <c r="A32" s="73" t="s">
        <v>45</v>
      </c>
      <c r="B32" s="895">
        <f>'C 11'!B32/'C 10'!B33*1000</f>
        <v>4.8605438992709784</v>
      </c>
      <c r="C32" s="208">
        <f>'C 11'!C32/'C 10'!C33*1000</f>
        <v>1440.7017572444583</v>
      </c>
      <c r="D32" s="899">
        <f>'C 11'!D32/'C 10'!D33*1000</f>
        <v>2.0814301579798866</v>
      </c>
      <c r="E32" s="899">
        <f>'C 11'!E32/'C 10'!E33*1000</f>
        <v>2.0245448415374239</v>
      </c>
      <c r="F32" s="899">
        <f>'C 11'!F32/'C 10'!F33*1000</f>
        <v>1.9315158110598789</v>
      </c>
    </row>
    <row r="33" spans="1:6" ht="13.25" customHeight="1">
      <c r="A33" s="73" t="s">
        <v>46</v>
      </c>
      <c r="B33" s="895">
        <f>'C 11'!B33/'C 10'!B34*1000</f>
        <v>18.826025294512259</v>
      </c>
      <c r="C33" s="208">
        <f>'C 11'!C33/'C 10'!C34*1000</f>
        <v>1666.7158356937732</v>
      </c>
      <c r="D33" s="899">
        <v>0</v>
      </c>
      <c r="E33" s="899">
        <v>0</v>
      </c>
      <c r="F33" s="899">
        <v>0</v>
      </c>
    </row>
    <row r="34" spans="1:6" ht="13.25" customHeight="1">
      <c r="A34" s="73" t="s">
        <v>47</v>
      </c>
      <c r="B34" s="895">
        <f>'C 11'!B34/'C 10'!B35*1000</f>
        <v>14.645925772941114</v>
      </c>
      <c r="C34" s="208">
        <f>'C 11'!C34/'C 10'!C35*1000</f>
        <v>1212.1426742896151</v>
      </c>
      <c r="D34" s="899">
        <v>0</v>
      </c>
      <c r="E34" s="899">
        <v>0</v>
      </c>
      <c r="F34" s="899">
        <v>0</v>
      </c>
    </row>
    <row r="35" spans="1:6" ht="13.25" customHeight="1">
      <c r="A35" s="73" t="s">
        <v>48</v>
      </c>
      <c r="B35" s="895">
        <f>'C 11'!B35/'C 10'!B36*1000</f>
        <v>13.874802315355868</v>
      </c>
      <c r="C35" s="208">
        <f>'C 11'!C35/'C 10'!C36*1000</f>
        <v>1253.3561537264663</v>
      </c>
      <c r="D35" s="899">
        <v>0</v>
      </c>
      <c r="E35" s="899">
        <v>0</v>
      </c>
      <c r="F35" s="899">
        <v>0</v>
      </c>
    </row>
    <row r="36" spans="1:6" ht="13.25" customHeight="1" thickBot="1">
      <c r="A36" s="74" t="s">
        <v>49</v>
      </c>
      <c r="B36" s="896">
        <f>'C 11'!B36/'C 10'!B37*1000</f>
        <v>16.518288442542957</v>
      </c>
      <c r="C36" s="591">
        <f>'C 11'!C36/'C 10'!C37*1000</f>
        <v>1291.1867272535135</v>
      </c>
      <c r="D36" s="900">
        <v>0</v>
      </c>
      <c r="E36" s="900">
        <v>0</v>
      </c>
      <c r="F36" s="900">
        <v>0</v>
      </c>
    </row>
    <row r="37" spans="1:6" ht="9" customHeight="1">
      <c r="A37" s="778" t="s">
        <v>402</v>
      </c>
      <c r="B37" s="802"/>
      <c r="C37" s="798"/>
      <c r="D37" s="798"/>
      <c r="E37" s="201"/>
      <c r="F37" s="201"/>
    </row>
    <row r="38" spans="1:6" ht="9" customHeight="1">
      <c r="A38" s="778" t="s">
        <v>359</v>
      </c>
      <c r="B38" s="796"/>
      <c r="C38" s="794"/>
      <c r="D38" s="794"/>
      <c r="E38" s="188"/>
      <c r="F38" s="188"/>
    </row>
    <row r="39" spans="1:6" ht="9" customHeight="1">
      <c r="A39" s="780" t="s">
        <v>358</v>
      </c>
      <c r="B39" s="796"/>
      <c r="C39" s="796"/>
      <c r="D39" s="796"/>
      <c r="E39" s="190"/>
    </row>
    <row r="40" spans="1:6" ht="13.25" customHeight="1">
      <c r="A40" s="11"/>
    </row>
    <row r="43" spans="1:6" ht="13.25" customHeight="1">
      <c r="A43" s="24"/>
    </row>
    <row r="44" spans="1:6" ht="13.25" customHeight="1">
      <c r="A44" s="33"/>
    </row>
    <row r="45" spans="1:6" ht="13.25" customHeight="1">
      <c r="A45" s="24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tabColor theme="9" tint="0.59999389629810485"/>
  </sheetPr>
  <dimension ref="A2:O35"/>
  <sheetViews>
    <sheetView showGridLines="0" zoomScaleNormal="100" workbookViewId="0">
      <selection activeCell="X29" sqref="X29"/>
    </sheetView>
  </sheetViews>
  <sheetFormatPr baseColWidth="10" defaultColWidth="7" defaultRowHeight="13.25" customHeight="1"/>
  <cols>
    <col min="1" max="1" width="1" style="73" customWidth="1"/>
    <col min="2" max="2" width="15.796875" style="73" customWidth="1"/>
    <col min="3" max="3" width="8.796875" style="73" customWidth="1"/>
    <col min="4" max="15" width="8" style="73" customWidth="1"/>
    <col min="16" max="16384" width="7" style="73"/>
  </cols>
  <sheetData>
    <row r="2" spans="1:15" ht="13.25" customHeight="1">
      <c r="A2" s="209" t="s">
        <v>485</v>
      </c>
      <c r="B2" s="197"/>
      <c r="C2" s="197"/>
    </row>
    <row r="3" spans="1:15" ht="13.25" customHeight="1">
      <c r="A3" s="199" t="s">
        <v>236</v>
      </c>
      <c r="B3" s="197"/>
      <c r="C3" s="197"/>
    </row>
    <row r="4" spans="1:15" ht="5" customHeight="1" thickBot="1"/>
    <row r="5" spans="1:15" ht="15" customHeight="1">
      <c r="A5" s="961" t="s">
        <v>77</v>
      </c>
      <c r="B5" s="961"/>
      <c r="C5" s="568" t="s">
        <v>54</v>
      </c>
      <c r="D5" s="548" t="s">
        <v>55</v>
      </c>
      <c r="E5" s="548" t="s">
        <v>56</v>
      </c>
      <c r="F5" s="548" t="s">
        <v>57</v>
      </c>
      <c r="G5" s="548" t="s">
        <v>58</v>
      </c>
      <c r="H5" s="548" t="s">
        <v>59</v>
      </c>
      <c r="I5" s="548" t="s">
        <v>60</v>
      </c>
      <c r="J5" s="548" t="s">
        <v>61</v>
      </c>
      <c r="K5" s="548" t="s">
        <v>62</v>
      </c>
      <c r="L5" s="548" t="s">
        <v>63</v>
      </c>
      <c r="M5" s="548" t="s">
        <v>64</v>
      </c>
      <c r="N5" s="548" t="s">
        <v>65</v>
      </c>
      <c r="O5" s="548" t="s">
        <v>66</v>
      </c>
    </row>
    <row r="6" spans="1:15" ht="14" customHeight="1">
      <c r="A6" s="109" t="s">
        <v>188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</row>
    <row r="7" spans="1:15" ht="14" customHeight="1">
      <c r="A7" s="109"/>
      <c r="B7" s="73" t="s">
        <v>67</v>
      </c>
      <c r="C7" s="592">
        <f t="shared" ref="C7:C13" si="0">SUM(D7:O7)</f>
        <v>1801776.2929999998</v>
      </c>
      <c r="D7" s="204">
        <v>146431.128</v>
      </c>
      <c r="E7" s="204">
        <v>131107.86499999999</v>
      </c>
      <c r="F7" s="204">
        <v>147136.25099999999</v>
      </c>
      <c r="G7" s="204">
        <v>150880.19500000001</v>
      </c>
      <c r="H7" s="204">
        <v>152011.06</v>
      </c>
      <c r="I7" s="204">
        <v>150727.80499999999</v>
      </c>
      <c r="J7" s="204">
        <v>156985.21400000001</v>
      </c>
      <c r="K7" s="204">
        <v>152344.35699999999</v>
      </c>
      <c r="L7" s="204">
        <v>151414.163</v>
      </c>
      <c r="M7" s="204">
        <v>154949.671</v>
      </c>
      <c r="N7" s="204">
        <v>149045.674</v>
      </c>
      <c r="O7" s="204">
        <v>158742.91</v>
      </c>
    </row>
    <row r="8" spans="1:15" ht="14" customHeight="1">
      <c r="A8" s="109"/>
      <c r="B8" s="73" t="s">
        <v>5</v>
      </c>
      <c r="C8" s="592">
        <f t="shared" si="0"/>
        <v>33536.322</v>
      </c>
      <c r="D8" s="204">
        <v>2407.404</v>
      </c>
      <c r="E8" s="204">
        <v>2542.7820000000002</v>
      </c>
      <c r="F8" s="204">
        <v>2684.9780000000001</v>
      </c>
      <c r="G8" s="204">
        <v>3024.4229999999998</v>
      </c>
      <c r="H8" s="204">
        <v>3157.0430000000001</v>
      </c>
      <c r="I8" s="204">
        <v>3216.2260000000001</v>
      </c>
      <c r="J8" s="204">
        <v>3074.33</v>
      </c>
      <c r="K8" s="204">
        <v>2947.797</v>
      </c>
      <c r="L8" s="204">
        <v>2755.924</v>
      </c>
      <c r="M8" s="204">
        <v>2577.4450000000002</v>
      </c>
      <c r="N8" s="204">
        <v>2572.0360000000001</v>
      </c>
      <c r="O8" s="204">
        <v>2575.9340000000002</v>
      </c>
    </row>
    <row r="9" spans="1:15" ht="14" customHeight="1">
      <c r="A9" s="109"/>
      <c r="B9" s="73" t="s">
        <v>6</v>
      </c>
      <c r="C9" s="592">
        <f t="shared" si="0"/>
        <v>181404.62599999999</v>
      </c>
      <c r="D9" s="204">
        <v>14536.362999999999</v>
      </c>
      <c r="E9" s="204">
        <v>14456.602000000001</v>
      </c>
      <c r="F9" s="204">
        <v>14261.332</v>
      </c>
      <c r="G9" s="204">
        <v>14769.844999999999</v>
      </c>
      <c r="H9" s="204">
        <v>14736.407999999999</v>
      </c>
      <c r="I9" s="204">
        <v>15190.085999999999</v>
      </c>
      <c r="J9" s="204">
        <v>16193.700999999999</v>
      </c>
      <c r="K9" s="204">
        <v>15776.928</v>
      </c>
      <c r="L9" s="204">
        <v>15096.370999999999</v>
      </c>
      <c r="M9" s="204">
        <v>14286.663</v>
      </c>
      <c r="N9" s="204">
        <v>14943.102999999999</v>
      </c>
      <c r="O9" s="204">
        <v>17157.223999999998</v>
      </c>
    </row>
    <row r="10" spans="1:15" ht="14" customHeight="1">
      <c r="A10" s="109"/>
      <c r="B10" s="73" t="s">
        <v>7</v>
      </c>
      <c r="C10" s="592">
        <f t="shared" si="0"/>
        <v>192718.40300000002</v>
      </c>
      <c r="D10" s="204">
        <v>14509.695</v>
      </c>
      <c r="E10" s="204">
        <v>15190.224</v>
      </c>
      <c r="F10" s="204">
        <v>15477.213</v>
      </c>
      <c r="G10" s="204">
        <v>16865.216</v>
      </c>
      <c r="H10" s="204">
        <v>17391.827000000001</v>
      </c>
      <c r="I10" s="204">
        <v>17247.440999999999</v>
      </c>
      <c r="J10" s="204">
        <v>17011.983</v>
      </c>
      <c r="K10" s="204">
        <v>16407.357</v>
      </c>
      <c r="L10" s="204">
        <v>15977.758</v>
      </c>
      <c r="M10" s="204">
        <v>15305.718999999999</v>
      </c>
      <c r="N10" s="204">
        <v>15672.574000000001</v>
      </c>
      <c r="O10" s="204">
        <v>15661.396000000001</v>
      </c>
    </row>
    <row r="11" spans="1:15" ht="14" customHeight="1">
      <c r="A11" s="109"/>
      <c r="B11" s="73" t="s">
        <v>8</v>
      </c>
      <c r="C11" s="592">
        <f t="shared" si="0"/>
        <v>4929.2540000000008</v>
      </c>
      <c r="D11" s="204">
        <v>381.91500000000002</v>
      </c>
      <c r="E11" s="204">
        <v>387.161</v>
      </c>
      <c r="F11" s="204">
        <v>415.86200000000002</v>
      </c>
      <c r="G11" s="204">
        <v>417.51499999999999</v>
      </c>
      <c r="H11" s="204">
        <v>437.233</v>
      </c>
      <c r="I11" s="204">
        <v>452.459</v>
      </c>
      <c r="J11" s="204">
        <v>444.166</v>
      </c>
      <c r="K11" s="204">
        <v>428.279</v>
      </c>
      <c r="L11" s="204">
        <v>389.71699999999998</v>
      </c>
      <c r="M11" s="204">
        <v>380.34800000000001</v>
      </c>
      <c r="N11" s="204">
        <v>381.00099999999998</v>
      </c>
      <c r="O11" s="204">
        <v>413.59800000000001</v>
      </c>
    </row>
    <row r="12" spans="1:15" ht="14" customHeight="1">
      <c r="A12" s="109"/>
      <c r="B12" s="73" t="s">
        <v>9</v>
      </c>
      <c r="C12" s="592">
        <f t="shared" si="0"/>
        <v>12753.736000000001</v>
      </c>
      <c r="D12" s="204">
        <v>848.56799999999998</v>
      </c>
      <c r="E12" s="204">
        <v>1014.88</v>
      </c>
      <c r="F12" s="204">
        <v>1088.2449999999999</v>
      </c>
      <c r="G12" s="204">
        <v>1296.6600000000001</v>
      </c>
      <c r="H12" s="204">
        <v>1285.819</v>
      </c>
      <c r="I12" s="204">
        <v>1277.21</v>
      </c>
      <c r="J12" s="204">
        <v>1235.162</v>
      </c>
      <c r="K12" s="204">
        <v>1120.1869999999999</v>
      </c>
      <c r="L12" s="204">
        <v>984.88300000000004</v>
      </c>
      <c r="M12" s="204">
        <v>912.03899999999999</v>
      </c>
      <c r="N12" s="204">
        <v>891.31200000000001</v>
      </c>
      <c r="O12" s="204">
        <v>798.77099999999996</v>
      </c>
    </row>
    <row r="13" spans="1:15" ht="14" customHeight="1">
      <c r="A13" s="109"/>
      <c r="B13" s="73" t="s">
        <v>10</v>
      </c>
      <c r="C13" s="592">
        <f t="shared" si="0"/>
        <v>3971.3000000000006</v>
      </c>
      <c r="D13" s="204">
        <v>281.42200000000003</v>
      </c>
      <c r="E13" s="204">
        <v>309.09699999999998</v>
      </c>
      <c r="F13" s="204">
        <v>331.07600000000002</v>
      </c>
      <c r="G13" s="204">
        <v>380.93200000000002</v>
      </c>
      <c r="H13" s="204">
        <v>379.928</v>
      </c>
      <c r="I13" s="204">
        <v>389.577</v>
      </c>
      <c r="J13" s="204">
        <v>364.87799999999999</v>
      </c>
      <c r="K13" s="204">
        <v>334.81400000000002</v>
      </c>
      <c r="L13" s="204">
        <v>314.983</v>
      </c>
      <c r="M13" s="204">
        <v>288.68299999999999</v>
      </c>
      <c r="N13" s="204">
        <v>288.358</v>
      </c>
      <c r="O13" s="204">
        <v>307.55200000000002</v>
      </c>
    </row>
    <row r="14" spans="1:15" ht="5" customHeight="1">
      <c r="A14" s="109"/>
      <c r="C14" s="203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</row>
    <row r="15" spans="1:15" ht="14" customHeight="1">
      <c r="A15" s="109" t="s">
        <v>233</v>
      </c>
      <c r="C15" s="203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</row>
    <row r="16" spans="1:15" ht="14" customHeight="1">
      <c r="A16" s="109"/>
      <c r="B16" s="73" t="s">
        <v>5</v>
      </c>
      <c r="C16" s="592">
        <f>SUM(D16:O16)</f>
        <v>26083.808000000005</v>
      </c>
      <c r="D16" s="204">
        <v>1872.4259999999999</v>
      </c>
      <c r="E16" s="204">
        <v>1977.72</v>
      </c>
      <c r="F16" s="204">
        <v>2088.3159999999998</v>
      </c>
      <c r="G16" s="204">
        <v>2352.3290000000002</v>
      </c>
      <c r="H16" s="204">
        <v>2455.4780000000001</v>
      </c>
      <c r="I16" s="204">
        <v>2501.509</v>
      </c>
      <c r="J16" s="204">
        <v>2391.1460000000002</v>
      </c>
      <c r="K16" s="204">
        <v>2292.7310000000002</v>
      </c>
      <c r="L16" s="204">
        <v>2143.4960000000001</v>
      </c>
      <c r="M16" s="204">
        <v>2004.68</v>
      </c>
      <c r="N16" s="204">
        <v>2000.473</v>
      </c>
      <c r="O16" s="204">
        <v>2003.5039999999999</v>
      </c>
    </row>
    <row r="17" spans="1:15" ht="14" customHeight="1">
      <c r="A17" s="109"/>
      <c r="B17" s="73" t="s">
        <v>6</v>
      </c>
      <c r="C17" s="592">
        <f>SUM(D17:O17)</f>
        <v>36280.925999999999</v>
      </c>
      <c r="D17" s="204">
        <v>2907.2730000000001</v>
      </c>
      <c r="E17" s="204">
        <v>2891.32</v>
      </c>
      <c r="F17" s="204">
        <v>2852.2660000000001</v>
      </c>
      <c r="G17" s="204">
        <v>2953.9690000000001</v>
      </c>
      <c r="H17" s="204">
        <v>2947.2820000000002</v>
      </c>
      <c r="I17" s="204">
        <v>3038.0169999999998</v>
      </c>
      <c r="J17" s="204">
        <v>3238.74</v>
      </c>
      <c r="K17" s="204">
        <v>3155.386</v>
      </c>
      <c r="L17" s="204">
        <v>3019.2739999999999</v>
      </c>
      <c r="M17" s="204">
        <v>2857.3330000000001</v>
      </c>
      <c r="N17" s="204">
        <v>2988.6210000000001</v>
      </c>
      <c r="O17" s="204">
        <v>3431.4450000000002</v>
      </c>
    </row>
    <row r="18" spans="1:15" ht="14" customHeight="1">
      <c r="A18" s="109"/>
      <c r="B18" s="73" t="s">
        <v>7</v>
      </c>
      <c r="C18" s="592">
        <f>SUM(D18:O18)</f>
        <v>94469.804000000004</v>
      </c>
      <c r="D18" s="204">
        <v>7112.5959999999995</v>
      </c>
      <c r="E18" s="204">
        <v>7446.1880000000001</v>
      </c>
      <c r="F18" s="204">
        <v>7586.8689999999997</v>
      </c>
      <c r="G18" s="204">
        <v>8267.2630000000008</v>
      </c>
      <c r="H18" s="204">
        <v>8525.4050000000007</v>
      </c>
      <c r="I18" s="204">
        <v>8454.6280000000006</v>
      </c>
      <c r="J18" s="204">
        <v>8339.2070000000003</v>
      </c>
      <c r="K18" s="204">
        <v>8042.8220000000001</v>
      </c>
      <c r="L18" s="204">
        <v>7832.2340000000004</v>
      </c>
      <c r="M18" s="204">
        <v>7502.8029999999999</v>
      </c>
      <c r="N18" s="204">
        <v>7682.634</v>
      </c>
      <c r="O18" s="204">
        <v>7677.1549999999997</v>
      </c>
    </row>
    <row r="19" spans="1:15" ht="14" customHeight="1">
      <c r="A19" s="109"/>
      <c r="B19" s="73" t="s">
        <v>8</v>
      </c>
      <c r="C19" s="592">
        <f>SUM(D19:O19)</f>
        <v>3833.8629999999998</v>
      </c>
      <c r="D19" s="204">
        <v>297.04500000000002</v>
      </c>
      <c r="E19" s="204">
        <v>301.125</v>
      </c>
      <c r="F19" s="204">
        <v>323.44799999999998</v>
      </c>
      <c r="G19" s="204">
        <v>324.73399999999998</v>
      </c>
      <c r="H19" s="204">
        <v>340.07</v>
      </c>
      <c r="I19" s="204">
        <v>351.91199999999998</v>
      </c>
      <c r="J19" s="204">
        <v>345.46300000000002</v>
      </c>
      <c r="K19" s="204">
        <v>333.10599999999999</v>
      </c>
      <c r="L19" s="204">
        <v>303.113</v>
      </c>
      <c r="M19" s="204">
        <v>295.82600000000002</v>
      </c>
      <c r="N19" s="204">
        <v>296.334</v>
      </c>
      <c r="O19" s="204">
        <v>321.68700000000001</v>
      </c>
    </row>
    <row r="20" spans="1:15" ht="5" customHeight="1">
      <c r="A20" s="109"/>
      <c r="C20" s="203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</row>
    <row r="21" spans="1:15" ht="14" customHeight="1">
      <c r="A21" s="109" t="s">
        <v>234</v>
      </c>
      <c r="C21" s="592">
        <f>SUM(D21:O21)</f>
        <v>510961.58200000005</v>
      </c>
      <c r="D21" s="204">
        <v>42232.332999999999</v>
      </c>
      <c r="E21" s="204">
        <v>42061.923000000003</v>
      </c>
      <c r="F21" s="204">
        <v>42047.39</v>
      </c>
      <c r="G21" s="204">
        <v>41901.737000000001</v>
      </c>
      <c r="H21" s="204">
        <v>42049.680999999997</v>
      </c>
      <c r="I21" s="204">
        <v>42216.309000000001</v>
      </c>
      <c r="J21" s="204">
        <v>42529.391000000003</v>
      </c>
      <c r="K21" s="204">
        <v>43085.95</v>
      </c>
      <c r="L21" s="204">
        <v>43061.400999999998</v>
      </c>
      <c r="M21" s="204">
        <v>43021.599999999999</v>
      </c>
      <c r="N21" s="204">
        <v>43304.21</v>
      </c>
      <c r="O21" s="204">
        <v>43449.656999999999</v>
      </c>
    </row>
    <row r="22" spans="1:15" ht="5" customHeight="1">
      <c r="A22" s="109"/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</row>
    <row r="23" spans="1:15" ht="14" customHeight="1">
      <c r="A23" s="109" t="s">
        <v>235</v>
      </c>
      <c r="C23" s="592">
        <f>SUM(D23:O23)</f>
        <v>2246935.8630000004</v>
      </c>
      <c r="D23" s="204">
        <v>187351.198</v>
      </c>
      <c r="E23" s="204">
        <v>180945.908</v>
      </c>
      <c r="F23" s="204">
        <v>195429.92199999999</v>
      </c>
      <c r="G23" s="204">
        <v>196488.46400000001</v>
      </c>
      <c r="H23" s="204">
        <v>199003.91699999999</v>
      </c>
      <c r="I23" s="204">
        <v>194334.69500000001</v>
      </c>
      <c r="J23" s="204">
        <v>191982.11799999999</v>
      </c>
      <c r="K23" s="204">
        <v>187571.25599999999</v>
      </c>
      <c r="L23" s="204">
        <v>179218.35500000001</v>
      </c>
      <c r="M23" s="204">
        <v>180254.52900000001</v>
      </c>
      <c r="N23" s="204">
        <v>175311.476</v>
      </c>
      <c r="O23" s="204">
        <v>179044.02499999999</v>
      </c>
    </row>
    <row r="24" spans="1:15" ht="5" customHeight="1">
      <c r="A24" s="109"/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</row>
    <row r="25" spans="1:15" ht="14" customHeight="1">
      <c r="A25" s="109" t="s">
        <v>11</v>
      </c>
      <c r="C25" s="592">
        <f>SUM(D25:O25)</f>
        <v>4421.9440000000004</v>
      </c>
      <c r="D25" s="204">
        <v>436.142</v>
      </c>
      <c r="E25" s="204">
        <v>617.87800000000004</v>
      </c>
      <c r="F25" s="204">
        <v>591.88199999999995</v>
      </c>
      <c r="G25" s="204">
        <v>50.262</v>
      </c>
      <c r="H25" s="204">
        <v>67.451999999999998</v>
      </c>
      <c r="I25" s="204">
        <v>43.365000000000002</v>
      </c>
      <c r="J25" s="204">
        <v>4.343</v>
      </c>
      <c r="K25" s="204">
        <v>0.626</v>
      </c>
      <c r="L25" s="204">
        <v>21.65</v>
      </c>
      <c r="M25" s="204">
        <v>181.43899999999999</v>
      </c>
      <c r="N25" s="204">
        <v>1752.241</v>
      </c>
      <c r="O25" s="204">
        <v>654.66399999999999</v>
      </c>
    </row>
    <row r="26" spans="1:15" ht="5" customHeight="1">
      <c r="A26" s="109"/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4" customHeight="1">
      <c r="A27" s="109" t="s">
        <v>12</v>
      </c>
      <c r="B27" s="105"/>
      <c r="C27" s="592">
        <f>SUM(D27:O27)</f>
        <v>695.69999999999993</v>
      </c>
      <c r="D27" s="204">
        <v>43.06</v>
      </c>
      <c r="E27" s="204">
        <v>117.995</v>
      </c>
      <c r="F27" s="204">
        <v>99.594999999999999</v>
      </c>
      <c r="G27" s="204">
        <v>9.7959999999999994</v>
      </c>
      <c r="H27" s="204">
        <v>4.2990000000000004</v>
      </c>
      <c r="I27" s="204">
        <v>2.9369999999999998</v>
      </c>
      <c r="J27" s="204">
        <v>0.16300000000000001</v>
      </c>
      <c r="K27" s="204">
        <v>0</v>
      </c>
      <c r="L27" s="204">
        <v>3.13</v>
      </c>
      <c r="M27" s="204">
        <v>46.841000000000001</v>
      </c>
      <c r="N27" s="204">
        <v>305.495</v>
      </c>
      <c r="O27" s="204">
        <v>62.389000000000003</v>
      </c>
    </row>
    <row r="28" spans="1:15" ht="5" customHeight="1">
      <c r="A28" s="109"/>
      <c r="B28" s="105"/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</row>
    <row r="29" spans="1:15" ht="14" customHeight="1" thickBot="1">
      <c r="A29" s="593" t="s">
        <v>225</v>
      </c>
      <c r="B29" s="74"/>
      <c r="C29" s="594">
        <f>SUM(D29:O29)</f>
        <v>7983.7849999999999</v>
      </c>
      <c r="D29" s="432">
        <v>785.52</v>
      </c>
      <c r="E29" s="432">
        <v>2698.498</v>
      </c>
      <c r="F29" s="432">
        <v>2016.0740000000001</v>
      </c>
      <c r="G29" s="432">
        <v>306.601</v>
      </c>
      <c r="H29" s="432">
        <v>455.09500000000003</v>
      </c>
      <c r="I29" s="432">
        <v>248.745</v>
      </c>
      <c r="J29" s="432">
        <v>204.84299999999999</v>
      </c>
      <c r="K29" s="432">
        <v>135.619</v>
      </c>
      <c r="L29" s="432">
        <v>138.35</v>
      </c>
      <c r="M29" s="432">
        <v>26.419</v>
      </c>
      <c r="N29" s="432">
        <v>647.95799999999997</v>
      </c>
      <c r="O29" s="432">
        <v>320.06299999999999</v>
      </c>
    </row>
    <row r="30" spans="1:15" ht="9" customHeight="1">
      <c r="A30" s="778" t="s">
        <v>402</v>
      </c>
      <c r="B30" s="796"/>
      <c r="C30" s="796"/>
      <c r="D30" s="796"/>
      <c r="E30" s="796"/>
      <c r="F30" s="796"/>
    </row>
    <row r="31" spans="1:15" ht="9" customHeight="1">
      <c r="A31" s="778" t="s">
        <v>359</v>
      </c>
      <c r="B31" s="796"/>
      <c r="C31" s="796"/>
      <c r="D31" s="796"/>
      <c r="E31" s="796"/>
      <c r="F31" s="796"/>
    </row>
    <row r="32" spans="1:15" ht="9" customHeight="1">
      <c r="A32" s="780" t="s">
        <v>358</v>
      </c>
      <c r="B32" s="796"/>
      <c r="C32" s="796"/>
      <c r="D32" s="796"/>
      <c r="E32" s="796"/>
      <c r="F32" s="796"/>
    </row>
    <row r="33" spans="1:6" ht="13.25" customHeight="1">
      <c r="A33" s="780"/>
      <c r="B33" s="796"/>
      <c r="C33" s="796"/>
      <c r="D33" s="796"/>
      <c r="E33" s="796"/>
      <c r="F33" s="796"/>
    </row>
    <row r="35" spans="1:6" ht="13.25" customHeight="1">
      <c r="E35" s="77"/>
    </row>
  </sheetData>
  <mergeCells count="1">
    <mergeCell ref="A5:B5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>
    <tabColor theme="9" tint="0.59999389629810485"/>
  </sheetPr>
  <dimension ref="A2:U61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0.59765625" style="82" customWidth="1"/>
    <col min="2" max="2" width="10.3984375" style="82" customWidth="1"/>
    <col min="3" max="4" width="8" style="82" hidden="1" customWidth="1"/>
    <col min="5" max="21" width="7.796875" style="82" customWidth="1"/>
    <col min="22" max="16384" width="7" style="82"/>
  </cols>
  <sheetData>
    <row r="2" spans="1:20" ht="13.25" customHeight="1">
      <c r="A2" s="221" t="s">
        <v>487</v>
      </c>
      <c r="B2" s="219"/>
      <c r="C2" s="219"/>
    </row>
    <row r="3" spans="1:20" ht="13.25" customHeight="1">
      <c r="A3" s="220" t="s">
        <v>238</v>
      </c>
      <c r="B3" s="220"/>
      <c r="C3" s="219"/>
    </row>
    <row r="4" spans="1:20" ht="4.2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0" ht="15" customHeight="1">
      <c r="A5" s="962" t="s">
        <v>18</v>
      </c>
      <c r="B5" s="962"/>
      <c r="C5" s="562">
        <v>2005</v>
      </c>
      <c r="D5" s="562">
        <v>2006</v>
      </c>
      <c r="E5" s="562">
        <v>2007</v>
      </c>
      <c r="F5" s="562">
        <v>2008</v>
      </c>
      <c r="G5" s="562">
        <v>2009</v>
      </c>
      <c r="H5" s="562">
        <v>2010</v>
      </c>
      <c r="I5" s="562">
        <v>2011</v>
      </c>
      <c r="J5" s="562">
        <v>2012</v>
      </c>
      <c r="K5" s="562">
        <v>2013</v>
      </c>
      <c r="L5" s="562">
        <v>2014</v>
      </c>
      <c r="M5" s="562">
        <v>2015</v>
      </c>
      <c r="N5" s="562">
        <v>2016</v>
      </c>
      <c r="O5" s="562">
        <v>2017</v>
      </c>
      <c r="P5" s="562" t="s">
        <v>197</v>
      </c>
      <c r="Q5" s="562" t="s">
        <v>348</v>
      </c>
      <c r="R5" s="562">
        <v>2020</v>
      </c>
      <c r="S5" s="562">
        <v>2021</v>
      </c>
      <c r="T5" s="562" t="s">
        <v>486</v>
      </c>
    </row>
    <row r="6" spans="1:20" ht="15" customHeight="1">
      <c r="A6" s="963" t="s">
        <v>96</v>
      </c>
      <c r="B6" s="963"/>
      <c r="C6" s="574">
        <f t="shared" ref="C6:L6" si="0">(C8+C9+C10+C11+C12+C13+C14+C15+C16+C17+C18+C19+C20+C21+C22+C23+C24+C25+C26+C27+C28+C29+C30+C31)</f>
        <v>5249783</v>
      </c>
      <c r="D6" s="574">
        <f t="shared" si="0"/>
        <v>5241101</v>
      </c>
      <c r="E6" s="806">
        <f t="shared" si="0"/>
        <v>5420865</v>
      </c>
      <c r="F6" s="806">
        <f t="shared" si="0"/>
        <v>5442989</v>
      </c>
      <c r="G6" s="806">
        <f t="shared" si="0"/>
        <v>5459435</v>
      </c>
      <c r="H6" s="806">
        <f t="shared" si="0"/>
        <v>5520198</v>
      </c>
      <c r="I6" s="806">
        <f t="shared" si="0"/>
        <v>5589173</v>
      </c>
      <c r="J6" s="806">
        <f t="shared" si="0"/>
        <v>5660984</v>
      </c>
      <c r="K6" s="806">
        <f t="shared" si="0"/>
        <v>5555988</v>
      </c>
      <c r="L6" s="806">
        <f t="shared" si="0"/>
        <v>5577958</v>
      </c>
      <c r="M6" s="806">
        <f t="shared" ref="M6:R6" si="1">(M8+M9+M10+M11+M12+M13+M14+M15+M16+M17+M18+M19+M20+M21+M22+M23+M24+M25+M26+M27+M28+M29+M30+M31)</f>
        <v>5553469</v>
      </c>
      <c r="N6" s="806">
        <f t="shared" si="1"/>
        <v>5525455</v>
      </c>
      <c r="O6" s="806">
        <f t="shared" si="1"/>
        <v>5535569</v>
      </c>
      <c r="P6" s="806">
        <f t="shared" si="1"/>
        <v>5595483</v>
      </c>
      <c r="Q6" s="806">
        <f t="shared" si="1"/>
        <v>5599893</v>
      </c>
      <c r="R6" s="806">
        <f t="shared" si="1"/>
        <v>5688461</v>
      </c>
      <c r="S6" s="806">
        <f t="shared" ref="S6:T6" si="2">(S8+S9+S10+S11+S12+S13+S14+S15+S16+S17+S18+S19+S20+S21+S22+S23+S24+S25+S26+S27+S28+S29+S30+S31)</f>
        <v>5853659.9797060005</v>
      </c>
      <c r="T6" s="806">
        <f t="shared" si="2"/>
        <v>5862305.4898530003</v>
      </c>
    </row>
    <row r="7" spans="1:20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0" ht="13.25" customHeight="1">
      <c r="A8" s="83"/>
      <c r="B8" s="23" t="s">
        <v>21</v>
      </c>
      <c r="C8" s="222">
        <v>13800</v>
      </c>
      <c r="D8" s="222">
        <v>14000</v>
      </c>
      <c r="E8" s="93">
        <v>13890</v>
      </c>
      <c r="F8" s="93">
        <v>17461</v>
      </c>
      <c r="G8" s="93">
        <v>17100</v>
      </c>
      <c r="H8" s="93">
        <v>13729</v>
      </c>
      <c r="I8" s="93">
        <v>14447</v>
      </c>
      <c r="J8" s="93">
        <v>18070</v>
      </c>
      <c r="K8" s="93">
        <v>18447</v>
      </c>
      <c r="L8" s="93">
        <v>19414</v>
      </c>
      <c r="M8" s="808">
        <v>21346</v>
      </c>
      <c r="N8" s="808">
        <v>22427</v>
      </c>
      <c r="O8" s="808">
        <v>22350</v>
      </c>
      <c r="P8" s="808">
        <v>22050</v>
      </c>
      <c r="Q8" s="808">
        <v>22200</v>
      </c>
      <c r="R8" s="808">
        <v>19258</v>
      </c>
      <c r="S8" s="808">
        <v>20732</v>
      </c>
      <c r="T8" s="808">
        <v>19995</v>
      </c>
    </row>
    <row r="9" spans="1:20" ht="13.25" customHeight="1">
      <c r="A9" s="83"/>
      <c r="B9" s="23" t="s">
        <v>22</v>
      </c>
      <c r="C9" s="222">
        <v>234260</v>
      </c>
      <c r="D9" s="222">
        <v>234260</v>
      </c>
      <c r="E9" s="93">
        <v>237774</v>
      </c>
      <c r="F9" s="93">
        <v>227803</v>
      </c>
      <c r="G9" s="93">
        <v>230765</v>
      </c>
      <c r="H9" s="93">
        <v>302158</v>
      </c>
      <c r="I9" s="93">
        <v>310158</v>
      </c>
      <c r="J9" s="93">
        <v>324960</v>
      </c>
      <c r="K9" s="93">
        <v>308181</v>
      </c>
      <c r="L9" s="93">
        <v>301926</v>
      </c>
      <c r="M9" s="808">
        <v>298200</v>
      </c>
      <c r="N9" s="808">
        <v>290882</v>
      </c>
      <c r="O9" s="808">
        <v>276247</v>
      </c>
      <c r="P9" s="808">
        <v>268181</v>
      </c>
      <c r="Q9" s="808">
        <v>258181</v>
      </c>
      <c r="R9" s="808">
        <v>248181</v>
      </c>
      <c r="S9" s="808">
        <v>292935.97970600001</v>
      </c>
      <c r="T9" s="808">
        <v>280558.48985299998</v>
      </c>
    </row>
    <row r="10" spans="1:20" ht="13.25" customHeight="1">
      <c r="A10" s="83"/>
      <c r="B10" s="23" t="s">
        <v>23</v>
      </c>
      <c r="C10" s="222">
        <v>86000</v>
      </c>
      <c r="D10" s="222">
        <v>87500</v>
      </c>
      <c r="E10" s="93">
        <v>96479</v>
      </c>
      <c r="F10" s="93">
        <v>113725</v>
      </c>
      <c r="G10" s="93">
        <v>114210</v>
      </c>
      <c r="H10" s="93">
        <v>110583</v>
      </c>
      <c r="I10" s="93">
        <v>109540</v>
      </c>
      <c r="J10" s="93">
        <v>89795</v>
      </c>
      <c r="K10" s="93">
        <v>89530</v>
      </c>
      <c r="L10" s="93">
        <v>85995</v>
      </c>
      <c r="M10" s="93">
        <v>86120</v>
      </c>
      <c r="N10" s="93">
        <v>86344</v>
      </c>
      <c r="O10" s="93">
        <v>113514</v>
      </c>
      <c r="P10" s="93">
        <v>112040</v>
      </c>
      <c r="Q10" s="93">
        <v>113602</v>
      </c>
      <c r="R10" s="93">
        <v>114530</v>
      </c>
      <c r="S10" s="93">
        <v>114053</v>
      </c>
      <c r="T10" s="93">
        <v>111810</v>
      </c>
    </row>
    <row r="11" spans="1:20" ht="13.25" customHeight="1">
      <c r="A11" s="83"/>
      <c r="B11" s="23" t="s">
        <v>24</v>
      </c>
      <c r="C11" s="222">
        <v>253482</v>
      </c>
      <c r="D11" s="222">
        <v>253925</v>
      </c>
      <c r="E11" s="93">
        <v>254014</v>
      </c>
      <c r="F11" s="93">
        <v>253872</v>
      </c>
      <c r="G11" s="93">
        <v>253917</v>
      </c>
      <c r="H11" s="93">
        <v>254699</v>
      </c>
      <c r="I11" s="93">
        <v>259557</v>
      </c>
      <c r="J11" s="93">
        <v>262771</v>
      </c>
      <c r="K11" s="93">
        <v>262017</v>
      </c>
      <c r="L11" s="93">
        <v>259231</v>
      </c>
      <c r="M11" s="808">
        <v>246630</v>
      </c>
      <c r="N11" s="808">
        <v>245857</v>
      </c>
      <c r="O11" s="808">
        <v>237501</v>
      </c>
      <c r="P11" s="808">
        <v>233412</v>
      </c>
      <c r="Q11" s="808">
        <v>235457</v>
      </c>
      <c r="R11" s="808">
        <v>234083</v>
      </c>
      <c r="S11" s="808">
        <v>233679</v>
      </c>
      <c r="T11" s="808">
        <v>233020</v>
      </c>
    </row>
    <row r="12" spans="1:20" ht="13.25" customHeight="1">
      <c r="A12" s="83"/>
      <c r="B12" s="23" t="s">
        <v>25</v>
      </c>
      <c r="C12" s="222">
        <v>567252</v>
      </c>
      <c r="D12" s="222">
        <v>585191</v>
      </c>
      <c r="E12" s="93">
        <v>647924</v>
      </c>
      <c r="F12" s="93">
        <v>663444</v>
      </c>
      <c r="G12" s="93">
        <v>668400</v>
      </c>
      <c r="H12" s="93">
        <v>661441</v>
      </c>
      <c r="I12" s="93">
        <v>664574</v>
      </c>
      <c r="J12" s="93">
        <v>645466</v>
      </c>
      <c r="K12" s="93">
        <v>654160</v>
      </c>
      <c r="L12" s="93">
        <v>661156</v>
      </c>
      <c r="M12" s="808">
        <v>663500</v>
      </c>
      <c r="N12" s="808">
        <v>657561</v>
      </c>
      <c r="O12" s="808">
        <v>645182</v>
      </c>
      <c r="P12" s="808">
        <v>648080</v>
      </c>
      <c r="Q12" s="808">
        <v>655840</v>
      </c>
      <c r="R12" s="808">
        <v>657166</v>
      </c>
      <c r="S12" s="808">
        <v>658353</v>
      </c>
      <c r="T12" s="808">
        <v>654162</v>
      </c>
    </row>
    <row r="13" spans="1:20" ht="13.25" customHeight="1">
      <c r="A13" s="83"/>
      <c r="B13" s="23" t="s">
        <v>29</v>
      </c>
      <c r="C13" s="222">
        <v>201868</v>
      </c>
      <c r="D13" s="222">
        <v>203000</v>
      </c>
      <c r="E13" s="93">
        <v>232617</v>
      </c>
      <c r="F13" s="93">
        <v>239911</v>
      </c>
      <c r="G13" s="93">
        <v>238500</v>
      </c>
      <c r="H13" s="93">
        <v>231680</v>
      </c>
      <c r="I13" s="93">
        <v>230526</v>
      </c>
      <c r="J13" s="93">
        <v>230190</v>
      </c>
      <c r="K13" s="93">
        <v>231874</v>
      </c>
      <c r="L13" s="93">
        <v>240121</v>
      </c>
      <c r="M13" s="93">
        <v>250584</v>
      </c>
      <c r="N13" s="93">
        <v>246360</v>
      </c>
      <c r="O13" s="93">
        <v>247610</v>
      </c>
      <c r="P13" s="93">
        <v>268100</v>
      </c>
      <c r="Q13" s="93">
        <v>247855</v>
      </c>
      <c r="R13" s="93">
        <v>375751</v>
      </c>
      <c r="S13" s="93">
        <v>382797</v>
      </c>
      <c r="T13" s="93">
        <v>390157</v>
      </c>
    </row>
    <row r="14" spans="1:20" ht="13.25" customHeight="1">
      <c r="A14" s="83"/>
      <c r="B14" s="23" t="s">
        <v>30</v>
      </c>
      <c r="C14" s="222">
        <v>342051</v>
      </c>
      <c r="D14" s="222">
        <v>301166</v>
      </c>
      <c r="E14" s="93">
        <v>301783</v>
      </c>
      <c r="F14" s="93">
        <v>302411</v>
      </c>
      <c r="G14" s="93">
        <v>305711</v>
      </c>
      <c r="H14" s="93">
        <v>307624</v>
      </c>
      <c r="I14" s="93">
        <v>304367</v>
      </c>
      <c r="J14" s="93">
        <v>300992</v>
      </c>
      <c r="K14" s="93">
        <v>294294</v>
      </c>
      <c r="L14" s="93">
        <v>304127</v>
      </c>
      <c r="M14" s="808">
        <v>304262</v>
      </c>
      <c r="N14" s="808">
        <v>309475</v>
      </c>
      <c r="O14" s="808">
        <v>305720</v>
      </c>
      <c r="P14" s="808">
        <v>306410</v>
      </c>
      <c r="Q14" s="808">
        <v>306065</v>
      </c>
      <c r="R14" s="808">
        <v>308564</v>
      </c>
      <c r="S14" s="808">
        <v>307349</v>
      </c>
      <c r="T14" s="808">
        <v>307056.5</v>
      </c>
    </row>
    <row r="15" spans="1:20" ht="13.25" customHeight="1">
      <c r="A15" s="83"/>
      <c r="B15" s="23" t="s">
        <v>31</v>
      </c>
      <c r="C15" s="222">
        <v>263480</v>
      </c>
      <c r="D15" s="222">
        <v>258000</v>
      </c>
      <c r="E15" s="93">
        <v>254986</v>
      </c>
      <c r="F15" s="93">
        <v>228844</v>
      </c>
      <c r="G15" s="93">
        <v>226800</v>
      </c>
      <c r="H15" s="93">
        <v>230422</v>
      </c>
      <c r="I15" s="93">
        <v>232109</v>
      </c>
      <c r="J15" s="93">
        <v>225265</v>
      </c>
      <c r="K15" s="93">
        <v>226410</v>
      </c>
      <c r="L15" s="93">
        <v>232070</v>
      </c>
      <c r="M15" s="808">
        <v>265104</v>
      </c>
      <c r="N15" s="808">
        <v>257939</v>
      </c>
      <c r="O15" s="808">
        <v>245851</v>
      </c>
      <c r="P15" s="808">
        <v>255851</v>
      </c>
      <c r="Q15" s="808">
        <v>250851</v>
      </c>
      <c r="R15" s="808">
        <v>261406</v>
      </c>
      <c r="S15" s="808">
        <v>269325</v>
      </c>
      <c r="T15" s="808">
        <v>267365.5</v>
      </c>
    </row>
    <row r="16" spans="1:20" ht="13.25" customHeight="1">
      <c r="A16" s="83"/>
      <c r="B16" s="23" t="s">
        <v>32</v>
      </c>
      <c r="C16" s="222">
        <v>36448</v>
      </c>
      <c r="D16" s="222">
        <v>36595</v>
      </c>
      <c r="E16" s="93">
        <v>36877</v>
      </c>
      <c r="F16" s="93">
        <v>37296</v>
      </c>
      <c r="G16" s="93">
        <v>38100</v>
      </c>
      <c r="H16" s="93">
        <v>37063</v>
      </c>
      <c r="I16" s="93">
        <v>38362</v>
      </c>
      <c r="J16" s="93">
        <v>43823</v>
      </c>
      <c r="K16" s="93">
        <v>45315</v>
      </c>
      <c r="L16" s="93">
        <v>46324</v>
      </c>
      <c r="M16" s="93">
        <v>47838</v>
      </c>
      <c r="N16" s="93">
        <v>47321</v>
      </c>
      <c r="O16" s="93">
        <v>50124</v>
      </c>
      <c r="P16" s="93">
        <v>49144</v>
      </c>
      <c r="Q16" s="93">
        <v>50530</v>
      </c>
      <c r="R16" s="93">
        <v>48558</v>
      </c>
      <c r="S16" s="93">
        <v>48306</v>
      </c>
      <c r="T16" s="93">
        <v>52771</v>
      </c>
    </row>
    <row r="17" spans="1:20" ht="13.25" customHeight="1">
      <c r="A17" s="83"/>
      <c r="B17" s="23" t="s">
        <v>33</v>
      </c>
      <c r="C17" s="222">
        <v>269149</v>
      </c>
      <c r="D17" s="222">
        <v>293273</v>
      </c>
      <c r="E17" s="93">
        <v>324363</v>
      </c>
      <c r="F17" s="93">
        <v>323160</v>
      </c>
      <c r="G17" s="93">
        <v>324200</v>
      </c>
      <c r="H17" s="93">
        <v>319829</v>
      </c>
      <c r="I17" s="93">
        <v>305300</v>
      </c>
      <c r="J17" s="93">
        <v>246716</v>
      </c>
      <c r="K17" s="93">
        <v>273992</v>
      </c>
      <c r="L17" s="93">
        <v>295422</v>
      </c>
      <c r="M17" s="808">
        <v>290997</v>
      </c>
      <c r="N17" s="808">
        <v>290400</v>
      </c>
      <c r="O17" s="808">
        <v>292412</v>
      </c>
      <c r="P17" s="808">
        <v>293320</v>
      </c>
      <c r="Q17" s="808">
        <v>292866</v>
      </c>
      <c r="R17" s="808">
        <v>290125</v>
      </c>
      <c r="S17" s="808">
        <v>289367</v>
      </c>
      <c r="T17" s="808">
        <v>285746</v>
      </c>
    </row>
    <row r="18" spans="1:20" ht="13.25" customHeight="1">
      <c r="A18" s="83"/>
      <c r="B18" s="23" t="s">
        <v>34</v>
      </c>
      <c r="C18" s="222">
        <v>101588</v>
      </c>
      <c r="D18" s="222">
        <v>124095</v>
      </c>
      <c r="E18" s="93">
        <v>125933</v>
      </c>
      <c r="F18" s="93">
        <v>127193</v>
      </c>
      <c r="G18" s="93">
        <v>127367</v>
      </c>
      <c r="H18" s="93">
        <v>121506</v>
      </c>
      <c r="I18" s="93">
        <v>123433</v>
      </c>
      <c r="J18" s="93">
        <v>139412</v>
      </c>
      <c r="K18" s="93">
        <v>104710</v>
      </c>
      <c r="L18" s="93">
        <v>105754</v>
      </c>
      <c r="M18" s="808">
        <v>116831</v>
      </c>
      <c r="N18" s="808">
        <v>118002</v>
      </c>
      <c r="O18" s="808">
        <v>119663</v>
      </c>
      <c r="P18" s="808">
        <v>119420</v>
      </c>
      <c r="Q18" s="808">
        <v>119542</v>
      </c>
      <c r="R18" s="808">
        <v>118658</v>
      </c>
      <c r="S18" s="808">
        <v>119084</v>
      </c>
      <c r="T18" s="808">
        <v>117871</v>
      </c>
    </row>
    <row r="19" spans="1:20" ht="13.25" customHeight="1">
      <c r="A19" s="83"/>
      <c r="B19" s="23" t="s">
        <v>35</v>
      </c>
      <c r="C19" s="222">
        <v>222660</v>
      </c>
      <c r="D19" s="222">
        <v>221770</v>
      </c>
      <c r="E19" s="93">
        <v>222660</v>
      </c>
      <c r="F19" s="93">
        <v>234727</v>
      </c>
      <c r="G19" s="93">
        <v>230300</v>
      </c>
      <c r="H19" s="93">
        <v>225423</v>
      </c>
      <c r="I19" s="93">
        <v>226527</v>
      </c>
      <c r="J19" s="93">
        <v>308233</v>
      </c>
      <c r="K19" s="93">
        <v>312227</v>
      </c>
      <c r="L19" s="93">
        <v>288385</v>
      </c>
      <c r="M19" s="808">
        <v>298924</v>
      </c>
      <c r="N19" s="808">
        <v>296450</v>
      </c>
      <c r="O19" s="808">
        <v>321586</v>
      </c>
      <c r="P19" s="808">
        <v>331426</v>
      </c>
      <c r="Q19" s="808">
        <v>326506</v>
      </c>
      <c r="R19" s="808">
        <v>320443</v>
      </c>
      <c r="S19" s="808">
        <v>340566</v>
      </c>
      <c r="T19" s="808">
        <v>338504.5</v>
      </c>
    </row>
    <row r="20" spans="1:20" ht="13.25" customHeight="1">
      <c r="A20" s="83"/>
      <c r="B20" s="23" t="s">
        <v>36</v>
      </c>
      <c r="C20" s="222">
        <v>190580</v>
      </c>
      <c r="D20" s="222">
        <v>192967</v>
      </c>
      <c r="E20" s="93">
        <v>192922</v>
      </c>
      <c r="F20" s="93">
        <v>192479</v>
      </c>
      <c r="G20" s="93">
        <v>196315</v>
      </c>
      <c r="H20" s="93">
        <v>193053</v>
      </c>
      <c r="I20" s="93">
        <v>190420</v>
      </c>
      <c r="J20" s="93">
        <v>181736</v>
      </c>
      <c r="K20" s="93">
        <v>192332</v>
      </c>
      <c r="L20" s="93">
        <v>210565</v>
      </c>
      <c r="M20" s="808">
        <v>178817</v>
      </c>
      <c r="N20" s="808">
        <v>175772</v>
      </c>
      <c r="O20" s="808">
        <v>174439</v>
      </c>
      <c r="P20" s="808">
        <v>173620</v>
      </c>
      <c r="Q20" s="808">
        <v>182010</v>
      </c>
      <c r="R20" s="808">
        <v>180546</v>
      </c>
      <c r="S20" s="808">
        <v>179834</v>
      </c>
      <c r="T20" s="808">
        <v>177190</v>
      </c>
    </row>
    <row r="21" spans="1:20" ht="13.25" customHeight="1">
      <c r="A21" s="83"/>
      <c r="B21" s="23" t="s">
        <v>37</v>
      </c>
      <c r="C21" s="222">
        <v>268845</v>
      </c>
      <c r="D21" s="222">
        <v>263905</v>
      </c>
      <c r="E21" s="93">
        <v>258328</v>
      </c>
      <c r="F21" s="93">
        <v>248526</v>
      </c>
      <c r="G21" s="93">
        <v>215164</v>
      </c>
      <c r="H21" s="93">
        <v>204164</v>
      </c>
      <c r="I21" s="93">
        <v>201854</v>
      </c>
      <c r="J21" s="93">
        <v>201589</v>
      </c>
      <c r="K21" s="93">
        <v>234323</v>
      </c>
      <c r="L21" s="93">
        <v>230560</v>
      </c>
      <c r="M21" s="808">
        <v>230298</v>
      </c>
      <c r="N21" s="808">
        <v>222440</v>
      </c>
      <c r="O21" s="808">
        <v>205693</v>
      </c>
      <c r="P21" s="808">
        <v>218640</v>
      </c>
      <c r="Q21" s="808">
        <v>212744</v>
      </c>
      <c r="R21" s="808">
        <v>215432</v>
      </c>
      <c r="S21" s="808">
        <v>232737</v>
      </c>
      <c r="T21" s="808">
        <v>220215</v>
      </c>
    </row>
    <row r="22" spans="1:20" ht="13.25" customHeight="1">
      <c r="A22" s="83"/>
      <c r="B22" s="23" t="s">
        <v>38</v>
      </c>
      <c r="C22" s="222">
        <v>31022</v>
      </c>
      <c r="D22" s="222">
        <v>30221</v>
      </c>
      <c r="E22" s="93">
        <v>29637</v>
      </c>
      <c r="F22" s="93">
        <v>30050</v>
      </c>
      <c r="G22" s="93">
        <v>31200</v>
      </c>
      <c r="H22" s="93">
        <v>30426</v>
      </c>
      <c r="I22" s="93">
        <v>28624</v>
      </c>
      <c r="J22" s="93">
        <v>27380</v>
      </c>
      <c r="K22" s="93">
        <v>26180</v>
      </c>
      <c r="L22" s="93">
        <v>22631</v>
      </c>
      <c r="M22" s="808">
        <v>22850</v>
      </c>
      <c r="N22" s="808">
        <v>23993</v>
      </c>
      <c r="O22" s="808">
        <v>23870</v>
      </c>
      <c r="P22" s="808">
        <v>23571</v>
      </c>
      <c r="Q22" s="808">
        <v>23721</v>
      </c>
      <c r="R22" s="808">
        <v>23687</v>
      </c>
      <c r="S22" s="808">
        <v>23706</v>
      </c>
      <c r="T22" s="808">
        <v>22696.5</v>
      </c>
    </row>
    <row r="23" spans="1:20" ht="13.25" customHeight="1">
      <c r="A23" s="83"/>
      <c r="B23" s="23" t="s">
        <v>39</v>
      </c>
      <c r="C23" s="222">
        <v>29706</v>
      </c>
      <c r="D23" s="222">
        <v>29250</v>
      </c>
      <c r="E23" s="93">
        <v>29024</v>
      </c>
      <c r="F23" s="93">
        <v>28788</v>
      </c>
      <c r="G23" s="93">
        <v>26821</v>
      </c>
      <c r="H23" s="93">
        <v>26781</v>
      </c>
      <c r="I23" s="93">
        <v>27859</v>
      </c>
      <c r="J23" s="93">
        <v>26406</v>
      </c>
      <c r="K23" s="93">
        <v>23033</v>
      </c>
      <c r="L23" s="93">
        <v>21768</v>
      </c>
      <c r="M23" s="808">
        <v>19372</v>
      </c>
      <c r="N23" s="808">
        <v>20570</v>
      </c>
      <c r="O23" s="808">
        <v>18884</v>
      </c>
      <c r="P23" s="808">
        <v>18884</v>
      </c>
      <c r="Q23" s="808">
        <v>18884</v>
      </c>
      <c r="R23" s="808">
        <v>18912</v>
      </c>
      <c r="S23" s="808">
        <v>18897</v>
      </c>
      <c r="T23" s="808">
        <v>18404.5</v>
      </c>
    </row>
    <row r="24" spans="1:20" ht="13.25" customHeight="1">
      <c r="A24" s="83"/>
      <c r="B24" s="23" t="s">
        <v>40</v>
      </c>
      <c r="C24" s="222">
        <v>445510</v>
      </c>
      <c r="D24" s="222">
        <v>402448</v>
      </c>
      <c r="E24" s="93">
        <v>414853</v>
      </c>
      <c r="F24" s="93">
        <v>422321</v>
      </c>
      <c r="G24" s="93">
        <v>433280</v>
      </c>
      <c r="H24" s="93">
        <v>457628</v>
      </c>
      <c r="I24" s="93">
        <v>502428</v>
      </c>
      <c r="J24" s="93">
        <v>523715</v>
      </c>
      <c r="K24" s="93">
        <v>534820</v>
      </c>
      <c r="L24" s="93">
        <v>496410</v>
      </c>
      <c r="M24" s="808">
        <v>447647</v>
      </c>
      <c r="N24" s="808">
        <v>430076</v>
      </c>
      <c r="O24" s="808">
        <v>431096</v>
      </c>
      <c r="P24" s="808">
        <v>438152</v>
      </c>
      <c r="Q24" s="808">
        <v>453426</v>
      </c>
      <c r="R24" s="808">
        <v>423818</v>
      </c>
      <c r="S24" s="808">
        <v>422983</v>
      </c>
      <c r="T24" s="808">
        <v>437940</v>
      </c>
    </row>
    <row r="25" spans="1:20" ht="13.25" customHeight="1">
      <c r="A25" s="83"/>
      <c r="B25" s="23" t="s">
        <v>41</v>
      </c>
      <c r="C25" s="222">
        <v>323150</v>
      </c>
      <c r="D25" s="222">
        <v>324950</v>
      </c>
      <c r="E25" s="93">
        <v>332040</v>
      </c>
      <c r="F25" s="93">
        <v>336476</v>
      </c>
      <c r="G25" s="93">
        <v>338610</v>
      </c>
      <c r="H25" s="93">
        <v>333045</v>
      </c>
      <c r="I25" s="93">
        <v>340719</v>
      </c>
      <c r="J25" s="93">
        <v>346088</v>
      </c>
      <c r="K25" s="93">
        <v>294610</v>
      </c>
      <c r="L25" s="93">
        <v>300975</v>
      </c>
      <c r="M25" s="808">
        <v>304190</v>
      </c>
      <c r="N25" s="808">
        <v>295400</v>
      </c>
      <c r="O25" s="808">
        <v>296290</v>
      </c>
      <c r="P25" s="808">
        <v>296843</v>
      </c>
      <c r="Q25" s="808">
        <v>296567</v>
      </c>
      <c r="R25" s="808">
        <v>295076</v>
      </c>
      <c r="S25" s="808">
        <v>294844</v>
      </c>
      <c r="T25" s="808">
        <v>292960</v>
      </c>
    </row>
    <row r="26" spans="1:20" ht="13.25" customHeight="1">
      <c r="A26" s="83"/>
      <c r="B26" s="23" t="s">
        <v>44</v>
      </c>
      <c r="C26" s="222">
        <v>511848</v>
      </c>
      <c r="D26" s="222">
        <v>513739</v>
      </c>
      <c r="E26" s="93">
        <v>515430</v>
      </c>
      <c r="F26" s="93">
        <v>503610</v>
      </c>
      <c r="G26" s="93">
        <v>504329</v>
      </c>
      <c r="H26" s="93">
        <v>503311</v>
      </c>
      <c r="I26" s="93">
        <v>507051</v>
      </c>
      <c r="J26" s="93">
        <v>517772</v>
      </c>
      <c r="K26" s="93">
        <v>413459</v>
      </c>
      <c r="L26" s="93">
        <v>416924</v>
      </c>
      <c r="M26" s="808">
        <v>418637</v>
      </c>
      <c r="N26" s="808">
        <v>417960</v>
      </c>
      <c r="O26" s="808">
        <v>423941</v>
      </c>
      <c r="P26" s="808">
        <v>429684</v>
      </c>
      <c r="Q26" s="808">
        <v>439168</v>
      </c>
      <c r="R26" s="808">
        <v>440840</v>
      </c>
      <c r="S26" s="808">
        <v>442818</v>
      </c>
      <c r="T26" s="808">
        <v>443671</v>
      </c>
    </row>
    <row r="27" spans="1:20" ht="13.25" customHeight="1">
      <c r="A27" s="83"/>
      <c r="B27" s="23" t="s">
        <v>45</v>
      </c>
      <c r="C27" s="222">
        <v>608200</v>
      </c>
      <c r="D27" s="222">
        <v>617340</v>
      </c>
      <c r="E27" s="93">
        <v>627310</v>
      </c>
      <c r="F27" s="93">
        <v>634530</v>
      </c>
      <c r="G27" s="93">
        <v>652210</v>
      </c>
      <c r="H27" s="93">
        <v>669200</v>
      </c>
      <c r="I27" s="93">
        <v>680050</v>
      </c>
      <c r="J27" s="93">
        <v>691610</v>
      </c>
      <c r="K27" s="93">
        <v>694240</v>
      </c>
      <c r="L27" s="93">
        <v>708700</v>
      </c>
      <c r="M27" s="808">
        <v>702340</v>
      </c>
      <c r="N27" s="808">
        <v>726080</v>
      </c>
      <c r="O27" s="808">
        <v>721050</v>
      </c>
      <c r="P27" s="808">
        <v>729965</v>
      </c>
      <c r="Q27" s="808">
        <v>733260</v>
      </c>
      <c r="R27" s="808">
        <v>733660</v>
      </c>
      <c r="S27" s="808">
        <v>740290</v>
      </c>
      <c r="T27" s="808">
        <v>769420</v>
      </c>
    </row>
    <row r="28" spans="1:20" ht="13.25" customHeight="1">
      <c r="A28" s="83"/>
      <c r="B28" s="82" t="s">
        <v>46</v>
      </c>
      <c r="C28" s="222">
        <v>128598</v>
      </c>
      <c r="D28" s="222">
        <v>135292</v>
      </c>
      <c r="E28" s="93">
        <v>149779</v>
      </c>
      <c r="F28" s="93">
        <v>155033</v>
      </c>
      <c r="G28" s="93">
        <v>158060</v>
      </c>
      <c r="H28" s="93">
        <v>155352</v>
      </c>
      <c r="I28" s="93">
        <v>162423</v>
      </c>
      <c r="J28" s="93">
        <v>180040</v>
      </c>
      <c r="K28" s="93">
        <v>181450</v>
      </c>
      <c r="L28" s="93">
        <v>185986</v>
      </c>
      <c r="M28" s="808">
        <v>196470</v>
      </c>
      <c r="N28" s="808">
        <v>193965</v>
      </c>
      <c r="O28" s="808">
        <v>213566</v>
      </c>
      <c r="P28" s="808">
        <v>210120</v>
      </c>
      <c r="Q28" s="808">
        <v>211843</v>
      </c>
      <c r="R28" s="808">
        <v>212548</v>
      </c>
      <c r="S28" s="808">
        <v>214357</v>
      </c>
      <c r="T28" s="808">
        <v>213452.5</v>
      </c>
    </row>
    <row r="29" spans="1:20" ht="13.25" customHeight="1">
      <c r="A29" s="83"/>
      <c r="B29" s="23" t="s">
        <v>47</v>
      </c>
      <c r="C29" s="222">
        <v>31586</v>
      </c>
      <c r="D29" s="222">
        <v>31586</v>
      </c>
      <c r="E29" s="93">
        <v>31318</v>
      </c>
      <c r="F29" s="93">
        <v>30598</v>
      </c>
      <c r="G29" s="93">
        <v>30790</v>
      </c>
      <c r="H29" s="93">
        <v>35486</v>
      </c>
      <c r="I29" s="93">
        <v>36670</v>
      </c>
      <c r="J29" s="93">
        <v>35080</v>
      </c>
      <c r="K29" s="93">
        <v>42824</v>
      </c>
      <c r="L29" s="93">
        <v>43860</v>
      </c>
      <c r="M29" s="808">
        <v>43342</v>
      </c>
      <c r="N29" s="808">
        <v>46053</v>
      </c>
      <c r="O29" s="808">
        <v>46870</v>
      </c>
      <c r="P29" s="808">
        <v>45510</v>
      </c>
      <c r="Q29" s="808">
        <v>46190</v>
      </c>
      <c r="R29" s="808">
        <v>45827</v>
      </c>
      <c r="S29" s="808">
        <v>79677</v>
      </c>
      <c r="T29" s="808">
        <v>80743</v>
      </c>
    </row>
    <row r="30" spans="1:20" ht="13.25" customHeight="1">
      <c r="A30" s="83"/>
      <c r="B30" s="23" t="s">
        <v>48</v>
      </c>
      <c r="C30" s="222">
        <v>44500</v>
      </c>
      <c r="D30" s="222">
        <v>41400</v>
      </c>
      <c r="E30" s="93">
        <v>44016</v>
      </c>
      <c r="F30" s="93">
        <v>42475</v>
      </c>
      <c r="G30" s="93">
        <v>44280</v>
      </c>
      <c r="H30" s="93">
        <v>43334</v>
      </c>
      <c r="I30" s="93">
        <v>41105</v>
      </c>
      <c r="J30" s="93">
        <v>42210</v>
      </c>
      <c r="K30" s="93">
        <v>43180</v>
      </c>
      <c r="L30" s="93">
        <v>45194</v>
      </c>
      <c r="M30" s="808">
        <v>44187</v>
      </c>
      <c r="N30" s="808">
        <v>46396</v>
      </c>
      <c r="O30" s="808">
        <v>45690</v>
      </c>
      <c r="P30" s="808">
        <v>45720</v>
      </c>
      <c r="Q30" s="808">
        <v>45705</v>
      </c>
      <c r="R30" s="808">
        <v>41015</v>
      </c>
      <c r="S30" s="808">
        <v>66095</v>
      </c>
      <c r="T30" s="808">
        <v>63298</v>
      </c>
    </row>
    <row r="31" spans="1:20" ht="13.25" customHeight="1" thickBot="1">
      <c r="A31" s="88"/>
      <c r="B31" s="577" t="s">
        <v>49</v>
      </c>
      <c r="C31" s="581">
        <v>44200</v>
      </c>
      <c r="D31" s="581">
        <v>45228</v>
      </c>
      <c r="E31" s="809">
        <v>46908</v>
      </c>
      <c r="F31" s="809">
        <v>48256</v>
      </c>
      <c r="G31" s="809">
        <v>53006</v>
      </c>
      <c r="H31" s="809">
        <v>52261</v>
      </c>
      <c r="I31" s="809">
        <v>51070</v>
      </c>
      <c r="J31" s="809">
        <v>51665</v>
      </c>
      <c r="K31" s="809">
        <v>54380</v>
      </c>
      <c r="L31" s="809">
        <v>54460</v>
      </c>
      <c r="M31" s="810">
        <v>54983</v>
      </c>
      <c r="N31" s="810">
        <v>57732</v>
      </c>
      <c r="O31" s="810">
        <v>56420</v>
      </c>
      <c r="P31" s="810">
        <v>57340</v>
      </c>
      <c r="Q31" s="810">
        <v>56880</v>
      </c>
      <c r="R31" s="810">
        <v>60377</v>
      </c>
      <c r="S31" s="810">
        <v>60875</v>
      </c>
      <c r="T31" s="810">
        <v>63298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1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1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1" ht="13.25" customHeight="1">
      <c r="A35" s="805"/>
      <c r="B35" s="805"/>
      <c r="C35" s="805"/>
      <c r="D35" s="805"/>
      <c r="E35" s="805"/>
      <c r="F35" s="805"/>
      <c r="G35" s="805"/>
      <c r="H35" s="805"/>
    </row>
    <row r="36" spans="1:21" ht="13.25" customHeight="1">
      <c r="U36" s="28"/>
    </row>
    <row r="37" spans="1:21" ht="13.25" customHeight="1">
      <c r="U37" s="28"/>
    </row>
    <row r="38" spans="1:21" ht="13.25" customHeight="1">
      <c r="U38" s="28"/>
    </row>
    <row r="39" spans="1:21" ht="13.25" customHeight="1">
      <c r="U39" s="69"/>
    </row>
    <row r="40" spans="1:21" ht="13.25" customHeight="1">
      <c r="U40" s="28"/>
    </row>
    <row r="41" spans="1:21" ht="13.25" customHeight="1">
      <c r="U41" s="28"/>
    </row>
    <row r="42" spans="1:21" ht="13.25" customHeight="1">
      <c r="U42" s="69"/>
    </row>
    <row r="43" spans="1:21" ht="13.25" customHeight="1">
      <c r="U43" s="69"/>
    </row>
    <row r="44" spans="1:21" ht="13.25" customHeight="1">
      <c r="U44" s="28"/>
    </row>
    <row r="45" spans="1:21" ht="13.25" customHeight="1">
      <c r="U45" s="28"/>
    </row>
    <row r="46" spans="1:21" ht="13.25" customHeight="1">
      <c r="U46" s="28"/>
    </row>
    <row r="47" spans="1:21" ht="13.25" customHeight="1">
      <c r="U47" s="28"/>
    </row>
    <row r="48" spans="1:21" ht="13.25" customHeight="1">
      <c r="U48" s="28"/>
    </row>
    <row r="49" spans="21:21" ht="13.25" customHeight="1">
      <c r="U49" s="69"/>
    </row>
    <row r="50" spans="21:21" ht="13.25" customHeight="1">
      <c r="U50" s="28"/>
    </row>
    <row r="51" spans="21:21" ht="13.25" customHeight="1">
      <c r="U51" s="28"/>
    </row>
    <row r="52" spans="21:21" ht="13.25" customHeight="1">
      <c r="U52" s="28"/>
    </row>
    <row r="53" spans="21:21" ht="13.25" customHeight="1">
      <c r="U53" s="69"/>
    </row>
    <row r="54" spans="21:21" ht="13.25" customHeight="1">
      <c r="U54" s="28"/>
    </row>
    <row r="55" spans="21:21" ht="13.25" customHeight="1">
      <c r="U55" s="28"/>
    </row>
    <row r="56" spans="21:21" ht="13.25" customHeight="1">
      <c r="U56" s="11"/>
    </row>
    <row r="57" spans="21:21" ht="13.25" customHeight="1">
      <c r="U57" s="11"/>
    </row>
    <row r="58" spans="21:21" ht="13.25" customHeight="1">
      <c r="U58" s="69"/>
    </row>
    <row r="59" spans="21:21" ht="13.25" customHeight="1">
      <c r="U59" s="69"/>
    </row>
    <row r="60" spans="21:21" ht="13.25" customHeight="1">
      <c r="U60" s="69"/>
    </row>
    <row r="61" spans="21:21" ht="13.25" customHeight="1">
      <c r="U61" s="6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6">
    <tabColor theme="9" tint="0.59999389629810485"/>
  </sheetPr>
  <dimension ref="A2:V35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.19921875" style="82" customWidth="1"/>
    <col min="3" max="4" width="8" style="82" hidden="1" customWidth="1"/>
    <col min="5" max="20" width="7.796875" style="82" customWidth="1"/>
    <col min="21" max="16384" width="7" style="82"/>
  </cols>
  <sheetData>
    <row r="2" spans="1:22" ht="13.25" customHeight="1">
      <c r="A2" s="221" t="s">
        <v>489</v>
      </c>
      <c r="B2" s="219"/>
    </row>
    <row r="3" spans="1:22" ht="13.25" customHeight="1">
      <c r="A3" s="220" t="s">
        <v>238</v>
      </c>
      <c r="B3" s="220"/>
    </row>
    <row r="4" spans="1:22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2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 t="s">
        <v>350</v>
      </c>
      <c r="S5" s="569" t="s">
        <v>488</v>
      </c>
      <c r="T5" s="569" t="s">
        <v>477</v>
      </c>
    </row>
    <row r="6" spans="1:22" ht="15" customHeight="1">
      <c r="A6" s="963" t="s">
        <v>96</v>
      </c>
      <c r="B6" s="963"/>
      <c r="C6" s="574">
        <f t="shared" ref="C6:N6" si="0">(C8+C9+C10+C11+C12+C13+C14+C15+C16+C17+C18+C19+C20+C21+C22+C23+C24+C25+C26+C27+C28+C29+C30+C31)</f>
        <v>1074578</v>
      </c>
      <c r="D6" s="574">
        <f t="shared" si="0"/>
        <v>1127320</v>
      </c>
      <c r="E6" s="806">
        <f t="shared" si="0"/>
        <v>1138578</v>
      </c>
      <c r="F6" s="806">
        <f t="shared" si="0"/>
        <v>1151906</v>
      </c>
      <c r="G6" s="806">
        <f t="shared" si="0"/>
        <v>1168497</v>
      </c>
      <c r="H6" s="806">
        <f t="shared" si="0"/>
        <v>1218722</v>
      </c>
      <c r="I6" s="806">
        <f t="shared" si="0"/>
        <v>1266710</v>
      </c>
      <c r="J6" s="806">
        <f t="shared" si="0"/>
        <v>1319404</v>
      </c>
      <c r="K6" s="806">
        <f t="shared" si="0"/>
        <v>1375095</v>
      </c>
      <c r="L6" s="806">
        <f t="shared" si="0"/>
        <v>1376390</v>
      </c>
      <c r="M6" s="806">
        <f>(M8+M9+M10+M11+M12+M13+M14+M15+M16+M17+M18+M19+M20+M21+M22+M23+M24+M25+M26+M27+M28+M29+M30+M31)</f>
        <v>1367797</v>
      </c>
      <c r="N6" s="806">
        <f t="shared" si="0"/>
        <v>1364230</v>
      </c>
      <c r="O6" s="806">
        <f t="shared" ref="O6:T6" si="1">(O8+O9+O10+O11+O12+O13+O14+O15+O16+O17+O18+O19+O20+O21+O22+O23+O24+O25+O26+O27+O28+O29+O30+O31)</f>
        <v>1331223</v>
      </c>
      <c r="P6" s="806">
        <f t="shared" si="1"/>
        <v>1348165</v>
      </c>
      <c r="Q6" s="806">
        <f t="shared" si="1"/>
        <v>1357067</v>
      </c>
      <c r="R6" s="806">
        <f t="shared" si="1"/>
        <v>1250069.0030220905</v>
      </c>
      <c r="S6" s="806">
        <f t="shared" si="1"/>
        <v>1303069.6425553863</v>
      </c>
      <c r="T6" s="806">
        <f t="shared" si="1"/>
        <v>1316220.0994654137</v>
      </c>
    </row>
    <row r="7" spans="1:22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2" ht="13.25" customHeight="1">
      <c r="A8" s="83"/>
      <c r="B8" s="23" t="s">
        <v>21</v>
      </c>
      <c r="C8" s="222">
        <v>2573</v>
      </c>
      <c r="D8" s="222">
        <v>2418</v>
      </c>
      <c r="E8" s="93">
        <v>2930</v>
      </c>
      <c r="F8" s="93">
        <v>3894</v>
      </c>
      <c r="G8" s="93">
        <v>5335</v>
      </c>
      <c r="H8" s="93">
        <v>5461</v>
      </c>
      <c r="I8" s="93">
        <v>5844</v>
      </c>
      <c r="J8" s="93">
        <v>6574</v>
      </c>
      <c r="K8" s="93">
        <v>7212</v>
      </c>
      <c r="L8" s="93">
        <v>8084</v>
      </c>
      <c r="M8" s="93">
        <v>7723</v>
      </c>
      <c r="N8" s="808">
        <v>3812</v>
      </c>
      <c r="O8" s="808">
        <v>5673</v>
      </c>
      <c r="P8" s="808">
        <v>4958</v>
      </c>
      <c r="Q8" s="808">
        <v>4510</v>
      </c>
      <c r="R8" s="808">
        <v>4115.21</v>
      </c>
      <c r="S8" s="808">
        <v>3668</v>
      </c>
      <c r="T8" s="808">
        <v>3329</v>
      </c>
      <c r="V8" s="65"/>
    </row>
    <row r="9" spans="1:22" ht="13.25" customHeight="1">
      <c r="A9" s="83"/>
      <c r="B9" s="23" t="s">
        <v>22</v>
      </c>
      <c r="C9" s="222">
        <v>67649</v>
      </c>
      <c r="D9" s="222">
        <v>70283</v>
      </c>
      <c r="E9" s="93">
        <v>65745</v>
      </c>
      <c r="F9" s="93">
        <v>65730</v>
      </c>
      <c r="G9" s="93">
        <v>59431</v>
      </c>
      <c r="H9" s="93">
        <v>58172</v>
      </c>
      <c r="I9" s="93">
        <v>55889</v>
      </c>
      <c r="J9" s="93">
        <v>60264</v>
      </c>
      <c r="K9" s="93">
        <v>56967</v>
      </c>
      <c r="L9" s="93">
        <v>51654</v>
      </c>
      <c r="M9" s="93">
        <v>48938</v>
      </c>
      <c r="N9" s="808">
        <v>47065</v>
      </c>
      <c r="O9" s="808">
        <v>45661</v>
      </c>
      <c r="P9" s="808">
        <v>45440</v>
      </c>
      <c r="Q9" s="808">
        <v>47805</v>
      </c>
      <c r="R9" s="808">
        <v>47306.123022090396</v>
      </c>
      <c r="S9" s="808">
        <v>47401.125155386202</v>
      </c>
      <c r="T9" s="808">
        <v>47003.857465413683</v>
      </c>
      <c r="V9" s="67"/>
    </row>
    <row r="10" spans="1:22" ht="13.25" customHeight="1">
      <c r="A10" s="83"/>
      <c r="B10" s="23" t="s">
        <v>23</v>
      </c>
      <c r="C10" s="222">
        <v>22582</v>
      </c>
      <c r="D10" s="222">
        <v>22280</v>
      </c>
      <c r="E10" s="93">
        <v>22069</v>
      </c>
      <c r="F10" s="93">
        <v>19767</v>
      </c>
      <c r="G10" s="93">
        <v>19385</v>
      </c>
      <c r="H10" s="93">
        <v>18682</v>
      </c>
      <c r="I10" s="93">
        <v>17423</v>
      </c>
      <c r="J10" s="93">
        <v>18996</v>
      </c>
      <c r="K10" s="93">
        <v>20641</v>
      </c>
      <c r="L10" s="93">
        <v>23846</v>
      </c>
      <c r="M10" s="93">
        <v>23209</v>
      </c>
      <c r="N10" s="93">
        <v>23032</v>
      </c>
      <c r="O10" s="93">
        <v>22198</v>
      </c>
      <c r="P10" s="93">
        <v>22165</v>
      </c>
      <c r="Q10" s="93">
        <v>21454</v>
      </c>
      <c r="R10" s="93">
        <v>19737.599999999999</v>
      </c>
      <c r="S10" s="93">
        <v>20429.627399999998</v>
      </c>
      <c r="T10" s="93">
        <v>20895</v>
      </c>
      <c r="U10" s="90"/>
      <c r="V10" s="65"/>
    </row>
    <row r="11" spans="1:22" ht="13.25" customHeight="1">
      <c r="A11" s="83"/>
      <c r="B11" s="23" t="s">
        <v>24</v>
      </c>
      <c r="C11" s="222">
        <v>38590</v>
      </c>
      <c r="D11" s="222">
        <v>39984</v>
      </c>
      <c r="E11" s="93">
        <v>41125</v>
      </c>
      <c r="F11" s="93">
        <v>42224</v>
      </c>
      <c r="G11" s="93">
        <v>42848</v>
      </c>
      <c r="H11" s="93">
        <v>43307</v>
      </c>
      <c r="I11" s="93">
        <v>45452</v>
      </c>
      <c r="J11" s="93">
        <v>45649</v>
      </c>
      <c r="K11" s="93">
        <v>48278</v>
      </c>
      <c r="L11" s="93">
        <v>49237</v>
      </c>
      <c r="M11" s="93">
        <v>50755</v>
      </c>
      <c r="N11" s="808">
        <v>51726</v>
      </c>
      <c r="O11" s="808">
        <v>54880</v>
      </c>
      <c r="P11" s="808">
        <v>55173</v>
      </c>
      <c r="Q11" s="808">
        <v>58195</v>
      </c>
      <c r="R11" s="808">
        <v>60576</v>
      </c>
      <c r="S11" s="808">
        <v>60986</v>
      </c>
      <c r="T11" s="808">
        <v>63890</v>
      </c>
      <c r="U11" s="90"/>
      <c r="V11" s="65"/>
    </row>
    <row r="12" spans="1:22" ht="13.25" customHeight="1">
      <c r="A12" s="83"/>
      <c r="B12" s="23" t="s">
        <v>25</v>
      </c>
      <c r="C12" s="222">
        <v>137225</v>
      </c>
      <c r="D12" s="222">
        <v>159044</v>
      </c>
      <c r="E12" s="93">
        <v>173505</v>
      </c>
      <c r="F12" s="93">
        <v>168102</v>
      </c>
      <c r="G12" s="93">
        <v>172901</v>
      </c>
      <c r="H12" s="93">
        <v>192200</v>
      </c>
      <c r="I12" s="93">
        <v>204853</v>
      </c>
      <c r="J12" s="93">
        <v>200959</v>
      </c>
      <c r="K12" s="93">
        <v>215540</v>
      </c>
      <c r="L12" s="93">
        <v>223400</v>
      </c>
      <c r="M12" s="93">
        <v>217543</v>
      </c>
      <c r="N12" s="808">
        <v>214187</v>
      </c>
      <c r="O12" s="808">
        <v>210048</v>
      </c>
      <c r="P12" s="808">
        <v>192900</v>
      </c>
      <c r="Q12" s="808">
        <v>196668</v>
      </c>
      <c r="R12" s="808">
        <v>165617</v>
      </c>
      <c r="S12" s="808">
        <v>184568.4</v>
      </c>
      <c r="T12" s="808">
        <v>179786</v>
      </c>
      <c r="U12" s="90"/>
      <c r="V12" s="62"/>
    </row>
    <row r="13" spans="1:22" ht="13.25" customHeight="1">
      <c r="A13" s="83"/>
      <c r="B13" s="23" t="s">
        <v>29</v>
      </c>
      <c r="C13" s="222">
        <v>38436</v>
      </c>
      <c r="D13" s="222">
        <v>41714</v>
      </c>
      <c r="E13" s="93">
        <v>41250</v>
      </c>
      <c r="F13" s="93">
        <v>48751</v>
      </c>
      <c r="G13" s="93">
        <v>46747</v>
      </c>
      <c r="H13" s="93">
        <v>52759</v>
      </c>
      <c r="I13" s="93">
        <v>51187</v>
      </c>
      <c r="J13" s="93">
        <v>56188</v>
      </c>
      <c r="K13" s="93">
        <v>56942</v>
      </c>
      <c r="L13" s="93">
        <v>57637</v>
      </c>
      <c r="M13" s="93">
        <v>57779</v>
      </c>
      <c r="N13" s="93">
        <v>58697</v>
      </c>
      <c r="O13" s="93">
        <v>59675</v>
      </c>
      <c r="P13" s="93">
        <v>61709</v>
      </c>
      <c r="Q13" s="93">
        <v>62118</v>
      </c>
      <c r="R13" s="93">
        <v>54126</v>
      </c>
      <c r="S13" s="93">
        <v>50960</v>
      </c>
      <c r="T13" s="93">
        <v>56392</v>
      </c>
      <c r="U13" s="90"/>
      <c r="V13" s="65"/>
    </row>
    <row r="14" spans="1:22" ht="13.25" customHeight="1">
      <c r="A14" s="83"/>
      <c r="B14" s="23" t="s">
        <v>30</v>
      </c>
      <c r="C14" s="222">
        <v>50607</v>
      </c>
      <c r="D14" s="222">
        <v>52411</v>
      </c>
      <c r="E14" s="93">
        <v>52497</v>
      </c>
      <c r="F14" s="93">
        <v>55602</v>
      </c>
      <c r="G14" s="93">
        <v>56224</v>
      </c>
      <c r="H14" s="93">
        <v>56350</v>
      </c>
      <c r="I14" s="93">
        <v>61256</v>
      </c>
      <c r="J14" s="93">
        <v>63253</v>
      </c>
      <c r="K14" s="93">
        <v>65763</v>
      </c>
      <c r="L14" s="93">
        <v>67129</v>
      </c>
      <c r="M14" s="93">
        <v>69381</v>
      </c>
      <c r="N14" s="808">
        <v>72348</v>
      </c>
      <c r="O14" s="808">
        <v>70685</v>
      </c>
      <c r="P14" s="808">
        <v>71244</v>
      </c>
      <c r="Q14" s="808">
        <v>72763</v>
      </c>
      <c r="R14" s="808">
        <v>68633</v>
      </c>
      <c r="S14" s="808">
        <v>62644</v>
      </c>
      <c r="T14" s="808">
        <v>62463</v>
      </c>
      <c r="U14" s="90"/>
      <c r="V14" s="65"/>
    </row>
    <row r="15" spans="1:22" ht="13.25" customHeight="1">
      <c r="A15" s="83"/>
      <c r="B15" s="23" t="s">
        <v>31</v>
      </c>
      <c r="C15" s="222">
        <v>106742</v>
      </c>
      <c r="D15" s="222">
        <v>110598</v>
      </c>
      <c r="E15" s="93">
        <v>111846</v>
      </c>
      <c r="F15" s="93">
        <v>106946</v>
      </c>
      <c r="G15" s="93">
        <v>106932</v>
      </c>
      <c r="H15" s="93">
        <v>110315</v>
      </c>
      <c r="I15" s="93">
        <v>112788</v>
      </c>
      <c r="J15" s="93">
        <v>114785</v>
      </c>
      <c r="K15" s="93">
        <v>113303</v>
      </c>
      <c r="L15" s="93">
        <v>113750</v>
      </c>
      <c r="M15" s="93">
        <v>113823</v>
      </c>
      <c r="N15" s="808">
        <v>114444</v>
      </c>
      <c r="O15" s="808">
        <v>116208</v>
      </c>
      <c r="P15" s="808">
        <v>115837</v>
      </c>
      <c r="Q15" s="808">
        <v>113481</v>
      </c>
      <c r="R15" s="808">
        <v>106805</v>
      </c>
      <c r="S15" s="808">
        <v>109767</v>
      </c>
      <c r="T15" s="808">
        <v>109623.842</v>
      </c>
      <c r="U15" s="90"/>
      <c r="V15" s="65"/>
    </row>
    <row r="16" spans="1:22" ht="13.25" customHeight="1">
      <c r="A16" s="83"/>
      <c r="B16" s="23" t="s">
        <v>32</v>
      </c>
      <c r="C16" s="222">
        <v>7578</v>
      </c>
      <c r="D16" s="222">
        <v>7754</v>
      </c>
      <c r="E16" s="93">
        <v>8014</v>
      </c>
      <c r="F16" s="93">
        <v>8724</v>
      </c>
      <c r="G16" s="93">
        <v>9240</v>
      </c>
      <c r="H16" s="93">
        <v>10332</v>
      </c>
      <c r="I16" s="93">
        <v>11597</v>
      </c>
      <c r="J16" s="93">
        <v>11731</v>
      </c>
      <c r="K16" s="93">
        <v>12686</v>
      </c>
      <c r="L16" s="93">
        <v>13112</v>
      </c>
      <c r="M16" s="93">
        <v>12407</v>
      </c>
      <c r="N16" s="93">
        <v>13999</v>
      </c>
      <c r="O16" s="93">
        <v>12350</v>
      </c>
      <c r="P16" s="93">
        <v>11880</v>
      </c>
      <c r="Q16" s="93">
        <v>13058</v>
      </c>
      <c r="R16" s="93">
        <v>15834</v>
      </c>
      <c r="S16" s="93">
        <v>20410</v>
      </c>
      <c r="T16" s="93">
        <v>21179</v>
      </c>
      <c r="U16" s="90"/>
      <c r="V16" s="65"/>
    </row>
    <row r="17" spans="1:22" ht="13.25" customHeight="1">
      <c r="A17" s="83"/>
      <c r="B17" s="23" t="s">
        <v>33</v>
      </c>
      <c r="C17" s="222">
        <v>59649</v>
      </c>
      <c r="D17" s="222">
        <v>63816</v>
      </c>
      <c r="E17" s="93">
        <v>72114</v>
      </c>
      <c r="F17" s="93">
        <v>76355</v>
      </c>
      <c r="G17" s="93">
        <v>79585</v>
      </c>
      <c r="H17" s="93">
        <v>85815</v>
      </c>
      <c r="I17" s="93">
        <v>94930</v>
      </c>
      <c r="J17" s="93">
        <v>114520</v>
      </c>
      <c r="K17" s="93">
        <v>140057</v>
      </c>
      <c r="L17" s="93">
        <v>141250</v>
      </c>
      <c r="M17" s="93">
        <v>144125</v>
      </c>
      <c r="N17" s="808">
        <v>144071</v>
      </c>
      <c r="O17" s="808">
        <v>120539</v>
      </c>
      <c r="P17" s="808">
        <v>146932</v>
      </c>
      <c r="Q17" s="808">
        <v>149251</v>
      </c>
      <c r="R17" s="808">
        <v>148059</v>
      </c>
      <c r="S17" s="808">
        <v>150369</v>
      </c>
      <c r="T17" s="808">
        <v>151838</v>
      </c>
      <c r="U17" s="90"/>
      <c r="V17" s="65"/>
    </row>
    <row r="18" spans="1:22" ht="13.25" customHeight="1">
      <c r="A18" s="83"/>
      <c r="B18" s="23" t="s">
        <v>34</v>
      </c>
      <c r="C18" s="222">
        <v>24789</v>
      </c>
      <c r="D18" s="222">
        <v>21165</v>
      </c>
      <c r="E18" s="93">
        <v>21528</v>
      </c>
      <c r="F18" s="93">
        <v>21968</v>
      </c>
      <c r="G18" s="93">
        <v>22677</v>
      </c>
      <c r="H18" s="93">
        <v>23684</v>
      </c>
      <c r="I18" s="93">
        <v>23161</v>
      </c>
      <c r="J18" s="93">
        <v>23312</v>
      </c>
      <c r="K18" s="93">
        <v>24007</v>
      </c>
      <c r="L18" s="93">
        <v>22792</v>
      </c>
      <c r="M18" s="93">
        <v>22998</v>
      </c>
      <c r="N18" s="808">
        <v>21400</v>
      </c>
      <c r="O18" s="808">
        <v>21814</v>
      </c>
      <c r="P18" s="808">
        <v>22594</v>
      </c>
      <c r="Q18" s="808">
        <v>23223</v>
      </c>
      <c r="R18" s="808">
        <v>22902</v>
      </c>
      <c r="S18" s="808">
        <v>23722</v>
      </c>
      <c r="T18" s="808">
        <v>23734</v>
      </c>
      <c r="U18" s="90"/>
      <c r="V18" s="65"/>
    </row>
    <row r="19" spans="1:22" ht="13.25" customHeight="1">
      <c r="A19" s="83"/>
      <c r="B19" s="23" t="s">
        <v>35</v>
      </c>
      <c r="C19" s="222">
        <v>38200</v>
      </c>
      <c r="D19" s="222">
        <v>37880</v>
      </c>
      <c r="E19" s="93">
        <v>39227</v>
      </c>
      <c r="F19" s="93">
        <v>39152</v>
      </c>
      <c r="G19" s="93">
        <v>44461</v>
      </c>
      <c r="H19" s="93">
        <v>49775</v>
      </c>
      <c r="I19" s="93">
        <v>53811</v>
      </c>
      <c r="J19" s="93">
        <v>58536</v>
      </c>
      <c r="K19" s="93">
        <v>61110</v>
      </c>
      <c r="L19" s="93">
        <v>63524</v>
      </c>
      <c r="M19" s="93">
        <v>71403</v>
      </c>
      <c r="N19" s="808">
        <v>72302</v>
      </c>
      <c r="O19" s="808">
        <v>77250</v>
      </c>
      <c r="P19" s="808">
        <v>75790</v>
      </c>
      <c r="Q19" s="808">
        <v>61103</v>
      </c>
      <c r="R19" s="808">
        <v>49952</v>
      </c>
      <c r="S19" s="808">
        <v>55007</v>
      </c>
      <c r="T19" s="808">
        <v>59365</v>
      </c>
      <c r="U19" s="90"/>
      <c r="V19" s="65"/>
    </row>
    <row r="20" spans="1:22" ht="13.25" customHeight="1">
      <c r="A20" s="83"/>
      <c r="B20" s="23" t="s">
        <v>36</v>
      </c>
      <c r="C20" s="222">
        <v>26421</v>
      </c>
      <c r="D20" s="222">
        <v>24031</v>
      </c>
      <c r="E20" s="93">
        <v>25261</v>
      </c>
      <c r="F20" s="93">
        <v>29845</v>
      </c>
      <c r="G20" s="93">
        <v>31300</v>
      </c>
      <c r="H20" s="93">
        <v>30058</v>
      </c>
      <c r="I20" s="93">
        <v>32977</v>
      </c>
      <c r="J20" s="93">
        <v>34203</v>
      </c>
      <c r="K20" s="93">
        <v>39321</v>
      </c>
      <c r="L20" s="93">
        <v>39774</v>
      </c>
      <c r="M20" s="93">
        <v>38160</v>
      </c>
      <c r="N20" s="808">
        <v>33336</v>
      </c>
      <c r="O20" s="808">
        <v>33790</v>
      </c>
      <c r="P20" s="808">
        <v>31298</v>
      </c>
      <c r="Q20" s="808">
        <v>29731</v>
      </c>
      <c r="R20" s="808">
        <v>28578.550000000003</v>
      </c>
      <c r="S20" s="808">
        <v>27973.27</v>
      </c>
      <c r="T20" s="808">
        <v>25999.599999999999</v>
      </c>
      <c r="U20" s="90"/>
      <c r="V20" s="65"/>
    </row>
    <row r="21" spans="1:22" ht="13.25" customHeight="1">
      <c r="A21" s="83"/>
      <c r="B21" s="23" t="s">
        <v>37</v>
      </c>
      <c r="C21" s="222">
        <v>55525</v>
      </c>
      <c r="D21" s="222">
        <v>55736</v>
      </c>
      <c r="E21" s="93">
        <v>40546</v>
      </c>
      <c r="F21" s="93">
        <v>39625</v>
      </c>
      <c r="G21" s="93">
        <v>33291</v>
      </c>
      <c r="H21" s="93">
        <v>33050</v>
      </c>
      <c r="I21" s="93">
        <v>33713</v>
      </c>
      <c r="J21" s="93">
        <v>35916</v>
      </c>
      <c r="K21" s="93">
        <v>45090</v>
      </c>
      <c r="L21" s="93">
        <v>45436</v>
      </c>
      <c r="M21" s="93">
        <v>43383</v>
      </c>
      <c r="N21" s="808">
        <v>40991</v>
      </c>
      <c r="O21" s="808">
        <v>34053</v>
      </c>
      <c r="P21" s="808">
        <v>34646</v>
      </c>
      <c r="Q21" s="808">
        <v>35096</v>
      </c>
      <c r="R21" s="808">
        <v>28525</v>
      </c>
      <c r="S21" s="808">
        <v>30478</v>
      </c>
      <c r="T21" s="808">
        <v>32484</v>
      </c>
      <c r="U21" s="90"/>
      <c r="V21" s="65"/>
    </row>
    <row r="22" spans="1:22" ht="13.25" customHeight="1">
      <c r="A22" s="83"/>
      <c r="B22" s="23" t="s">
        <v>38</v>
      </c>
      <c r="C22" s="222">
        <v>6677</v>
      </c>
      <c r="D22" s="222">
        <v>7103</v>
      </c>
      <c r="E22" s="93">
        <v>7311</v>
      </c>
      <c r="F22" s="93">
        <v>6445</v>
      </c>
      <c r="G22" s="93">
        <v>5763</v>
      </c>
      <c r="H22" s="93">
        <v>5342</v>
      </c>
      <c r="I22" s="93">
        <v>5306</v>
      </c>
      <c r="J22" s="93">
        <v>4637</v>
      </c>
      <c r="K22" s="93">
        <v>5008</v>
      </c>
      <c r="L22" s="93">
        <v>5354</v>
      </c>
      <c r="M22" s="93">
        <v>5329</v>
      </c>
      <c r="N22" s="808">
        <v>5114</v>
      </c>
      <c r="O22" s="808">
        <v>4227</v>
      </c>
      <c r="P22" s="808">
        <v>3536</v>
      </c>
      <c r="Q22" s="808">
        <v>3495</v>
      </c>
      <c r="R22" s="808">
        <v>3105</v>
      </c>
      <c r="S22" s="808">
        <v>3579</v>
      </c>
      <c r="T22" s="808">
        <v>3570</v>
      </c>
      <c r="U22" s="90"/>
      <c r="V22" s="65"/>
    </row>
    <row r="23" spans="1:22" ht="13.25" customHeight="1">
      <c r="A23" s="83"/>
      <c r="B23" s="23" t="s">
        <v>39</v>
      </c>
      <c r="C23" s="222">
        <v>6140</v>
      </c>
      <c r="D23" s="222">
        <v>5963</v>
      </c>
      <c r="E23" s="93">
        <v>6056</v>
      </c>
      <c r="F23" s="93">
        <v>6208</v>
      </c>
      <c r="G23" s="93">
        <v>5910</v>
      </c>
      <c r="H23" s="93">
        <v>5982</v>
      </c>
      <c r="I23" s="93">
        <v>6016</v>
      </c>
      <c r="J23" s="93">
        <v>6451</v>
      </c>
      <c r="K23" s="93">
        <v>5996</v>
      </c>
      <c r="L23" s="93">
        <v>5897</v>
      </c>
      <c r="M23" s="93">
        <v>5465</v>
      </c>
      <c r="N23" s="808">
        <v>5253</v>
      </c>
      <c r="O23" s="808">
        <v>5042</v>
      </c>
      <c r="P23" s="808">
        <v>4960</v>
      </c>
      <c r="Q23" s="808">
        <v>5040</v>
      </c>
      <c r="R23" s="808">
        <v>5096</v>
      </c>
      <c r="S23" s="808">
        <v>5177</v>
      </c>
      <c r="T23" s="808">
        <v>5276</v>
      </c>
      <c r="U23" s="90"/>
      <c r="V23" s="65"/>
    </row>
    <row r="24" spans="1:22" ht="13.25" customHeight="1">
      <c r="A24" s="83"/>
      <c r="B24" s="23" t="s">
        <v>40</v>
      </c>
      <c r="C24" s="222">
        <v>85922</v>
      </c>
      <c r="D24" s="222">
        <v>79926</v>
      </c>
      <c r="E24" s="93">
        <v>80728</v>
      </c>
      <c r="F24" s="93">
        <v>80999</v>
      </c>
      <c r="G24" s="93">
        <v>86714</v>
      </c>
      <c r="H24" s="93">
        <v>92190</v>
      </c>
      <c r="I24" s="93">
        <v>97108</v>
      </c>
      <c r="J24" s="93">
        <v>102265</v>
      </c>
      <c r="K24" s="93">
        <v>109025</v>
      </c>
      <c r="L24" s="93">
        <v>92924</v>
      </c>
      <c r="M24" s="93">
        <v>93051</v>
      </c>
      <c r="N24" s="808">
        <v>94861</v>
      </c>
      <c r="O24" s="808">
        <v>88827</v>
      </c>
      <c r="P24" s="808">
        <v>89704</v>
      </c>
      <c r="Q24" s="808">
        <v>97165</v>
      </c>
      <c r="R24" s="808">
        <v>82039.34</v>
      </c>
      <c r="S24" s="808">
        <v>86814.32</v>
      </c>
      <c r="T24" s="808">
        <v>93214</v>
      </c>
      <c r="U24" s="90"/>
      <c r="V24" s="65"/>
    </row>
    <row r="25" spans="1:22" ht="13.25" customHeight="1">
      <c r="A25" s="83"/>
      <c r="B25" s="23" t="s">
        <v>41</v>
      </c>
      <c r="C25" s="222">
        <v>33857</v>
      </c>
      <c r="D25" s="222">
        <v>41333</v>
      </c>
      <c r="E25" s="93">
        <v>46278</v>
      </c>
      <c r="F25" s="93">
        <v>47821</v>
      </c>
      <c r="G25" s="93">
        <v>48703</v>
      </c>
      <c r="H25" s="93">
        <v>45601</v>
      </c>
      <c r="I25" s="93">
        <v>45634</v>
      </c>
      <c r="J25" s="93">
        <v>45250</v>
      </c>
      <c r="K25" s="93">
        <v>44459</v>
      </c>
      <c r="L25" s="93">
        <v>45263</v>
      </c>
      <c r="M25" s="93">
        <v>45361</v>
      </c>
      <c r="N25" s="808">
        <v>45260</v>
      </c>
      <c r="O25" s="808">
        <v>42914</v>
      </c>
      <c r="P25" s="808">
        <v>42220</v>
      </c>
      <c r="Q25" s="808">
        <v>42496</v>
      </c>
      <c r="R25" s="808">
        <v>41244.61</v>
      </c>
      <c r="S25" s="808">
        <v>40146.899999999994</v>
      </c>
      <c r="T25" s="808">
        <v>37934.800000000003</v>
      </c>
      <c r="U25" s="90"/>
      <c r="V25" s="65"/>
    </row>
    <row r="26" spans="1:22" ht="13.25" customHeight="1">
      <c r="A26" s="83"/>
      <c r="B26" s="23" t="s">
        <v>44</v>
      </c>
      <c r="C26" s="222">
        <v>84508</v>
      </c>
      <c r="D26" s="222">
        <v>95765</v>
      </c>
      <c r="E26" s="93">
        <v>89029</v>
      </c>
      <c r="F26" s="93">
        <v>86572</v>
      </c>
      <c r="G26" s="93">
        <v>86166</v>
      </c>
      <c r="H26" s="93">
        <v>86957</v>
      </c>
      <c r="I26" s="93">
        <v>88230</v>
      </c>
      <c r="J26" s="93">
        <v>90008</v>
      </c>
      <c r="K26" s="93">
        <v>75147</v>
      </c>
      <c r="L26" s="93">
        <v>71466</v>
      </c>
      <c r="M26" s="93">
        <v>68524</v>
      </c>
      <c r="N26" s="808">
        <v>68618</v>
      </c>
      <c r="O26" s="808">
        <v>68573</v>
      </c>
      <c r="P26" s="808">
        <v>69027</v>
      </c>
      <c r="Q26" s="808">
        <v>73001</v>
      </c>
      <c r="R26" s="808">
        <v>70246</v>
      </c>
      <c r="S26" s="808">
        <v>75405</v>
      </c>
      <c r="T26" s="808">
        <v>76083</v>
      </c>
      <c r="U26" s="90"/>
      <c r="V26" s="65"/>
    </row>
    <row r="27" spans="1:22" ht="13.25" customHeight="1">
      <c r="A27" s="83"/>
      <c r="B27" s="23" t="s">
        <v>45</v>
      </c>
      <c r="C27" s="222">
        <v>119310</v>
      </c>
      <c r="D27" s="222">
        <v>121140</v>
      </c>
      <c r="E27" s="93">
        <v>122560</v>
      </c>
      <c r="F27" s="93">
        <v>127060</v>
      </c>
      <c r="G27" s="93">
        <v>129320</v>
      </c>
      <c r="H27" s="93">
        <v>133250</v>
      </c>
      <c r="I27" s="93">
        <v>137128</v>
      </c>
      <c r="J27" s="93">
        <v>140660</v>
      </c>
      <c r="K27" s="93">
        <v>142495</v>
      </c>
      <c r="L27" s="93">
        <v>146126</v>
      </c>
      <c r="M27" s="93">
        <v>137402</v>
      </c>
      <c r="N27" s="808">
        <v>140346</v>
      </c>
      <c r="O27" s="808">
        <v>142455</v>
      </c>
      <c r="P27" s="808">
        <v>145300</v>
      </c>
      <c r="Q27" s="808">
        <v>146350</v>
      </c>
      <c r="R27" s="808">
        <v>147110</v>
      </c>
      <c r="S27" s="808">
        <v>148290</v>
      </c>
      <c r="T27" s="808">
        <v>148880</v>
      </c>
      <c r="U27" s="90"/>
      <c r="V27" s="65"/>
    </row>
    <row r="28" spans="1:22" ht="13.25" customHeight="1">
      <c r="A28" s="83"/>
      <c r="B28" s="82" t="s">
        <v>46</v>
      </c>
      <c r="C28" s="222">
        <v>40306</v>
      </c>
      <c r="D28" s="222">
        <v>44465</v>
      </c>
      <c r="E28" s="93">
        <v>45660</v>
      </c>
      <c r="F28" s="93">
        <v>44067</v>
      </c>
      <c r="G28" s="93">
        <v>48183</v>
      </c>
      <c r="H28" s="93">
        <v>51140</v>
      </c>
      <c r="I28" s="93">
        <v>52503</v>
      </c>
      <c r="J28" s="93">
        <v>53694</v>
      </c>
      <c r="K28" s="93">
        <v>53288</v>
      </c>
      <c r="L28" s="93">
        <v>54583</v>
      </c>
      <c r="M28" s="93">
        <v>54676</v>
      </c>
      <c r="N28" s="808">
        <v>55061</v>
      </c>
      <c r="O28" s="808">
        <v>53557</v>
      </c>
      <c r="P28" s="808">
        <v>57922</v>
      </c>
      <c r="Q28" s="808">
        <v>56686</v>
      </c>
      <c r="R28" s="808">
        <v>40730</v>
      </c>
      <c r="S28" s="808">
        <v>53860</v>
      </c>
      <c r="T28" s="808">
        <v>52158</v>
      </c>
      <c r="U28" s="90"/>
      <c r="V28" s="62"/>
    </row>
    <row r="29" spans="1:22" ht="13.25" customHeight="1">
      <c r="A29" s="83"/>
      <c r="B29" s="23" t="s">
        <v>47</v>
      </c>
      <c r="C29" s="222">
        <v>4757</v>
      </c>
      <c r="D29" s="222">
        <v>5098</v>
      </c>
      <c r="E29" s="93">
        <v>5679</v>
      </c>
      <c r="F29" s="93">
        <v>5928</v>
      </c>
      <c r="G29" s="93">
        <v>6411</v>
      </c>
      <c r="H29" s="93">
        <v>6343</v>
      </c>
      <c r="I29" s="93">
        <v>7352</v>
      </c>
      <c r="J29" s="93">
        <v>9248</v>
      </c>
      <c r="K29" s="93">
        <v>10540</v>
      </c>
      <c r="L29" s="93">
        <v>11339</v>
      </c>
      <c r="M29" s="93">
        <v>11456</v>
      </c>
      <c r="N29" s="808">
        <v>10137</v>
      </c>
      <c r="O29" s="808">
        <v>10718</v>
      </c>
      <c r="P29" s="808">
        <v>13930</v>
      </c>
      <c r="Q29" s="808">
        <v>13923</v>
      </c>
      <c r="R29" s="808">
        <v>10542</v>
      </c>
      <c r="S29" s="808">
        <v>10547</v>
      </c>
      <c r="T29" s="808">
        <v>9982</v>
      </c>
      <c r="U29" s="90"/>
      <c r="V29" s="65"/>
    </row>
    <row r="30" spans="1:22" ht="13.25" customHeight="1">
      <c r="A30" s="83"/>
      <c r="B30" s="23" t="s">
        <v>48</v>
      </c>
      <c r="C30" s="222">
        <v>9699</v>
      </c>
      <c r="D30" s="222">
        <v>9643</v>
      </c>
      <c r="E30" s="93">
        <v>9590</v>
      </c>
      <c r="F30" s="93">
        <v>10234</v>
      </c>
      <c r="G30" s="93">
        <v>10803</v>
      </c>
      <c r="H30" s="93">
        <v>11449</v>
      </c>
      <c r="I30" s="93">
        <v>12338</v>
      </c>
      <c r="J30" s="93">
        <v>12029</v>
      </c>
      <c r="K30" s="93">
        <v>12208</v>
      </c>
      <c r="L30" s="93">
        <v>12212</v>
      </c>
      <c r="M30" s="93">
        <v>12803</v>
      </c>
      <c r="N30" s="808">
        <v>13871</v>
      </c>
      <c r="O30" s="808">
        <v>15677</v>
      </c>
      <c r="P30" s="808">
        <v>15092</v>
      </c>
      <c r="Q30" s="808">
        <v>15802</v>
      </c>
      <c r="R30" s="808">
        <v>16472.57</v>
      </c>
      <c r="S30" s="808">
        <v>17092</v>
      </c>
      <c r="T30" s="808">
        <v>17518</v>
      </c>
      <c r="U30" s="90"/>
      <c r="V30" s="65"/>
    </row>
    <row r="31" spans="1:22" ht="13.25" customHeight="1" thickBot="1">
      <c r="A31" s="88"/>
      <c r="B31" s="577" t="s">
        <v>49</v>
      </c>
      <c r="C31" s="581">
        <v>6836</v>
      </c>
      <c r="D31" s="581">
        <v>7770</v>
      </c>
      <c r="E31" s="809">
        <v>8030</v>
      </c>
      <c r="F31" s="809">
        <v>9887</v>
      </c>
      <c r="G31" s="809">
        <v>10167</v>
      </c>
      <c r="H31" s="809">
        <v>10508</v>
      </c>
      <c r="I31" s="809">
        <v>10214</v>
      </c>
      <c r="J31" s="809">
        <v>10276</v>
      </c>
      <c r="K31" s="809">
        <v>10012</v>
      </c>
      <c r="L31" s="809">
        <v>10601</v>
      </c>
      <c r="M31" s="809">
        <v>12103</v>
      </c>
      <c r="N31" s="810">
        <v>14299</v>
      </c>
      <c r="O31" s="810">
        <v>14409</v>
      </c>
      <c r="P31" s="810">
        <v>13908</v>
      </c>
      <c r="Q31" s="810">
        <v>14653</v>
      </c>
      <c r="R31" s="810">
        <v>12717</v>
      </c>
      <c r="S31" s="810">
        <v>13775</v>
      </c>
      <c r="T31" s="810">
        <v>13622</v>
      </c>
      <c r="U31" s="90"/>
      <c r="V31" s="65"/>
    </row>
    <row r="32" spans="1:22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90"/>
      <c r="V32" s="65"/>
    </row>
    <row r="33" spans="1:22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V33" s="65"/>
    </row>
    <row r="34" spans="1:22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V34" s="65"/>
    </row>
    <row r="35" spans="1:22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7">
    <tabColor theme="9" tint="0.59999389629810485"/>
  </sheetPr>
  <dimension ref="A2:X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.3984375" style="82" customWidth="1"/>
    <col min="3" max="4" width="8" style="82" hidden="1" customWidth="1"/>
    <col min="5" max="20" width="7.796875" style="82" customWidth="1"/>
    <col min="21" max="21" width="7.19921875" style="82" customWidth="1"/>
    <col min="22" max="16384" width="7" style="82"/>
  </cols>
  <sheetData>
    <row r="2" spans="1:24" ht="13.25" customHeight="1">
      <c r="A2" s="230" t="s">
        <v>491</v>
      </c>
      <c r="B2" s="231"/>
    </row>
    <row r="3" spans="1:24" ht="13.25" customHeight="1">
      <c r="A3" s="232" t="s">
        <v>236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2022</v>
      </c>
      <c r="T5" s="569" t="s">
        <v>490</v>
      </c>
    </row>
    <row r="6" spans="1:24" ht="15" customHeight="1">
      <c r="A6" s="963" t="s">
        <v>96</v>
      </c>
      <c r="B6" s="963"/>
      <c r="C6" s="574">
        <f t="shared" ref="C6:N6" si="0">(C8+C9+C10+C11+C12+C13+C14+C15+C16+C17+C18+C19+C20+C21+C22+C23+C24+C25+C26+C27+C28+C29+C30+C31)</f>
        <v>152496</v>
      </c>
      <c r="D6" s="574">
        <f t="shared" si="0"/>
        <v>161580</v>
      </c>
      <c r="E6" s="574">
        <f t="shared" si="0"/>
        <v>163237</v>
      </c>
      <c r="F6" s="574">
        <f t="shared" si="0"/>
        <v>163316</v>
      </c>
      <c r="G6" s="574">
        <f t="shared" si="0"/>
        <v>164701</v>
      </c>
      <c r="H6" s="574">
        <f t="shared" si="0"/>
        <v>171872</v>
      </c>
      <c r="I6" s="574">
        <f t="shared" si="0"/>
        <v>179086</v>
      </c>
      <c r="J6" s="574">
        <f t="shared" si="0"/>
        <v>186619</v>
      </c>
      <c r="K6" s="574">
        <f t="shared" si="0"/>
        <v>193088</v>
      </c>
      <c r="L6" s="574">
        <f t="shared" si="0"/>
        <v>196233</v>
      </c>
      <c r="M6" s="574">
        <f t="shared" si="0"/>
        <v>196014</v>
      </c>
      <c r="N6" s="574">
        <f t="shared" si="0"/>
        <v>192705</v>
      </c>
      <c r="O6" s="574">
        <f t="shared" ref="O6:T6" si="1">(O8+O9+O10+O11+O12+O13+O14+O15+O16+O17+O18+O19+O20+O21+O22+O23+O24+O25+O26+O27+O28+O29+O30+O31)</f>
        <v>188737</v>
      </c>
      <c r="P6" s="574">
        <f t="shared" si="1"/>
        <v>189702</v>
      </c>
      <c r="Q6" s="574">
        <f t="shared" si="1"/>
        <v>192919</v>
      </c>
      <c r="R6" s="574">
        <f t="shared" si="1"/>
        <v>183941.20000000004</v>
      </c>
      <c r="S6" s="574">
        <f t="shared" si="1"/>
        <v>189922.89999999994</v>
      </c>
      <c r="T6" s="574">
        <f t="shared" si="1"/>
        <v>192718.3</v>
      </c>
    </row>
    <row r="7" spans="1:24" ht="3" customHeight="1">
      <c r="A7" s="83"/>
      <c r="B7" s="84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4" ht="13.25" customHeight="1">
      <c r="A8" s="83"/>
      <c r="B8" s="23" t="s">
        <v>21</v>
      </c>
      <c r="C8" s="222">
        <v>356</v>
      </c>
      <c r="D8" s="222">
        <v>336</v>
      </c>
      <c r="E8" s="222">
        <v>414</v>
      </c>
      <c r="F8" s="222">
        <v>602</v>
      </c>
      <c r="G8" s="222">
        <v>761</v>
      </c>
      <c r="H8" s="222">
        <v>844</v>
      </c>
      <c r="I8" s="222">
        <v>903</v>
      </c>
      <c r="J8" s="222">
        <v>1034</v>
      </c>
      <c r="K8" s="222">
        <v>1082</v>
      </c>
      <c r="L8" s="222">
        <v>1205</v>
      </c>
      <c r="M8" s="222">
        <v>1154</v>
      </c>
      <c r="N8" s="174">
        <v>590</v>
      </c>
      <c r="O8" s="174">
        <v>880</v>
      </c>
      <c r="P8" s="174">
        <v>766</v>
      </c>
      <c r="Q8" s="174">
        <v>685</v>
      </c>
      <c r="R8" s="174">
        <v>627</v>
      </c>
      <c r="S8" s="174">
        <v>555.20000000000005</v>
      </c>
      <c r="T8" s="174">
        <v>494.4</v>
      </c>
      <c r="V8" s="930"/>
      <c r="W8" s="930"/>
      <c r="X8" s="930"/>
    </row>
    <row r="9" spans="1:24" ht="13.25" customHeight="1">
      <c r="A9" s="83"/>
      <c r="B9" s="23" t="s">
        <v>22</v>
      </c>
      <c r="C9" s="222">
        <v>10238</v>
      </c>
      <c r="D9" s="222">
        <v>10778</v>
      </c>
      <c r="E9" s="222">
        <v>9985</v>
      </c>
      <c r="F9" s="222">
        <v>9473</v>
      </c>
      <c r="G9" s="222">
        <v>8744</v>
      </c>
      <c r="H9" s="222">
        <v>8810</v>
      </c>
      <c r="I9" s="222">
        <v>8666</v>
      </c>
      <c r="J9" s="222">
        <v>9323</v>
      </c>
      <c r="K9" s="222">
        <v>8970</v>
      </c>
      <c r="L9" s="222">
        <v>9053</v>
      </c>
      <c r="M9" s="222">
        <v>8958</v>
      </c>
      <c r="N9" s="174">
        <v>8460</v>
      </c>
      <c r="O9" s="174">
        <v>7680</v>
      </c>
      <c r="P9" s="174">
        <v>7147</v>
      </c>
      <c r="Q9" s="174">
        <v>7217</v>
      </c>
      <c r="R9" s="174">
        <v>7051.2</v>
      </c>
      <c r="S9" s="174">
        <v>7283.2</v>
      </c>
      <c r="T9" s="174">
        <v>7206.8</v>
      </c>
      <c r="V9" s="930"/>
      <c r="W9" s="930"/>
      <c r="X9" s="930"/>
    </row>
    <row r="10" spans="1:24" ht="13.25" customHeight="1">
      <c r="A10" s="83"/>
      <c r="B10" s="23" t="s">
        <v>23</v>
      </c>
      <c r="C10" s="222">
        <v>2939</v>
      </c>
      <c r="D10" s="222">
        <v>3172</v>
      </c>
      <c r="E10" s="222">
        <v>3172</v>
      </c>
      <c r="F10" s="222">
        <v>2833</v>
      </c>
      <c r="G10" s="222">
        <v>2782</v>
      </c>
      <c r="H10" s="222">
        <v>2689</v>
      </c>
      <c r="I10" s="222">
        <v>2326</v>
      </c>
      <c r="J10" s="222">
        <v>2504</v>
      </c>
      <c r="K10" s="222">
        <v>2716</v>
      </c>
      <c r="L10" s="222">
        <v>3246</v>
      </c>
      <c r="M10" s="222">
        <v>3220</v>
      </c>
      <c r="N10" s="222">
        <v>3134</v>
      </c>
      <c r="O10" s="222">
        <v>3078</v>
      </c>
      <c r="P10" s="222">
        <v>3130</v>
      </c>
      <c r="Q10" s="222">
        <v>3101</v>
      </c>
      <c r="R10" s="222">
        <v>2873</v>
      </c>
      <c r="S10" s="222">
        <v>3002.9</v>
      </c>
      <c r="T10" s="222">
        <v>2995.2</v>
      </c>
      <c r="U10" s="90"/>
      <c r="V10" s="930"/>
      <c r="W10" s="930"/>
      <c r="X10" s="930"/>
    </row>
    <row r="11" spans="1:24" ht="13.25" customHeight="1">
      <c r="A11" s="83"/>
      <c r="B11" s="23" t="s">
        <v>24</v>
      </c>
      <c r="C11" s="222">
        <v>5255</v>
      </c>
      <c r="D11" s="222">
        <v>5492</v>
      </c>
      <c r="E11" s="222">
        <v>5648</v>
      </c>
      <c r="F11" s="222">
        <v>5783</v>
      </c>
      <c r="G11" s="222">
        <v>5901</v>
      </c>
      <c r="H11" s="222">
        <v>5963</v>
      </c>
      <c r="I11" s="222">
        <v>6233</v>
      </c>
      <c r="J11" s="222">
        <v>6309</v>
      </c>
      <c r="K11" s="222">
        <v>6715</v>
      </c>
      <c r="L11" s="222">
        <v>6893</v>
      </c>
      <c r="M11" s="222">
        <v>7093</v>
      </c>
      <c r="N11" s="174">
        <v>7246</v>
      </c>
      <c r="O11" s="174">
        <v>7718</v>
      </c>
      <c r="P11" s="174">
        <v>7798</v>
      </c>
      <c r="Q11" s="174">
        <v>8227</v>
      </c>
      <c r="R11" s="174">
        <v>8574.2999999999993</v>
      </c>
      <c r="S11" s="174">
        <v>8647.1</v>
      </c>
      <c r="T11" s="174">
        <v>9165.7999999999993</v>
      </c>
      <c r="U11" s="90"/>
      <c r="V11" s="930"/>
      <c r="W11" s="930"/>
      <c r="X11" s="930"/>
    </row>
    <row r="12" spans="1:24" ht="13.25" customHeight="1">
      <c r="A12" s="83"/>
      <c r="B12" s="23" t="s">
        <v>25</v>
      </c>
      <c r="C12" s="222">
        <v>20836</v>
      </c>
      <c r="D12" s="222">
        <v>24037</v>
      </c>
      <c r="E12" s="222">
        <v>25896</v>
      </c>
      <c r="F12" s="222">
        <v>23904</v>
      </c>
      <c r="G12" s="222">
        <v>24466</v>
      </c>
      <c r="H12" s="222">
        <v>27368</v>
      </c>
      <c r="I12" s="222">
        <v>29302</v>
      </c>
      <c r="J12" s="222">
        <v>28012</v>
      </c>
      <c r="K12" s="222">
        <v>29741</v>
      </c>
      <c r="L12" s="222">
        <v>31983</v>
      </c>
      <c r="M12" s="222">
        <v>31499</v>
      </c>
      <c r="N12" s="174">
        <v>28488</v>
      </c>
      <c r="O12" s="174">
        <v>26794</v>
      </c>
      <c r="P12" s="174">
        <v>24002</v>
      </c>
      <c r="Q12" s="174">
        <v>24659</v>
      </c>
      <c r="R12" s="174">
        <v>21897.8</v>
      </c>
      <c r="S12" s="174">
        <v>24252.7</v>
      </c>
      <c r="T12" s="174">
        <v>23679.3</v>
      </c>
      <c r="U12" s="90"/>
      <c r="V12" s="930"/>
      <c r="W12" s="930"/>
      <c r="X12" s="930"/>
    </row>
    <row r="13" spans="1:24" ht="13.25" customHeight="1">
      <c r="A13" s="83"/>
      <c r="B13" s="23" t="s">
        <v>29</v>
      </c>
      <c r="C13" s="222">
        <v>5682</v>
      </c>
      <c r="D13" s="222">
        <v>6278</v>
      </c>
      <c r="E13" s="222">
        <v>6442</v>
      </c>
      <c r="F13" s="222">
        <v>7343</v>
      </c>
      <c r="G13" s="222">
        <v>7030</v>
      </c>
      <c r="H13" s="222">
        <v>7988</v>
      </c>
      <c r="I13" s="222">
        <v>7584</v>
      </c>
      <c r="J13" s="222">
        <v>8320</v>
      </c>
      <c r="K13" s="222">
        <v>8354</v>
      </c>
      <c r="L13" s="222">
        <v>8431</v>
      </c>
      <c r="M13" s="222">
        <v>8486</v>
      </c>
      <c r="N13" s="222">
        <v>8616</v>
      </c>
      <c r="O13" s="222">
        <v>8885</v>
      </c>
      <c r="P13" s="222">
        <v>9087</v>
      </c>
      <c r="Q13" s="222">
        <v>9172</v>
      </c>
      <c r="R13" s="222">
        <v>8181.5</v>
      </c>
      <c r="S13" s="222">
        <v>7369.1</v>
      </c>
      <c r="T13" s="222">
        <v>8002.2</v>
      </c>
      <c r="U13" s="90"/>
      <c r="V13" s="930"/>
      <c r="W13" s="930"/>
      <c r="X13" s="930"/>
    </row>
    <row r="14" spans="1:24" ht="13.25" customHeight="1">
      <c r="A14" s="83"/>
      <c r="B14" s="23" t="s">
        <v>30</v>
      </c>
      <c r="C14" s="222">
        <v>6599</v>
      </c>
      <c r="D14" s="222">
        <v>6835</v>
      </c>
      <c r="E14" s="222">
        <v>6846</v>
      </c>
      <c r="F14" s="222">
        <v>7238</v>
      </c>
      <c r="G14" s="222">
        <v>7285</v>
      </c>
      <c r="H14" s="222">
        <v>7189</v>
      </c>
      <c r="I14" s="222">
        <v>7608</v>
      </c>
      <c r="J14" s="222">
        <v>7847</v>
      </c>
      <c r="K14" s="222">
        <v>8176</v>
      </c>
      <c r="L14" s="222">
        <v>8321</v>
      </c>
      <c r="M14" s="222">
        <v>8600</v>
      </c>
      <c r="N14" s="174">
        <v>8975</v>
      </c>
      <c r="O14" s="174">
        <v>9019</v>
      </c>
      <c r="P14" s="174">
        <v>9598</v>
      </c>
      <c r="Q14" s="174">
        <v>9831</v>
      </c>
      <c r="R14" s="174">
        <v>9773</v>
      </c>
      <c r="S14" s="174">
        <v>8650.7999999999993</v>
      </c>
      <c r="T14" s="174">
        <v>8641</v>
      </c>
      <c r="U14" s="90"/>
      <c r="V14" s="930"/>
      <c r="W14" s="930"/>
      <c r="X14" s="930"/>
    </row>
    <row r="15" spans="1:24" ht="13.25" customHeight="1">
      <c r="A15" s="83"/>
      <c r="B15" s="23" t="s">
        <v>31</v>
      </c>
      <c r="C15" s="222">
        <v>19359</v>
      </c>
      <c r="D15" s="222">
        <v>20479</v>
      </c>
      <c r="E15" s="222">
        <v>20915</v>
      </c>
      <c r="F15" s="222">
        <v>19931</v>
      </c>
      <c r="G15" s="222">
        <v>20243</v>
      </c>
      <c r="H15" s="222">
        <v>20937</v>
      </c>
      <c r="I15" s="222">
        <v>21509</v>
      </c>
      <c r="J15" s="222">
        <v>21696</v>
      </c>
      <c r="K15" s="222">
        <v>21295</v>
      </c>
      <c r="L15" s="222">
        <v>21390</v>
      </c>
      <c r="M15" s="222">
        <v>21553</v>
      </c>
      <c r="N15" s="174">
        <v>21548</v>
      </c>
      <c r="O15" s="174">
        <v>21842</v>
      </c>
      <c r="P15" s="174">
        <v>21736</v>
      </c>
      <c r="Q15" s="174">
        <v>21608</v>
      </c>
      <c r="R15" s="174">
        <v>20562.900000000001</v>
      </c>
      <c r="S15" s="174">
        <v>21186.799999999999</v>
      </c>
      <c r="T15" s="174">
        <v>21447.5</v>
      </c>
      <c r="U15" s="90"/>
      <c r="V15" s="930"/>
      <c r="W15" s="930"/>
      <c r="X15" s="930"/>
    </row>
    <row r="16" spans="1:24" ht="13.25" customHeight="1">
      <c r="A16" s="83"/>
      <c r="B16" s="23" t="s">
        <v>32</v>
      </c>
      <c r="C16" s="222">
        <v>1092</v>
      </c>
      <c r="D16" s="222">
        <v>1134</v>
      </c>
      <c r="E16" s="222">
        <v>1181</v>
      </c>
      <c r="F16" s="222">
        <v>1339</v>
      </c>
      <c r="G16" s="222">
        <v>1387</v>
      </c>
      <c r="H16" s="222">
        <v>1640</v>
      </c>
      <c r="I16" s="222">
        <v>1764</v>
      </c>
      <c r="J16" s="222">
        <v>1765</v>
      </c>
      <c r="K16" s="222">
        <v>1979</v>
      </c>
      <c r="L16" s="222">
        <v>2023</v>
      </c>
      <c r="M16" s="222">
        <v>2027</v>
      </c>
      <c r="N16" s="222">
        <v>2203</v>
      </c>
      <c r="O16" s="222">
        <v>2006</v>
      </c>
      <c r="P16" s="222">
        <v>1820</v>
      </c>
      <c r="Q16" s="222">
        <v>1992</v>
      </c>
      <c r="R16" s="222">
        <v>2158.6999999999998</v>
      </c>
      <c r="S16" s="222">
        <v>2694.5</v>
      </c>
      <c r="T16" s="222">
        <v>2796.5</v>
      </c>
      <c r="U16" s="90"/>
      <c r="V16" s="930"/>
      <c r="W16" s="930"/>
      <c r="X16" s="930"/>
    </row>
    <row r="17" spans="1:24" ht="13.25" customHeight="1">
      <c r="A17" s="83"/>
      <c r="B17" s="23" t="s">
        <v>33</v>
      </c>
      <c r="C17" s="222">
        <v>9010</v>
      </c>
      <c r="D17" s="222">
        <v>10026</v>
      </c>
      <c r="E17" s="222">
        <v>11491</v>
      </c>
      <c r="F17" s="222">
        <v>11902</v>
      </c>
      <c r="G17" s="222">
        <v>11645</v>
      </c>
      <c r="H17" s="222">
        <v>11851</v>
      </c>
      <c r="I17" s="222">
        <v>13732</v>
      </c>
      <c r="J17" s="222">
        <v>16459</v>
      </c>
      <c r="K17" s="222">
        <v>19399</v>
      </c>
      <c r="L17" s="222">
        <v>19575</v>
      </c>
      <c r="M17" s="222">
        <v>20069</v>
      </c>
      <c r="N17" s="174">
        <v>20246</v>
      </c>
      <c r="O17" s="174">
        <v>18495</v>
      </c>
      <c r="P17" s="174">
        <v>21638</v>
      </c>
      <c r="Q17" s="174">
        <v>22966</v>
      </c>
      <c r="R17" s="174">
        <v>24853.599999999999</v>
      </c>
      <c r="S17" s="174">
        <v>25066.7</v>
      </c>
      <c r="T17" s="174">
        <v>25252.6</v>
      </c>
      <c r="U17" s="90"/>
      <c r="V17" s="930"/>
      <c r="W17" s="930"/>
      <c r="X17" s="930"/>
    </row>
    <row r="18" spans="1:24" ht="13.25" customHeight="1">
      <c r="A18" s="83"/>
      <c r="B18" s="23" t="s">
        <v>34</v>
      </c>
      <c r="C18" s="222">
        <v>3372</v>
      </c>
      <c r="D18" s="222">
        <v>3040</v>
      </c>
      <c r="E18" s="222">
        <v>3054</v>
      </c>
      <c r="F18" s="222">
        <v>3394</v>
      </c>
      <c r="G18" s="222">
        <v>3435</v>
      </c>
      <c r="H18" s="222">
        <v>3704</v>
      </c>
      <c r="I18" s="222">
        <v>3789</v>
      </c>
      <c r="J18" s="222">
        <v>3753</v>
      </c>
      <c r="K18" s="222">
        <v>3966</v>
      </c>
      <c r="L18" s="222">
        <v>3588</v>
      </c>
      <c r="M18" s="222">
        <v>3565</v>
      </c>
      <c r="N18" s="174">
        <v>3417</v>
      </c>
      <c r="O18" s="174">
        <v>3407</v>
      </c>
      <c r="P18" s="174">
        <v>3520</v>
      </c>
      <c r="Q18" s="174">
        <v>3680</v>
      </c>
      <c r="R18" s="174">
        <v>3676</v>
      </c>
      <c r="S18" s="174">
        <v>3787.9</v>
      </c>
      <c r="T18" s="174">
        <v>3803.1</v>
      </c>
      <c r="U18" s="90"/>
      <c r="V18" s="930"/>
      <c r="W18" s="930"/>
      <c r="X18" s="930"/>
    </row>
    <row r="19" spans="1:24" ht="13.25" customHeight="1">
      <c r="A19" s="83"/>
      <c r="B19" s="23" t="s">
        <v>35</v>
      </c>
      <c r="C19" s="222">
        <v>4781</v>
      </c>
      <c r="D19" s="222">
        <v>4782</v>
      </c>
      <c r="E19" s="222">
        <v>4957</v>
      </c>
      <c r="F19" s="222">
        <v>5005</v>
      </c>
      <c r="G19" s="222">
        <v>5730</v>
      </c>
      <c r="H19" s="222">
        <v>6441</v>
      </c>
      <c r="I19" s="222">
        <v>6782</v>
      </c>
      <c r="J19" s="222">
        <v>7435</v>
      </c>
      <c r="K19" s="222">
        <v>7701</v>
      </c>
      <c r="L19" s="222">
        <v>8058</v>
      </c>
      <c r="M19" s="222">
        <v>9117</v>
      </c>
      <c r="N19" s="174">
        <v>8937</v>
      </c>
      <c r="O19" s="174">
        <v>9511</v>
      </c>
      <c r="P19" s="174">
        <v>9437</v>
      </c>
      <c r="Q19" s="174">
        <v>7969</v>
      </c>
      <c r="R19" s="174">
        <v>6555.9</v>
      </c>
      <c r="S19" s="174">
        <v>7169.4</v>
      </c>
      <c r="T19" s="174">
        <v>7787</v>
      </c>
      <c r="U19" s="90"/>
      <c r="V19" s="930"/>
      <c r="W19" s="930"/>
      <c r="X19" s="930"/>
    </row>
    <row r="20" spans="1:24" ht="13.25" customHeight="1">
      <c r="A20" s="83"/>
      <c r="B20" s="23" t="s">
        <v>36</v>
      </c>
      <c r="C20" s="222">
        <v>2855</v>
      </c>
      <c r="D20" s="222">
        <v>2597</v>
      </c>
      <c r="E20" s="222">
        <v>2730</v>
      </c>
      <c r="F20" s="222">
        <v>3199</v>
      </c>
      <c r="G20" s="222">
        <v>3262</v>
      </c>
      <c r="H20" s="222">
        <v>3163</v>
      </c>
      <c r="I20" s="222">
        <v>3429</v>
      </c>
      <c r="J20" s="222">
        <v>3555</v>
      </c>
      <c r="K20" s="222">
        <v>4096</v>
      </c>
      <c r="L20" s="222">
        <v>4252</v>
      </c>
      <c r="M20" s="222">
        <v>4100</v>
      </c>
      <c r="N20" s="174">
        <v>3974</v>
      </c>
      <c r="O20" s="174">
        <v>3884</v>
      </c>
      <c r="P20" s="174">
        <v>3630</v>
      </c>
      <c r="Q20" s="174">
        <v>3496</v>
      </c>
      <c r="R20" s="174">
        <v>3323</v>
      </c>
      <c r="S20" s="174">
        <v>3222.1</v>
      </c>
      <c r="T20" s="174">
        <v>3104.4</v>
      </c>
      <c r="U20" s="90"/>
      <c r="V20" s="930"/>
      <c r="W20" s="930"/>
      <c r="X20" s="930"/>
    </row>
    <row r="21" spans="1:24" ht="13.25" customHeight="1">
      <c r="A21" s="83"/>
      <c r="B21" s="23" t="s">
        <v>37</v>
      </c>
      <c r="C21" s="222">
        <v>8733</v>
      </c>
      <c r="D21" s="222">
        <v>8763</v>
      </c>
      <c r="E21" s="222">
        <v>6341</v>
      </c>
      <c r="F21" s="222">
        <v>6052</v>
      </c>
      <c r="G21" s="222">
        <v>5060</v>
      </c>
      <c r="H21" s="222">
        <v>4921</v>
      </c>
      <c r="I21" s="222">
        <v>5081</v>
      </c>
      <c r="J21" s="222">
        <v>6005</v>
      </c>
      <c r="K21" s="222">
        <v>7096</v>
      </c>
      <c r="L21" s="222">
        <v>7142</v>
      </c>
      <c r="M21" s="222">
        <v>7114</v>
      </c>
      <c r="N21" s="174">
        <v>6533</v>
      </c>
      <c r="O21" s="174">
        <v>5488</v>
      </c>
      <c r="P21" s="174">
        <v>5558</v>
      </c>
      <c r="Q21" s="174">
        <v>5490</v>
      </c>
      <c r="R21" s="174">
        <v>4659.8999999999996</v>
      </c>
      <c r="S21" s="174">
        <v>5005.3</v>
      </c>
      <c r="T21" s="174">
        <v>5347.7</v>
      </c>
      <c r="U21" s="90"/>
      <c r="V21" s="930"/>
      <c r="W21" s="930"/>
      <c r="X21" s="930"/>
    </row>
    <row r="22" spans="1:24" ht="13.25" customHeight="1">
      <c r="A22" s="83"/>
      <c r="B22" s="23" t="s">
        <v>38</v>
      </c>
      <c r="C22" s="222">
        <v>1355</v>
      </c>
      <c r="D22" s="222">
        <v>1429</v>
      </c>
      <c r="E22" s="222">
        <v>1492</v>
      </c>
      <c r="F22" s="222">
        <v>1315</v>
      </c>
      <c r="G22" s="222">
        <v>1214</v>
      </c>
      <c r="H22" s="222">
        <v>1175</v>
      </c>
      <c r="I22" s="222">
        <v>1208</v>
      </c>
      <c r="J22" s="222">
        <v>1049</v>
      </c>
      <c r="K22" s="222">
        <v>1112</v>
      </c>
      <c r="L22" s="222">
        <v>1163</v>
      </c>
      <c r="M22" s="222">
        <v>1172</v>
      </c>
      <c r="N22" s="174">
        <v>1214</v>
      </c>
      <c r="O22" s="174">
        <v>986</v>
      </c>
      <c r="P22" s="174">
        <v>770</v>
      </c>
      <c r="Q22" s="174">
        <v>749</v>
      </c>
      <c r="R22" s="174">
        <v>641.29999999999995</v>
      </c>
      <c r="S22" s="174">
        <v>719.5</v>
      </c>
      <c r="T22" s="174">
        <v>718.7</v>
      </c>
      <c r="U22" s="90"/>
      <c r="V22" s="930"/>
      <c r="W22" s="930"/>
      <c r="X22" s="930"/>
    </row>
    <row r="23" spans="1:24" ht="13.25" customHeight="1">
      <c r="A23" s="83"/>
      <c r="B23" s="23" t="s">
        <v>39</v>
      </c>
      <c r="C23" s="222">
        <v>1093</v>
      </c>
      <c r="D23" s="222">
        <v>1071</v>
      </c>
      <c r="E23" s="222">
        <v>1099</v>
      </c>
      <c r="F23" s="222">
        <v>1156</v>
      </c>
      <c r="G23" s="222">
        <v>1062</v>
      </c>
      <c r="H23" s="222">
        <v>1069</v>
      </c>
      <c r="I23" s="222">
        <v>1069</v>
      </c>
      <c r="J23" s="222">
        <v>1181</v>
      </c>
      <c r="K23" s="222">
        <v>1140</v>
      </c>
      <c r="L23" s="222">
        <v>1112</v>
      </c>
      <c r="M23" s="222">
        <v>1039</v>
      </c>
      <c r="N23" s="174">
        <v>1001</v>
      </c>
      <c r="O23" s="174">
        <v>970</v>
      </c>
      <c r="P23" s="174">
        <v>956</v>
      </c>
      <c r="Q23" s="174">
        <v>971</v>
      </c>
      <c r="R23" s="174">
        <v>971.9</v>
      </c>
      <c r="S23" s="174">
        <v>985.7</v>
      </c>
      <c r="T23" s="174">
        <v>997.1</v>
      </c>
      <c r="U23" s="90"/>
      <c r="V23" s="930"/>
      <c r="W23" s="930"/>
      <c r="X23" s="930"/>
    </row>
    <row r="24" spans="1:24" ht="13.25" customHeight="1">
      <c r="A24" s="83"/>
      <c r="B24" s="23" t="s">
        <v>40</v>
      </c>
      <c r="C24" s="222">
        <v>9405</v>
      </c>
      <c r="D24" s="222">
        <v>8786</v>
      </c>
      <c r="E24" s="222">
        <v>8954</v>
      </c>
      <c r="F24" s="222">
        <v>9611</v>
      </c>
      <c r="G24" s="222">
        <v>10631</v>
      </c>
      <c r="H24" s="222">
        <v>11250</v>
      </c>
      <c r="I24" s="222">
        <v>11628</v>
      </c>
      <c r="J24" s="222">
        <v>12463</v>
      </c>
      <c r="K24" s="222">
        <v>13236</v>
      </c>
      <c r="L24" s="222">
        <v>11571</v>
      </c>
      <c r="M24" s="222">
        <v>11665</v>
      </c>
      <c r="N24" s="174">
        <v>11725</v>
      </c>
      <c r="O24" s="174">
        <v>11418</v>
      </c>
      <c r="P24" s="174">
        <v>11172</v>
      </c>
      <c r="Q24" s="174">
        <v>12261</v>
      </c>
      <c r="R24" s="174">
        <v>10118.9</v>
      </c>
      <c r="S24" s="174">
        <v>11078.8</v>
      </c>
      <c r="T24" s="174">
        <v>11890.4</v>
      </c>
      <c r="U24" s="90"/>
      <c r="V24" s="930"/>
      <c r="W24" s="930"/>
      <c r="X24" s="930"/>
    </row>
    <row r="25" spans="1:24" ht="13.25" customHeight="1">
      <c r="A25" s="83"/>
      <c r="B25" s="23" t="s">
        <v>41</v>
      </c>
      <c r="C25" s="222">
        <v>3879</v>
      </c>
      <c r="D25" s="222">
        <v>4268</v>
      </c>
      <c r="E25" s="222">
        <v>4817</v>
      </c>
      <c r="F25" s="222">
        <v>5160</v>
      </c>
      <c r="G25" s="222">
        <v>4795</v>
      </c>
      <c r="H25" s="222">
        <v>4661</v>
      </c>
      <c r="I25" s="222">
        <v>4878</v>
      </c>
      <c r="J25" s="222">
        <v>4923</v>
      </c>
      <c r="K25" s="222">
        <v>4841</v>
      </c>
      <c r="L25" s="222">
        <v>4923</v>
      </c>
      <c r="M25" s="222">
        <v>4885</v>
      </c>
      <c r="N25" s="174">
        <v>4851</v>
      </c>
      <c r="O25" s="174">
        <v>4699</v>
      </c>
      <c r="P25" s="174">
        <v>4685</v>
      </c>
      <c r="Q25" s="174">
        <v>4670</v>
      </c>
      <c r="R25" s="174">
        <v>4559.7</v>
      </c>
      <c r="S25" s="174">
        <v>4484.3</v>
      </c>
      <c r="T25" s="174">
        <v>4277.3</v>
      </c>
      <c r="U25" s="90"/>
      <c r="V25" s="930"/>
      <c r="W25" s="930"/>
      <c r="X25" s="930"/>
    </row>
    <row r="26" spans="1:24" ht="13.25" customHeight="1">
      <c r="A26" s="83"/>
      <c r="B26" s="23" t="s">
        <v>44</v>
      </c>
      <c r="C26" s="222">
        <v>10312</v>
      </c>
      <c r="D26" s="222">
        <v>11894</v>
      </c>
      <c r="E26" s="222">
        <v>11040</v>
      </c>
      <c r="F26" s="222">
        <v>11172</v>
      </c>
      <c r="G26" s="222">
        <v>11541</v>
      </c>
      <c r="H26" s="222">
        <v>11848</v>
      </c>
      <c r="I26" s="222">
        <v>12012</v>
      </c>
      <c r="J26" s="222">
        <v>12415</v>
      </c>
      <c r="K26" s="222">
        <v>10615</v>
      </c>
      <c r="L26" s="222">
        <v>10637</v>
      </c>
      <c r="M26" s="222">
        <v>10012</v>
      </c>
      <c r="N26" s="174">
        <v>9860</v>
      </c>
      <c r="O26" s="174">
        <v>9850</v>
      </c>
      <c r="P26" s="174">
        <v>10304</v>
      </c>
      <c r="Q26" s="174">
        <v>10865</v>
      </c>
      <c r="R26" s="174">
        <v>10731.9</v>
      </c>
      <c r="S26" s="174">
        <v>11741.3</v>
      </c>
      <c r="T26" s="174">
        <v>11976.6</v>
      </c>
      <c r="U26" s="90"/>
      <c r="V26" s="930"/>
      <c r="W26" s="930"/>
      <c r="X26" s="930"/>
    </row>
    <row r="27" spans="1:24" ht="13.25" customHeight="1">
      <c r="A27" s="83"/>
      <c r="B27" s="23" t="s">
        <v>45</v>
      </c>
      <c r="C27" s="222">
        <v>17230</v>
      </c>
      <c r="D27" s="222">
        <v>17401</v>
      </c>
      <c r="E27" s="222">
        <v>17642</v>
      </c>
      <c r="F27" s="222">
        <v>18033</v>
      </c>
      <c r="G27" s="222">
        <v>18529</v>
      </c>
      <c r="H27" s="222">
        <v>19048</v>
      </c>
      <c r="I27" s="222">
        <v>19643</v>
      </c>
      <c r="J27" s="222">
        <v>20153</v>
      </c>
      <c r="K27" s="222">
        <v>20444</v>
      </c>
      <c r="L27" s="222">
        <v>20934</v>
      </c>
      <c r="M27" s="222">
        <v>19676</v>
      </c>
      <c r="N27" s="174">
        <v>20154</v>
      </c>
      <c r="O27" s="174">
        <v>20418</v>
      </c>
      <c r="P27" s="174">
        <v>20864</v>
      </c>
      <c r="Q27" s="174">
        <v>21025</v>
      </c>
      <c r="R27" s="174">
        <v>21151.7</v>
      </c>
      <c r="S27" s="174">
        <v>21339.7</v>
      </c>
      <c r="T27" s="174">
        <v>21545.7</v>
      </c>
      <c r="U27" s="90"/>
      <c r="V27" s="930"/>
      <c r="W27" s="930"/>
      <c r="X27" s="930"/>
    </row>
    <row r="28" spans="1:24" ht="13.25" customHeight="1">
      <c r="A28" s="83"/>
      <c r="B28" s="82" t="s">
        <v>46</v>
      </c>
      <c r="C28" s="222">
        <v>4917</v>
      </c>
      <c r="D28" s="222">
        <v>5575</v>
      </c>
      <c r="E28" s="222">
        <v>5612</v>
      </c>
      <c r="F28" s="222">
        <v>5267</v>
      </c>
      <c r="G28" s="222">
        <v>5459</v>
      </c>
      <c r="H28" s="222">
        <v>5346</v>
      </c>
      <c r="I28" s="222">
        <v>5620</v>
      </c>
      <c r="J28" s="222">
        <v>5884</v>
      </c>
      <c r="K28" s="222">
        <v>5732</v>
      </c>
      <c r="L28" s="222">
        <v>5928</v>
      </c>
      <c r="M28" s="222">
        <v>5934</v>
      </c>
      <c r="N28" s="174">
        <v>6041</v>
      </c>
      <c r="O28" s="174">
        <v>5801</v>
      </c>
      <c r="P28" s="174">
        <v>6288</v>
      </c>
      <c r="Q28" s="174">
        <v>6255</v>
      </c>
      <c r="R28" s="174">
        <v>5442.6</v>
      </c>
      <c r="S28" s="174">
        <v>5765.4</v>
      </c>
      <c r="T28" s="174">
        <v>5683.2</v>
      </c>
      <c r="U28" s="90"/>
      <c r="V28" s="930"/>
      <c r="W28" s="930"/>
      <c r="X28" s="930"/>
    </row>
    <row r="29" spans="1:24" ht="13.25" customHeight="1">
      <c r="A29" s="83"/>
      <c r="B29" s="23" t="s">
        <v>47</v>
      </c>
      <c r="C29" s="222">
        <v>520</v>
      </c>
      <c r="D29" s="222">
        <v>561</v>
      </c>
      <c r="E29" s="222">
        <v>625</v>
      </c>
      <c r="F29" s="222">
        <v>695</v>
      </c>
      <c r="G29" s="222">
        <v>757</v>
      </c>
      <c r="H29" s="222">
        <v>841</v>
      </c>
      <c r="I29" s="222">
        <v>978</v>
      </c>
      <c r="J29" s="222">
        <v>1266</v>
      </c>
      <c r="K29" s="222">
        <v>1410</v>
      </c>
      <c r="L29" s="222">
        <v>1524</v>
      </c>
      <c r="M29" s="222">
        <v>1517</v>
      </c>
      <c r="N29" s="174">
        <v>1344</v>
      </c>
      <c r="O29" s="174">
        <v>1503</v>
      </c>
      <c r="P29" s="174">
        <v>1573</v>
      </c>
      <c r="Q29" s="174">
        <v>1631</v>
      </c>
      <c r="R29" s="174">
        <v>1412.2</v>
      </c>
      <c r="S29" s="174">
        <v>1512.8</v>
      </c>
      <c r="T29" s="174">
        <v>1486.8</v>
      </c>
      <c r="U29" s="90"/>
      <c r="V29" s="930"/>
      <c r="W29" s="930"/>
      <c r="X29" s="930"/>
    </row>
    <row r="30" spans="1:24" ht="13.25" customHeight="1">
      <c r="A30" s="83"/>
      <c r="B30" s="23" t="s">
        <v>48</v>
      </c>
      <c r="C30" s="222">
        <v>1585</v>
      </c>
      <c r="D30" s="222">
        <v>1581</v>
      </c>
      <c r="E30" s="222">
        <v>1596</v>
      </c>
      <c r="F30" s="222">
        <v>1280</v>
      </c>
      <c r="G30" s="222">
        <v>1346</v>
      </c>
      <c r="H30" s="222">
        <v>1451</v>
      </c>
      <c r="I30" s="222">
        <v>1622</v>
      </c>
      <c r="J30" s="222">
        <v>1561</v>
      </c>
      <c r="K30" s="222">
        <v>1606</v>
      </c>
      <c r="L30" s="222">
        <v>1557</v>
      </c>
      <c r="M30" s="222">
        <v>1630</v>
      </c>
      <c r="N30" s="174">
        <v>1775</v>
      </c>
      <c r="O30" s="174">
        <v>2016</v>
      </c>
      <c r="P30" s="174">
        <v>1967</v>
      </c>
      <c r="Q30" s="174">
        <v>2026</v>
      </c>
      <c r="R30" s="174">
        <v>2081.6999999999998</v>
      </c>
      <c r="S30" s="174">
        <v>2179.9</v>
      </c>
      <c r="T30" s="174">
        <v>2229</v>
      </c>
      <c r="U30" s="90"/>
      <c r="V30" s="930"/>
      <c r="W30" s="930"/>
      <c r="X30" s="930"/>
    </row>
    <row r="31" spans="1:24" ht="13.25" customHeight="1" thickBot="1">
      <c r="A31" s="88"/>
      <c r="B31" s="577" t="s">
        <v>49</v>
      </c>
      <c r="C31" s="581">
        <v>1093</v>
      </c>
      <c r="D31" s="581">
        <v>1265</v>
      </c>
      <c r="E31" s="581">
        <v>1288</v>
      </c>
      <c r="F31" s="581">
        <v>1629</v>
      </c>
      <c r="G31" s="581">
        <v>1636</v>
      </c>
      <c r="H31" s="581">
        <v>1675</v>
      </c>
      <c r="I31" s="581">
        <v>1720</v>
      </c>
      <c r="J31" s="581">
        <v>1707</v>
      </c>
      <c r="K31" s="581">
        <v>1666</v>
      </c>
      <c r="L31" s="581">
        <v>1724</v>
      </c>
      <c r="M31" s="581">
        <v>1929</v>
      </c>
      <c r="N31" s="584">
        <v>2373</v>
      </c>
      <c r="O31" s="584">
        <v>2389</v>
      </c>
      <c r="P31" s="584">
        <v>2256</v>
      </c>
      <c r="Q31" s="584">
        <v>2373</v>
      </c>
      <c r="R31" s="584">
        <v>2061.5</v>
      </c>
      <c r="S31" s="584">
        <v>2221.8000000000002</v>
      </c>
      <c r="T31" s="584">
        <v>2190</v>
      </c>
      <c r="U31" s="90"/>
      <c r="V31" s="930"/>
      <c r="W31" s="930"/>
      <c r="X31" s="930"/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90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8">
    <tabColor theme="9" tint="0.59999389629810485"/>
  </sheetPr>
  <dimension ref="A2:X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6.796875" style="82" customWidth="1"/>
    <col min="22" max="16384" width="7" style="82"/>
  </cols>
  <sheetData>
    <row r="2" spans="1:24" ht="15" customHeight="1">
      <c r="A2" s="230" t="s">
        <v>560</v>
      </c>
      <c r="B2" s="231"/>
    </row>
    <row r="3" spans="1:24" ht="13.25" customHeight="1">
      <c r="A3" s="232" t="s">
        <v>421</v>
      </c>
      <c r="B3" s="232"/>
    </row>
    <row r="4" spans="1:24" ht="5" customHeight="1" thickBot="1"/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349</v>
      </c>
      <c r="R5" s="569">
        <v>2020</v>
      </c>
      <c r="S5" s="569">
        <v>2021</v>
      </c>
      <c r="T5" s="569" t="s">
        <v>477</v>
      </c>
    </row>
    <row r="6" spans="1:24" ht="15" customHeight="1">
      <c r="A6" s="963" t="s">
        <v>103</v>
      </c>
      <c r="B6" s="963"/>
      <c r="C6" s="570">
        <v>3.36</v>
      </c>
      <c r="D6" s="570">
        <v>3.4</v>
      </c>
      <c r="E6" s="570">
        <v>3.5</v>
      </c>
      <c r="F6" s="570">
        <v>3.77</v>
      </c>
      <c r="G6" s="570">
        <v>4.08</v>
      </c>
      <c r="H6" s="570">
        <v>4.0999999999999996</v>
      </c>
      <c r="I6" s="570">
        <v>4.25</v>
      </c>
      <c r="J6" s="570">
        <v>4.6900000000000004</v>
      </c>
      <c r="K6" s="570">
        <v>4.84</v>
      </c>
      <c r="L6" s="570">
        <v>5.23</v>
      </c>
      <c r="M6" s="570">
        <v>5.42</v>
      </c>
      <c r="N6" s="570">
        <v>5.63</v>
      </c>
      <c r="O6" s="570">
        <v>5.53</v>
      </c>
      <c r="P6" s="570">
        <v>5.64</v>
      </c>
      <c r="Q6" s="570">
        <v>5.68</v>
      </c>
      <c r="R6" s="570">
        <v>5.725242906847404</v>
      </c>
      <c r="S6" s="570">
        <v>5.812974083501822</v>
      </c>
      <c r="T6" s="570">
        <v>5.9201285411419988</v>
      </c>
    </row>
    <row r="7" spans="1:24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4" ht="13.25" customHeight="1">
      <c r="A8" s="83"/>
      <c r="B8" s="23" t="s">
        <v>21</v>
      </c>
      <c r="C8" s="238">
        <v>3.57</v>
      </c>
      <c r="D8" s="238">
        <v>3.39</v>
      </c>
      <c r="E8" s="238">
        <v>3.62</v>
      </c>
      <c r="F8" s="238">
        <v>3.66</v>
      </c>
      <c r="G8" s="238">
        <v>3.69</v>
      </c>
      <c r="H8" s="238">
        <v>3.5</v>
      </c>
      <c r="I8" s="238">
        <v>3.58</v>
      </c>
      <c r="J8" s="238">
        <v>3.62</v>
      </c>
      <c r="K8" s="238">
        <v>3.51</v>
      </c>
      <c r="L8" s="238">
        <v>4.47</v>
      </c>
      <c r="M8" s="238">
        <v>5.74</v>
      </c>
      <c r="N8" s="238">
        <v>5.67</v>
      </c>
      <c r="O8" s="238">
        <v>5.41</v>
      </c>
      <c r="P8" s="238">
        <v>5.42</v>
      </c>
      <c r="Q8" s="238">
        <v>5.58</v>
      </c>
      <c r="R8" s="238">
        <v>5.64</v>
      </c>
      <c r="S8" s="238">
        <v>5.87</v>
      </c>
      <c r="T8" s="238">
        <v>5.93</v>
      </c>
      <c r="V8" s="161"/>
      <c r="W8" s="161"/>
      <c r="X8" s="161"/>
    </row>
    <row r="9" spans="1:24" ht="13.25" customHeight="1">
      <c r="A9" s="83"/>
      <c r="B9" s="23" t="s">
        <v>22</v>
      </c>
      <c r="C9" s="238">
        <v>3.4</v>
      </c>
      <c r="D9" s="238">
        <v>3.4</v>
      </c>
      <c r="E9" s="238">
        <v>3.75</v>
      </c>
      <c r="F9" s="238">
        <v>3.82</v>
      </c>
      <c r="G9" s="238">
        <v>4.0199999999999996</v>
      </c>
      <c r="H9" s="238">
        <v>3.92</v>
      </c>
      <c r="I9" s="238">
        <v>3.76</v>
      </c>
      <c r="J9" s="238">
        <v>4.01</v>
      </c>
      <c r="K9" s="238">
        <v>4.55</v>
      </c>
      <c r="L9" s="238">
        <v>4.7699999999999996</v>
      </c>
      <c r="M9" s="238">
        <v>5.0599999999999996</v>
      </c>
      <c r="N9" s="238">
        <v>5.56</v>
      </c>
      <c r="O9" s="238">
        <v>5.49</v>
      </c>
      <c r="P9" s="238">
        <v>5.65</v>
      </c>
      <c r="Q9" s="238">
        <v>5.67</v>
      </c>
      <c r="R9" s="238">
        <v>5.74</v>
      </c>
      <c r="S9" s="238">
        <v>5.89</v>
      </c>
      <c r="T9" s="238">
        <v>5.95</v>
      </c>
      <c r="V9" s="161"/>
      <c r="W9" s="161"/>
      <c r="X9" s="161"/>
    </row>
    <row r="10" spans="1:24" ht="13.25" customHeight="1">
      <c r="A10" s="83"/>
      <c r="B10" s="23" t="s">
        <v>23</v>
      </c>
      <c r="C10" s="238">
        <v>3.31</v>
      </c>
      <c r="D10" s="238">
        <v>3.54</v>
      </c>
      <c r="E10" s="238">
        <v>3.43</v>
      </c>
      <c r="F10" s="238">
        <v>3.62</v>
      </c>
      <c r="G10" s="238">
        <v>4.2300000000000004</v>
      </c>
      <c r="H10" s="238">
        <v>4.03</v>
      </c>
      <c r="I10" s="238">
        <v>3.97</v>
      </c>
      <c r="J10" s="238">
        <v>4.07</v>
      </c>
      <c r="K10" s="238">
        <v>4.34</v>
      </c>
      <c r="L10" s="238">
        <v>4.88</v>
      </c>
      <c r="M10" s="238">
        <v>5.18</v>
      </c>
      <c r="N10" s="238">
        <v>5.62</v>
      </c>
      <c r="O10" s="238">
        <v>5.52</v>
      </c>
      <c r="P10" s="238">
        <v>5.72</v>
      </c>
      <c r="Q10" s="238">
        <v>5.8</v>
      </c>
      <c r="R10" s="238">
        <v>5.87</v>
      </c>
      <c r="S10" s="238">
        <v>5.95</v>
      </c>
      <c r="T10" s="238">
        <v>6</v>
      </c>
      <c r="V10" s="161"/>
      <c r="W10" s="161"/>
      <c r="X10" s="161"/>
    </row>
    <row r="11" spans="1:24" ht="13.25" customHeight="1">
      <c r="A11" s="83"/>
      <c r="B11" s="23" t="s">
        <v>24</v>
      </c>
      <c r="C11" s="238">
        <v>3.1</v>
      </c>
      <c r="D11" s="238">
        <v>3.13</v>
      </c>
      <c r="E11" s="238">
        <v>3.67</v>
      </c>
      <c r="F11" s="238">
        <v>3.78</v>
      </c>
      <c r="G11" s="238">
        <v>4.4400000000000004</v>
      </c>
      <c r="H11" s="238">
        <v>4.2300000000000004</v>
      </c>
      <c r="I11" s="238">
        <v>4.05</v>
      </c>
      <c r="J11" s="238">
        <v>3.86</v>
      </c>
      <c r="K11" s="238">
        <v>4.05</v>
      </c>
      <c r="L11" s="238">
        <v>4.05</v>
      </c>
      <c r="M11" s="238">
        <v>5.98</v>
      </c>
      <c r="N11" s="238">
        <v>6.87</v>
      </c>
      <c r="O11" s="238">
        <v>6.11</v>
      </c>
      <c r="P11" s="238">
        <v>6.07</v>
      </c>
      <c r="Q11" s="238">
        <v>6.12</v>
      </c>
      <c r="R11" s="238">
        <v>6.2</v>
      </c>
      <c r="S11" s="238">
        <v>6.29</v>
      </c>
      <c r="T11" s="238">
        <v>6.38</v>
      </c>
      <c r="V11" s="161"/>
      <c r="W11" s="161"/>
      <c r="X11" s="161"/>
    </row>
    <row r="12" spans="1:24" ht="13.25" customHeight="1">
      <c r="A12" s="83"/>
      <c r="B12" s="23" t="s">
        <v>25</v>
      </c>
      <c r="C12" s="238">
        <v>3.81</v>
      </c>
      <c r="D12" s="238">
        <v>3.94</v>
      </c>
      <c r="E12" s="238">
        <v>3.7</v>
      </c>
      <c r="F12" s="238">
        <v>3.85</v>
      </c>
      <c r="G12" s="238">
        <v>4.1399999999999997</v>
      </c>
      <c r="H12" s="238">
        <v>4.0999999999999996</v>
      </c>
      <c r="I12" s="238">
        <v>4.0599999999999996</v>
      </c>
      <c r="J12" s="238">
        <v>5.21</v>
      </c>
      <c r="K12" s="238">
        <v>4.74</v>
      </c>
      <c r="L12" s="238">
        <v>5.16</v>
      </c>
      <c r="M12" s="238">
        <v>4.93</v>
      </c>
      <c r="N12" s="238">
        <v>5.08</v>
      </c>
      <c r="O12" s="238">
        <v>5.48</v>
      </c>
      <c r="P12" s="238">
        <v>5.4</v>
      </c>
      <c r="Q12" s="238">
        <v>5.6</v>
      </c>
      <c r="R12" s="238">
        <v>5.71</v>
      </c>
      <c r="S12" s="238">
        <v>6.01</v>
      </c>
      <c r="T12" s="238">
        <v>6.13</v>
      </c>
      <c r="V12" s="161"/>
      <c r="W12" s="161"/>
      <c r="X12" s="161"/>
    </row>
    <row r="13" spans="1:24" ht="13.25" customHeight="1">
      <c r="A13" s="83"/>
      <c r="B13" s="23" t="s">
        <v>29</v>
      </c>
      <c r="C13" s="238">
        <v>3.42</v>
      </c>
      <c r="D13" s="238">
        <v>3.55</v>
      </c>
      <c r="E13" s="238">
        <v>3.86</v>
      </c>
      <c r="F13" s="238">
        <v>3.82</v>
      </c>
      <c r="G13" s="238">
        <v>4</v>
      </c>
      <c r="H13" s="238">
        <v>4.08</v>
      </c>
      <c r="I13" s="238">
        <v>4.53</v>
      </c>
      <c r="J13" s="238">
        <v>4.5599999999999996</v>
      </c>
      <c r="K13" s="238">
        <v>5.58</v>
      </c>
      <c r="L13" s="238">
        <v>5.89</v>
      </c>
      <c r="M13" s="238">
        <v>5.04</v>
      </c>
      <c r="N13" s="238">
        <v>5.61</v>
      </c>
      <c r="O13" s="238">
        <v>5.47</v>
      </c>
      <c r="P13" s="238">
        <v>5.53</v>
      </c>
      <c r="Q13" s="238">
        <v>5.52</v>
      </c>
      <c r="R13" s="238">
        <v>5.55</v>
      </c>
      <c r="S13" s="238">
        <v>5.64</v>
      </c>
      <c r="T13" s="238">
        <v>5.77</v>
      </c>
      <c r="V13" s="161"/>
      <c r="W13" s="161"/>
      <c r="X13" s="161"/>
    </row>
    <row r="14" spans="1:24" ht="13.25" customHeight="1">
      <c r="A14" s="83"/>
      <c r="B14" s="23" t="s">
        <v>30</v>
      </c>
      <c r="C14" s="238">
        <v>3.88</v>
      </c>
      <c r="D14" s="238">
        <v>3.53</v>
      </c>
      <c r="E14" s="238">
        <v>3.55</v>
      </c>
      <c r="F14" s="238">
        <v>3.81</v>
      </c>
      <c r="G14" s="238">
        <v>4.0999999999999996</v>
      </c>
      <c r="H14" s="238">
        <v>3.43</v>
      </c>
      <c r="I14" s="238">
        <v>4.09</v>
      </c>
      <c r="J14" s="238">
        <v>4.21</v>
      </c>
      <c r="K14" s="238">
        <v>4.46</v>
      </c>
      <c r="L14" s="238">
        <v>5.24</v>
      </c>
      <c r="M14" s="238">
        <v>5.62</v>
      </c>
      <c r="N14" s="238">
        <v>5.57</v>
      </c>
      <c r="O14" s="238">
        <v>5</v>
      </c>
      <c r="P14" s="238">
        <v>5.16</v>
      </c>
      <c r="Q14" s="238">
        <v>5.1100000000000003</v>
      </c>
      <c r="R14" s="238">
        <v>5.22</v>
      </c>
      <c r="S14" s="238">
        <v>5.44</v>
      </c>
      <c r="T14" s="238">
        <v>5.56</v>
      </c>
      <c r="V14" s="161"/>
      <c r="W14" s="161"/>
      <c r="X14" s="161"/>
    </row>
    <row r="15" spans="1:24" ht="13.25" customHeight="1">
      <c r="A15" s="83"/>
      <c r="B15" s="23" t="s">
        <v>31</v>
      </c>
      <c r="C15" s="238">
        <v>3.4</v>
      </c>
      <c r="D15" s="238">
        <v>3.49</v>
      </c>
      <c r="E15" s="238">
        <v>3.46</v>
      </c>
      <c r="F15" s="238">
        <v>4</v>
      </c>
      <c r="G15" s="238">
        <v>4.34</v>
      </c>
      <c r="H15" s="238">
        <v>3.66</v>
      </c>
      <c r="I15" s="238">
        <v>3.73</v>
      </c>
      <c r="J15" s="238">
        <v>4.05</v>
      </c>
      <c r="K15" s="238">
        <v>4.26</v>
      </c>
      <c r="L15" s="238">
        <v>4.59</v>
      </c>
      <c r="M15" s="238">
        <v>4.8499999999999996</v>
      </c>
      <c r="N15" s="238">
        <v>5.65</v>
      </c>
      <c r="O15" s="238">
        <v>5.78</v>
      </c>
      <c r="P15" s="238">
        <v>5.72</v>
      </c>
      <c r="Q15" s="238">
        <v>5.9</v>
      </c>
      <c r="R15" s="238">
        <v>5.98</v>
      </c>
      <c r="S15" s="238">
        <v>6.1</v>
      </c>
      <c r="T15" s="238">
        <v>6.3</v>
      </c>
      <c r="V15" s="161"/>
      <c r="W15" s="161"/>
      <c r="X15" s="161"/>
    </row>
    <row r="16" spans="1:24" ht="13.25" customHeight="1">
      <c r="A16" s="83"/>
      <c r="B16" s="23" t="s">
        <v>32</v>
      </c>
      <c r="C16" s="238">
        <v>2.83</v>
      </c>
      <c r="D16" s="238">
        <v>3.05</v>
      </c>
      <c r="E16" s="238">
        <v>3.24</v>
      </c>
      <c r="F16" s="238">
        <v>3.84</v>
      </c>
      <c r="G16" s="238">
        <v>4.2300000000000004</v>
      </c>
      <c r="H16" s="238">
        <v>4.3899999999999997</v>
      </c>
      <c r="I16" s="238">
        <v>4.74</v>
      </c>
      <c r="J16" s="238">
        <v>4.9800000000000004</v>
      </c>
      <c r="K16" s="238">
        <v>5.1100000000000003</v>
      </c>
      <c r="L16" s="238">
        <v>5.57</v>
      </c>
      <c r="M16" s="238">
        <v>5.68</v>
      </c>
      <c r="N16" s="238">
        <v>5.18</v>
      </c>
      <c r="O16" s="238">
        <v>5.16</v>
      </c>
      <c r="P16" s="238">
        <v>5.28</v>
      </c>
      <c r="Q16" s="238">
        <v>5.23</v>
      </c>
      <c r="R16" s="238">
        <v>5.35</v>
      </c>
      <c r="S16" s="238">
        <v>5.55</v>
      </c>
      <c r="T16" s="238">
        <v>5.69</v>
      </c>
      <c r="V16" s="161"/>
      <c r="W16" s="161"/>
      <c r="X16" s="161"/>
    </row>
    <row r="17" spans="1:24" ht="13.25" customHeight="1">
      <c r="A17" s="83"/>
      <c r="B17" s="23" t="s">
        <v>33</v>
      </c>
      <c r="C17" s="238">
        <v>3.51</v>
      </c>
      <c r="D17" s="238">
        <v>3.54</v>
      </c>
      <c r="E17" s="238">
        <v>3.56</v>
      </c>
      <c r="F17" s="238">
        <v>3.65</v>
      </c>
      <c r="G17" s="238">
        <v>4.04</v>
      </c>
      <c r="H17" s="238">
        <v>4.4400000000000004</v>
      </c>
      <c r="I17" s="238">
        <v>4.5999999999999996</v>
      </c>
      <c r="J17" s="238">
        <v>4.47</v>
      </c>
      <c r="K17" s="238">
        <v>5.15</v>
      </c>
      <c r="L17" s="238">
        <v>5.09</v>
      </c>
      <c r="M17" s="238">
        <v>5.58</v>
      </c>
      <c r="N17" s="238">
        <v>5.42</v>
      </c>
      <c r="O17" s="238">
        <v>5.47</v>
      </c>
      <c r="P17" s="238">
        <v>5.6</v>
      </c>
      <c r="Q17" s="238">
        <v>5.56</v>
      </c>
      <c r="R17" s="238">
        <v>5.66</v>
      </c>
      <c r="S17" s="238">
        <v>5.66</v>
      </c>
      <c r="T17" s="238">
        <v>5.72</v>
      </c>
      <c r="V17" s="161"/>
      <c r="W17" s="161"/>
      <c r="X17" s="161"/>
    </row>
    <row r="18" spans="1:24" ht="13.25" customHeight="1">
      <c r="A18" s="83"/>
      <c r="B18" s="23" t="s">
        <v>34</v>
      </c>
      <c r="C18" s="238">
        <v>2.65</v>
      </c>
      <c r="D18" s="238">
        <v>2.84</v>
      </c>
      <c r="E18" s="238">
        <v>3.41</v>
      </c>
      <c r="F18" s="238">
        <v>3.66</v>
      </c>
      <c r="G18" s="238">
        <v>3.7</v>
      </c>
      <c r="H18" s="238">
        <v>4.12</v>
      </c>
      <c r="I18" s="238">
        <v>4.3899999999999997</v>
      </c>
      <c r="J18" s="238">
        <v>4.5</v>
      </c>
      <c r="K18" s="238">
        <v>4.79</v>
      </c>
      <c r="L18" s="238">
        <v>4.66</v>
      </c>
      <c r="M18" s="238">
        <v>4.79</v>
      </c>
      <c r="N18" s="238">
        <v>5.12</v>
      </c>
      <c r="O18" s="238">
        <v>5.01</v>
      </c>
      <c r="P18" s="238">
        <v>5.18</v>
      </c>
      <c r="Q18" s="238">
        <v>5.61</v>
      </c>
      <c r="R18" s="238">
        <v>5.57</v>
      </c>
      <c r="S18" s="238">
        <v>5.53</v>
      </c>
      <c r="T18" s="238">
        <v>5.56</v>
      </c>
      <c r="V18" s="161"/>
      <c r="W18" s="161"/>
      <c r="X18" s="161"/>
    </row>
    <row r="19" spans="1:24" ht="13.25" customHeight="1">
      <c r="A19" s="83"/>
      <c r="B19" s="23" t="s">
        <v>35</v>
      </c>
      <c r="C19" s="238">
        <v>3.15</v>
      </c>
      <c r="D19" s="238">
        <v>3.11</v>
      </c>
      <c r="E19" s="238">
        <v>3.12</v>
      </c>
      <c r="F19" s="238">
        <v>3.68</v>
      </c>
      <c r="G19" s="238">
        <v>3.74</v>
      </c>
      <c r="H19" s="238">
        <v>4.9000000000000004</v>
      </c>
      <c r="I19" s="238">
        <v>5.1100000000000003</v>
      </c>
      <c r="J19" s="238">
        <v>5.25</v>
      </c>
      <c r="K19" s="238">
        <v>5.49</v>
      </c>
      <c r="L19" s="238">
        <v>5.69</v>
      </c>
      <c r="M19" s="238">
        <v>6.1</v>
      </c>
      <c r="N19" s="238">
        <v>6.47</v>
      </c>
      <c r="O19" s="238">
        <v>6.05</v>
      </c>
      <c r="P19" s="238">
        <v>6.26</v>
      </c>
      <c r="Q19" s="238">
        <v>6.15</v>
      </c>
      <c r="R19" s="238">
        <v>6.18</v>
      </c>
      <c r="S19" s="238">
        <v>6.24</v>
      </c>
      <c r="T19" s="238">
        <v>6.38</v>
      </c>
      <c r="V19" s="161"/>
      <c r="W19" s="161"/>
      <c r="X19" s="161"/>
    </row>
    <row r="20" spans="1:24" ht="13.25" customHeight="1">
      <c r="A20" s="83"/>
      <c r="B20" s="23" t="s">
        <v>36</v>
      </c>
      <c r="C20" s="238">
        <v>3.59</v>
      </c>
      <c r="D20" s="238">
        <v>3.49</v>
      </c>
      <c r="E20" s="238">
        <v>3.48</v>
      </c>
      <c r="F20" s="238">
        <v>3.67</v>
      </c>
      <c r="G20" s="238">
        <v>3.69</v>
      </c>
      <c r="H20" s="238">
        <v>3.8</v>
      </c>
      <c r="I20" s="238">
        <v>3.92</v>
      </c>
      <c r="J20" s="238">
        <v>5.33</v>
      </c>
      <c r="K20" s="238">
        <v>4.7</v>
      </c>
      <c r="L20" s="238">
        <v>5.08</v>
      </c>
      <c r="M20" s="238">
        <v>5.7</v>
      </c>
      <c r="N20" s="238">
        <v>5.63</v>
      </c>
      <c r="O20" s="238">
        <v>5.45</v>
      </c>
      <c r="P20" s="238">
        <v>5.53</v>
      </c>
      <c r="Q20" s="238">
        <v>5.46</v>
      </c>
      <c r="R20" s="238">
        <v>5.45</v>
      </c>
      <c r="S20" s="238">
        <v>5.35</v>
      </c>
      <c r="T20" s="238">
        <v>5.38</v>
      </c>
      <c r="V20" s="161"/>
      <c r="W20" s="161"/>
      <c r="X20" s="161"/>
    </row>
    <row r="21" spans="1:24" ht="13.25" customHeight="1">
      <c r="A21" s="83"/>
      <c r="B21" s="23" t="s">
        <v>37</v>
      </c>
      <c r="C21" s="238">
        <v>3.14</v>
      </c>
      <c r="D21" s="238">
        <v>2.96</v>
      </c>
      <c r="E21" s="238">
        <v>3.02</v>
      </c>
      <c r="F21" s="238">
        <v>3.76</v>
      </c>
      <c r="G21" s="238">
        <v>4.1399999999999997</v>
      </c>
      <c r="H21" s="238">
        <v>4.42</v>
      </c>
      <c r="I21" s="238">
        <v>4.4400000000000004</v>
      </c>
      <c r="J21" s="238">
        <v>5.4</v>
      </c>
      <c r="K21" s="238">
        <v>5.45</v>
      </c>
      <c r="L21" s="238">
        <v>5.31</v>
      </c>
      <c r="M21" s="238">
        <v>5.57</v>
      </c>
      <c r="N21" s="238">
        <v>5.58</v>
      </c>
      <c r="O21" s="238">
        <v>5.5</v>
      </c>
      <c r="P21" s="238">
        <v>5.68</v>
      </c>
      <c r="Q21" s="238">
        <v>5.73</v>
      </c>
      <c r="R21" s="238">
        <v>5.77</v>
      </c>
      <c r="S21" s="238">
        <v>5.78</v>
      </c>
      <c r="T21" s="238">
        <v>5.96</v>
      </c>
      <c r="V21" s="161"/>
      <c r="W21" s="161"/>
      <c r="X21" s="161"/>
    </row>
    <row r="22" spans="1:24" ht="13.25" customHeight="1">
      <c r="A22" s="83"/>
      <c r="B22" s="23" t="s">
        <v>38</v>
      </c>
      <c r="C22" s="238">
        <v>3.8</v>
      </c>
      <c r="D22" s="238">
        <v>3.77</v>
      </c>
      <c r="E22" s="238">
        <v>3.65</v>
      </c>
      <c r="F22" s="238">
        <v>3.63</v>
      </c>
      <c r="G22" s="238">
        <v>3.82</v>
      </c>
      <c r="H22" s="238">
        <v>3.92</v>
      </c>
      <c r="I22" s="238">
        <v>3.86</v>
      </c>
      <c r="J22" s="238">
        <v>4.3099999999999996</v>
      </c>
      <c r="K22" s="238">
        <v>4.55</v>
      </c>
      <c r="L22" s="238">
        <v>4.95</v>
      </c>
      <c r="M22" s="238">
        <v>5.1100000000000003</v>
      </c>
      <c r="N22" s="238">
        <v>5.23</v>
      </c>
      <c r="O22" s="238">
        <v>5.1100000000000003</v>
      </c>
      <c r="P22" s="238">
        <v>5.47</v>
      </c>
      <c r="Q22" s="238">
        <v>5.46</v>
      </c>
      <c r="R22" s="238">
        <v>5.48</v>
      </c>
      <c r="S22" s="238">
        <v>5.64</v>
      </c>
      <c r="T22" s="238">
        <v>5.74</v>
      </c>
      <c r="V22" s="161"/>
      <c r="W22" s="161"/>
      <c r="X22" s="161"/>
    </row>
    <row r="23" spans="1:24" ht="13.25" customHeight="1">
      <c r="A23" s="83"/>
      <c r="B23" s="23" t="s">
        <v>39</v>
      </c>
      <c r="C23" s="238">
        <v>3.52</v>
      </c>
      <c r="D23" s="238">
        <v>3.54</v>
      </c>
      <c r="E23" s="238">
        <v>3.67</v>
      </c>
      <c r="F23" s="238">
        <v>3.7</v>
      </c>
      <c r="G23" s="238">
        <v>3.79</v>
      </c>
      <c r="H23" s="238">
        <v>3.59</v>
      </c>
      <c r="I23" s="238">
        <v>4.1399999999999997</v>
      </c>
      <c r="J23" s="238">
        <v>4.47</v>
      </c>
      <c r="K23" s="238">
        <v>4.7</v>
      </c>
      <c r="L23" s="238">
        <v>5.08</v>
      </c>
      <c r="M23" s="238">
        <v>5.82</v>
      </c>
      <c r="N23" s="238">
        <v>5.83</v>
      </c>
      <c r="O23" s="238">
        <v>5.68</v>
      </c>
      <c r="P23" s="238">
        <v>5.77</v>
      </c>
      <c r="Q23" s="238">
        <v>5.76</v>
      </c>
      <c r="R23" s="238">
        <v>5.77</v>
      </c>
      <c r="S23" s="238">
        <v>5.8</v>
      </c>
      <c r="T23" s="238">
        <v>5.95</v>
      </c>
      <c r="V23" s="161"/>
      <c r="W23" s="161"/>
      <c r="X23" s="161"/>
    </row>
    <row r="24" spans="1:24" ht="13.25" customHeight="1">
      <c r="A24" s="83"/>
      <c r="B24" s="23" t="s">
        <v>40</v>
      </c>
      <c r="C24" s="238">
        <v>3.56</v>
      </c>
      <c r="D24" s="238">
        <v>3.54</v>
      </c>
      <c r="E24" s="238">
        <v>3.61</v>
      </c>
      <c r="F24" s="238">
        <v>3.78</v>
      </c>
      <c r="G24" s="238">
        <v>4.04</v>
      </c>
      <c r="H24" s="238">
        <v>3.85</v>
      </c>
      <c r="I24" s="238">
        <v>4.3899999999999997</v>
      </c>
      <c r="J24" s="238">
        <v>5.16</v>
      </c>
      <c r="K24" s="238">
        <v>5.32</v>
      </c>
      <c r="L24" s="238">
        <v>5.27</v>
      </c>
      <c r="M24" s="238">
        <v>5.49</v>
      </c>
      <c r="N24" s="238">
        <v>5.29</v>
      </c>
      <c r="O24" s="238">
        <v>5.49</v>
      </c>
      <c r="P24" s="238">
        <v>5.65</v>
      </c>
      <c r="Q24" s="238">
        <v>5.67</v>
      </c>
      <c r="R24" s="238">
        <v>5.5</v>
      </c>
      <c r="S24" s="238">
        <v>5.45</v>
      </c>
      <c r="T24" s="238">
        <v>5.47</v>
      </c>
      <c r="V24" s="161"/>
      <c r="W24" s="161"/>
      <c r="X24" s="161"/>
    </row>
    <row r="25" spans="1:24" ht="13.25" customHeight="1">
      <c r="A25" s="83"/>
      <c r="B25" s="23" t="s">
        <v>41</v>
      </c>
      <c r="C25" s="238">
        <v>3.49</v>
      </c>
      <c r="D25" s="238">
        <v>3.5</v>
      </c>
      <c r="E25" s="238">
        <v>3.65</v>
      </c>
      <c r="F25" s="238">
        <v>3.41</v>
      </c>
      <c r="G25" s="238">
        <v>3.48</v>
      </c>
      <c r="H25" s="238">
        <v>3.58</v>
      </c>
      <c r="I25" s="238">
        <v>4.0999999999999996</v>
      </c>
      <c r="J25" s="238">
        <v>5.05</v>
      </c>
      <c r="K25" s="238">
        <v>4.8899999999999997</v>
      </c>
      <c r="L25" s="238">
        <v>5.31</v>
      </c>
      <c r="M25" s="238">
        <v>5.23</v>
      </c>
      <c r="N25" s="238">
        <v>5.08</v>
      </c>
      <c r="O25" s="238">
        <v>5.0599999999999996</v>
      </c>
      <c r="P25" s="238">
        <v>5.24</v>
      </c>
      <c r="Q25" s="238">
        <v>5.17</v>
      </c>
      <c r="R25" s="238">
        <v>5.17</v>
      </c>
      <c r="S25" s="238">
        <v>5.15</v>
      </c>
      <c r="T25" s="238">
        <v>5.17</v>
      </c>
      <c r="V25" s="161"/>
      <c r="W25" s="161"/>
      <c r="X25" s="161"/>
    </row>
    <row r="26" spans="1:24" ht="13.25" customHeight="1">
      <c r="A26" s="83"/>
      <c r="B26" s="23" t="s">
        <v>44</v>
      </c>
      <c r="C26" s="238">
        <v>3.45</v>
      </c>
      <c r="D26" s="238">
        <v>3.5</v>
      </c>
      <c r="E26" s="238">
        <v>3.57</v>
      </c>
      <c r="F26" s="238">
        <v>3.86</v>
      </c>
      <c r="G26" s="238">
        <v>4.1399999999999997</v>
      </c>
      <c r="H26" s="238">
        <v>4.1500000000000004</v>
      </c>
      <c r="I26" s="238">
        <v>4.3899999999999997</v>
      </c>
      <c r="J26" s="238">
        <v>4.6399999999999997</v>
      </c>
      <c r="K26" s="238">
        <v>4.8600000000000003</v>
      </c>
      <c r="L26" s="238">
        <v>5.07</v>
      </c>
      <c r="M26" s="238">
        <v>5.31</v>
      </c>
      <c r="N26" s="238">
        <v>5.49</v>
      </c>
      <c r="O26" s="238">
        <v>5.6</v>
      </c>
      <c r="P26" s="238">
        <v>5.77</v>
      </c>
      <c r="Q26" s="238">
        <v>5.88</v>
      </c>
      <c r="R26" s="238">
        <v>5.94</v>
      </c>
      <c r="S26" s="238">
        <v>5.99</v>
      </c>
      <c r="T26" s="238">
        <v>6.15</v>
      </c>
      <c r="V26" s="161"/>
      <c r="W26" s="161"/>
      <c r="X26" s="161"/>
    </row>
    <row r="27" spans="1:24" ht="13.25" customHeight="1">
      <c r="A27" s="83"/>
      <c r="B27" s="23" t="s">
        <v>45</v>
      </c>
      <c r="C27" s="238">
        <v>2.82</v>
      </c>
      <c r="D27" s="238">
        <v>2.86</v>
      </c>
      <c r="E27" s="238">
        <v>3.18</v>
      </c>
      <c r="F27" s="238">
        <v>3.62</v>
      </c>
      <c r="G27" s="238">
        <v>4.0599999999999996</v>
      </c>
      <c r="H27" s="238">
        <v>4.67</v>
      </c>
      <c r="I27" s="238">
        <v>4.07</v>
      </c>
      <c r="J27" s="238">
        <v>4.53</v>
      </c>
      <c r="K27" s="238">
        <v>4.49</v>
      </c>
      <c r="L27" s="238">
        <v>6.22</v>
      </c>
      <c r="M27" s="238">
        <v>5.8</v>
      </c>
      <c r="N27" s="238">
        <v>6.28</v>
      </c>
      <c r="O27" s="238">
        <v>5.4</v>
      </c>
      <c r="P27" s="238">
        <v>5.65</v>
      </c>
      <c r="Q27" s="238">
        <v>5.84</v>
      </c>
      <c r="R27" s="238">
        <v>5.81</v>
      </c>
      <c r="S27" s="238">
        <v>5.74</v>
      </c>
      <c r="T27" s="238">
        <v>5.84</v>
      </c>
      <c r="V27" s="161"/>
      <c r="W27" s="161"/>
      <c r="X27" s="161"/>
    </row>
    <row r="28" spans="1:24" ht="13.25" customHeight="1">
      <c r="A28" s="83"/>
      <c r="B28" s="82" t="s">
        <v>46</v>
      </c>
      <c r="C28" s="238">
        <v>2.88</v>
      </c>
      <c r="D28" s="238">
        <v>2.93</v>
      </c>
      <c r="E28" s="238">
        <v>3.19</v>
      </c>
      <c r="F28" s="238">
        <v>3.68</v>
      </c>
      <c r="G28" s="238">
        <v>4.16</v>
      </c>
      <c r="H28" s="238">
        <v>3.63</v>
      </c>
      <c r="I28" s="238">
        <v>5.8</v>
      </c>
      <c r="J28" s="238">
        <v>5.95</v>
      </c>
      <c r="K28" s="238">
        <v>6.04</v>
      </c>
      <c r="L28" s="238">
        <v>5.93</v>
      </c>
      <c r="M28" s="238">
        <v>5.46</v>
      </c>
      <c r="N28" s="238">
        <v>5.95</v>
      </c>
      <c r="O28" s="238">
        <v>5.63</v>
      </c>
      <c r="P28" s="238">
        <v>5.62</v>
      </c>
      <c r="Q28" s="238">
        <v>5.57</v>
      </c>
      <c r="R28" s="238">
        <v>5.57</v>
      </c>
      <c r="S28" s="238">
        <v>5.74</v>
      </c>
      <c r="T28" s="238">
        <v>5.89</v>
      </c>
      <c r="V28" s="161"/>
      <c r="W28" s="161"/>
      <c r="X28" s="161"/>
    </row>
    <row r="29" spans="1:24" ht="13.25" customHeight="1">
      <c r="A29" s="83"/>
      <c r="B29" s="23" t="s">
        <v>47</v>
      </c>
      <c r="C29" s="238">
        <v>3.55</v>
      </c>
      <c r="D29" s="238">
        <v>3.42</v>
      </c>
      <c r="E29" s="238">
        <v>3.67</v>
      </c>
      <c r="F29" s="238">
        <v>3.93</v>
      </c>
      <c r="G29" s="238">
        <v>4.3899999999999997</v>
      </c>
      <c r="H29" s="238">
        <v>4.51</v>
      </c>
      <c r="I29" s="238">
        <v>4.6500000000000004</v>
      </c>
      <c r="J29" s="238">
        <v>5.25</v>
      </c>
      <c r="K29" s="238">
        <v>5.45</v>
      </c>
      <c r="L29" s="238">
        <v>6.29</v>
      </c>
      <c r="M29" s="238">
        <v>6.63</v>
      </c>
      <c r="N29" s="238">
        <v>6.03</v>
      </c>
      <c r="O29" s="238">
        <v>5.32</v>
      </c>
      <c r="P29" s="238">
        <v>5.51</v>
      </c>
      <c r="Q29" s="238">
        <v>5.76</v>
      </c>
      <c r="R29" s="238">
        <v>5.87</v>
      </c>
      <c r="S29" s="238">
        <v>5.86</v>
      </c>
      <c r="T29" s="238">
        <v>5.97</v>
      </c>
      <c r="V29" s="161"/>
      <c r="W29" s="161"/>
      <c r="X29" s="161"/>
    </row>
    <row r="30" spans="1:24" ht="13.25" customHeight="1">
      <c r="A30" s="83"/>
      <c r="B30" s="23" t="s">
        <v>48</v>
      </c>
      <c r="C30" s="238">
        <v>2.94</v>
      </c>
      <c r="D30" s="238">
        <v>2.89</v>
      </c>
      <c r="E30" s="238">
        <v>3.44</v>
      </c>
      <c r="F30" s="238">
        <v>3.92</v>
      </c>
      <c r="G30" s="238">
        <v>4.26</v>
      </c>
      <c r="H30" s="238">
        <v>4.8499999999999996</v>
      </c>
      <c r="I30" s="238">
        <v>5.12</v>
      </c>
      <c r="J30" s="238">
        <v>5.47</v>
      </c>
      <c r="K30" s="238">
        <v>5.65</v>
      </c>
      <c r="L30" s="238">
        <v>5.83</v>
      </c>
      <c r="M30" s="238">
        <v>5.87</v>
      </c>
      <c r="N30" s="238">
        <v>6.08</v>
      </c>
      <c r="O30" s="238">
        <v>5.54</v>
      </c>
      <c r="P30" s="238">
        <v>5.35</v>
      </c>
      <c r="Q30" s="238">
        <v>5.43</v>
      </c>
      <c r="R30" s="238">
        <v>5.56</v>
      </c>
      <c r="S30" s="238">
        <v>5.64</v>
      </c>
      <c r="T30" s="238">
        <v>5.75</v>
      </c>
      <c r="V30" s="161"/>
      <c r="W30" s="161"/>
      <c r="X30" s="161"/>
    </row>
    <row r="31" spans="1:24" ht="13.25" customHeight="1" thickBot="1">
      <c r="A31" s="88"/>
      <c r="B31" s="577" t="s">
        <v>49</v>
      </c>
      <c r="C31" s="576">
        <v>3.28</v>
      </c>
      <c r="D31" s="576">
        <v>3.1</v>
      </c>
      <c r="E31" s="576">
        <v>3.25</v>
      </c>
      <c r="F31" s="576">
        <v>3.42</v>
      </c>
      <c r="G31" s="576">
        <v>3.93</v>
      </c>
      <c r="H31" s="576">
        <v>4.43</v>
      </c>
      <c r="I31" s="576">
        <v>4.8099999999999996</v>
      </c>
      <c r="J31" s="576">
        <v>4.25</v>
      </c>
      <c r="K31" s="576">
        <v>4.21</v>
      </c>
      <c r="L31" s="576">
        <v>5.2</v>
      </c>
      <c r="M31" s="576">
        <v>4.46</v>
      </c>
      <c r="N31" s="576">
        <v>4.57</v>
      </c>
      <c r="O31" s="576">
        <v>5.61</v>
      </c>
      <c r="P31" s="576">
        <v>5.52</v>
      </c>
      <c r="Q31" s="576">
        <v>5.57</v>
      </c>
      <c r="R31" s="576">
        <v>5.6</v>
      </c>
      <c r="S31" s="576">
        <v>5.65</v>
      </c>
      <c r="T31" s="576">
        <v>5.76</v>
      </c>
      <c r="V31" s="161"/>
      <c r="W31" s="161"/>
      <c r="X31" s="161"/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927" t="s">
        <v>559</v>
      </c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theme="9" tint="0.59999389629810485"/>
  </sheetPr>
  <dimension ref="A2:Y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3984375" style="82" customWidth="1"/>
    <col min="22" max="16384" width="7" style="82"/>
  </cols>
  <sheetData>
    <row r="2" spans="1:25" ht="13.25" customHeight="1">
      <c r="A2" s="230" t="s">
        <v>492</v>
      </c>
      <c r="B2" s="231"/>
    </row>
    <row r="3" spans="1:25" ht="13.25" customHeight="1">
      <c r="A3" s="232"/>
      <c r="B3" s="232" t="s">
        <v>229</v>
      </c>
    </row>
    <row r="4" spans="1:25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5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5" ht="15" customHeight="1">
      <c r="A6" s="963" t="s">
        <v>96</v>
      </c>
      <c r="B6" s="963"/>
      <c r="C6" s="574">
        <f t="shared" ref="C6:N6" si="0">(C8+C9+C10+C11+C12+C13+C14+C15+C16+C17+C18+C19+C20+C21+C22+C23+C24+C25+C26+C27+C28+C29+C30+C31)</f>
        <v>708119</v>
      </c>
      <c r="D6" s="574">
        <f t="shared" si="0"/>
        <v>743672</v>
      </c>
      <c r="E6" s="574">
        <f t="shared" si="0"/>
        <v>753192</v>
      </c>
      <c r="F6" s="574">
        <f t="shared" si="0"/>
        <v>769582</v>
      </c>
      <c r="G6" s="574">
        <f t="shared" si="0"/>
        <v>787010</v>
      </c>
      <c r="H6" s="574">
        <f t="shared" si="0"/>
        <v>787601</v>
      </c>
      <c r="I6" s="574">
        <f t="shared" si="0"/>
        <v>815395</v>
      </c>
      <c r="J6" s="574">
        <f t="shared" si="0"/>
        <v>859630</v>
      </c>
      <c r="K6" s="574">
        <f t="shared" si="0"/>
        <v>859465</v>
      </c>
      <c r="L6" s="574">
        <f t="shared" si="0"/>
        <v>874940</v>
      </c>
      <c r="M6" s="574">
        <f t="shared" si="0"/>
        <v>886143</v>
      </c>
      <c r="N6" s="574">
        <f t="shared" si="0"/>
        <v>895718</v>
      </c>
      <c r="O6" s="574">
        <f t="shared" ref="O6:T6" si="1">(O8+O9+O10+O11+O12+O13+O14+O15+O16+O17+O18+O19+O20+O21+O22+O23+O24+O25+O26+O27+O28+O29+O30+O31)</f>
        <v>890155</v>
      </c>
      <c r="P6" s="574">
        <f t="shared" si="1"/>
        <v>896708</v>
      </c>
      <c r="Q6" s="574">
        <f t="shared" si="1"/>
        <v>905817.70000000019</v>
      </c>
      <c r="R6" s="574">
        <f t="shared" si="1"/>
        <v>906688.79999999981</v>
      </c>
      <c r="S6" s="574">
        <f t="shared" si="1"/>
        <v>932744.60000000009</v>
      </c>
      <c r="T6" s="574">
        <f t="shared" si="1"/>
        <v>945549.39999999979</v>
      </c>
    </row>
    <row r="7" spans="1:25" ht="3" customHeight="1">
      <c r="A7" s="83"/>
      <c r="B7" s="84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5" ht="13.25" customHeight="1">
      <c r="A8" s="83"/>
      <c r="B8" s="23" t="s">
        <v>21</v>
      </c>
      <c r="C8" s="222">
        <v>205</v>
      </c>
      <c r="D8" s="222">
        <v>274</v>
      </c>
      <c r="E8" s="222">
        <v>312</v>
      </c>
      <c r="F8" s="222">
        <v>386</v>
      </c>
      <c r="G8" s="222">
        <v>468</v>
      </c>
      <c r="H8" s="222">
        <v>503</v>
      </c>
      <c r="I8" s="222">
        <v>513</v>
      </c>
      <c r="J8" s="222">
        <v>548</v>
      </c>
      <c r="K8" s="222">
        <v>618</v>
      </c>
      <c r="L8" s="222">
        <v>638</v>
      </c>
      <c r="M8" s="174">
        <v>607</v>
      </c>
      <c r="N8" s="174">
        <v>422</v>
      </c>
      <c r="O8" s="174">
        <v>389</v>
      </c>
      <c r="P8" s="174">
        <v>373</v>
      </c>
      <c r="Q8" s="174">
        <v>361.5</v>
      </c>
      <c r="R8" s="174">
        <v>310.5</v>
      </c>
      <c r="S8" s="174">
        <v>299.8</v>
      </c>
      <c r="T8" s="174">
        <v>334.7</v>
      </c>
      <c r="V8" s="930"/>
      <c r="W8" s="930"/>
      <c r="X8" s="930"/>
      <c r="Y8" s="930"/>
    </row>
    <row r="9" spans="1:25" ht="13.25" customHeight="1">
      <c r="A9" s="83"/>
      <c r="B9" s="23" t="s">
        <v>22</v>
      </c>
      <c r="C9" s="222">
        <v>30800</v>
      </c>
      <c r="D9" s="222">
        <v>35139</v>
      </c>
      <c r="E9" s="222">
        <v>34728</v>
      </c>
      <c r="F9" s="222">
        <v>33772</v>
      </c>
      <c r="G9" s="222">
        <v>34191</v>
      </c>
      <c r="H9" s="222">
        <v>30208</v>
      </c>
      <c r="I9" s="222">
        <v>35419</v>
      </c>
      <c r="J9" s="222">
        <v>38995</v>
      </c>
      <c r="K9" s="222">
        <v>34915</v>
      </c>
      <c r="L9" s="222">
        <v>34685</v>
      </c>
      <c r="M9" s="174">
        <v>31861</v>
      </c>
      <c r="N9" s="174">
        <v>30915</v>
      </c>
      <c r="O9" s="174">
        <v>24275</v>
      </c>
      <c r="P9" s="174">
        <v>23642</v>
      </c>
      <c r="Q9" s="174">
        <v>24072.1</v>
      </c>
      <c r="R9" s="174">
        <v>24007.7</v>
      </c>
      <c r="S9" s="174">
        <v>24341</v>
      </c>
      <c r="T9" s="174">
        <v>24773.599999999999</v>
      </c>
      <c r="V9" s="930"/>
      <c r="W9" s="930"/>
      <c r="X9" s="930"/>
      <c r="Y9" s="930"/>
    </row>
    <row r="10" spans="1:25" ht="13.25" customHeight="1">
      <c r="A10" s="83"/>
      <c r="B10" s="23" t="s">
        <v>23</v>
      </c>
      <c r="C10" s="222">
        <v>11495</v>
      </c>
      <c r="D10" s="222">
        <v>13733</v>
      </c>
      <c r="E10" s="222">
        <v>11917</v>
      </c>
      <c r="F10" s="222">
        <v>12100</v>
      </c>
      <c r="G10" s="222">
        <v>12432</v>
      </c>
      <c r="H10" s="222">
        <v>13419</v>
      </c>
      <c r="I10" s="222">
        <v>15349</v>
      </c>
      <c r="J10" s="222">
        <v>16016</v>
      </c>
      <c r="K10" s="222">
        <v>15929</v>
      </c>
      <c r="L10" s="222">
        <v>18394</v>
      </c>
      <c r="M10" s="222">
        <v>18602</v>
      </c>
      <c r="N10" s="222">
        <v>20306</v>
      </c>
      <c r="O10" s="222">
        <v>18913</v>
      </c>
      <c r="P10" s="222">
        <v>18456</v>
      </c>
      <c r="Q10" s="222">
        <v>17837.2</v>
      </c>
      <c r="R10" s="222">
        <v>17819.7</v>
      </c>
      <c r="S10" s="222">
        <v>18100.900000000001</v>
      </c>
      <c r="T10" s="222">
        <v>18212.7</v>
      </c>
      <c r="V10" s="930"/>
      <c r="W10" s="930"/>
      <c r="X10" s="930"/>
      <c r="Y10" s="930"/>
    </row>
    <row r="11" spans="1:25" ht="13.25" customHeight="1">
      <c r="A11" s="83"/>
      <c r="B11" s="23" t="s">
        <v>24</v>
      </c>
      <c r="C11" s="222">
        <v>31910</v>
      </c>
      <c r="D11" s="222">
        <v>33386</v>
      </c>
      <c r="E11" s="222">
        <v>34127</v>
      </c>
      <c r="F11" s="222">
        <v>34893</v>
      </c>
      <c r="G11" s="222">
        <v>35121</v>
      </c>
      <c r="H11" s="222">
        <v>35989</v>
      </c>
      <c r="I11" s="222">
        <v>37489</v>
      </c>
      <c r="J11" s="222">
        <v>38090</v>
      </c>
      <c r="K11" s="222">
        <v>38786</v>
      </c>
      <c r="L11" s="222">
        <v>39057</v>
      </c>
      <c r="M11" s="174">
        <v>41974</v>
      </c>
      <c r="N11" s="174">
        <v>43042</v>
      </c>
      <c r="O11" s="174">
        <v>44082</v>
      </c>
      <c r="P11" s="174">
        <v>45118</v>
      </c>
      <c r="Q11" s="174">
        <v>48823.3</v>
      </c>
      <c r="R11" s="174">
        <v>49775</v>
      </c>
      <c r="S11" s="174">
        <v>52129.3</v>
      </c>
      <c r="T11" s="174">
        <v>57217</v>
      </c>
      <c r="V11" s="930"/>
      <c r="W11" s="930"/>
      <c r="X11" s="930"/>
      <c r="Y11" s="930"/>
    </row>
    <row r="12" spans="1:25" ht="13.25" customHeight="1">
      <c r="A12" s="83"/>
      <c r="B12" s="23" t="s">
        <v>25</v>
      </c>
      <c r="C12" s="222">
        <v>110070</v>
      </c>
      <c r="D12" s="222">
        <v>111986</v>
      </c>
      <c r="E12" s="222">
        <v>122855</v>
      </c>
      <c r="F12" s="222">
        <v>123702</v>
      </c>
      <c r="G12" s="222">
        <v>133538</v>
      </c>
      <c r="H12" s="222">
        <v>131082</v>
      </c>
      <c r="I12" s="222">
        <v>136630</v>
      </c>
      <c r="J12" s="222">
        <v>140044</v>
      </c>
      <c r="K12" s="222">
        <v>142803</v>
      </c>
      <c r="L12" s="222">
        <v>146401</v>
      </c>
      <c r="M12" s="174">
        <v>152976</v>
      </c>
      <c r="N12" s="174">
        <v>159826</v>
      </c>
      <c r="O12" s="174">
        <v>162289</v>
      </c>
      <c r="P12" s="174">
        <v>162487</v>
      </c>
      <c r="Q12" s="174">
        <v>164222.1</v>
      </c>
      <c r="R12" s="174">
        <v>164025.29999999999</v>
      </c>
      <c r="S12" s="174">
        <v>169643.5</v>
      </c>
      <c r="T12" s="174">
        <v>173516.6</v>
      </c>
      <c r="V12" s="930"/>
      <c r="W12" s="930"/>
      <c r="X12" s="930"/>
      <c r="Y12" s="930"/>
    </row>
    <row r="13" spans="1:25" ht="13.25" customHeight="1">
      <c r="A13" s="83"/>
      <c r="B13" s="23" t="s">
        <v>29</v>
      </c>
      <c r="C13" s="222">
        <v>57182</v>
      </c>
      <c r="D13" s="222">
        <v>55010</v>
      </c>
      <c r="E13" s="222">
        <v>54898</v>
      </c>
      <c r="F13" s="222">
        <v>58893</v>
      </c>
      <c r="G13" s="222">
        <v>59729</v>
      </c>
      <c r="H13" s="222">
        <v>60701</v>
      </c>
      <c r="I13" s="222">
        <v>59696</v>
      </c>
      <c r="J13" s="222">
        <v>60572</v>
      </c>
      <c r="K13" s="222">
        <v>63081</v>
      </c>
      <c r="L13" s="222">
        <v>64800</v>
      </c>
      <c r="M13" s="222">
        <v>67566</v>
      </c>
      <c r="N13" s="222">
        <v>71212</v>
      </c>
      <c r="O13" s="222">
        <v>74885</v>
      </c>
      <c r="P13" s="222">
        <v>78673</v>
      </c>
      <c r="Q13" s="222">
        <v>79622.7</v>
      </c>
      <c r="R13" s="222">
        <v>79621.8</v>
      </c>
      <c r="S13" s="222">
        <v>80864.3</v>
      </c>
      <c r="T13" s="222">
        <v>82253.600000000006</v>
      </c>
      <c r="V13" s="930"/>
      <c r="W13" s="930"/>
      <c r="X13" s="930"/>
      <c r="Y13" s="930"/>
    </row>
    <row r="14" spans="1:25" ht="13.25" customHeight="1">
      <c r="A14" s="83"/>
      <c r="B14" s="23" t="s">
        <v>30</v>
      </c>
      <c r="C14" s="222">
        <v>15138</v>
      </c>
      <c r="D14" s="222">
        <v>15084</v>
      </c>
      <c r="E14" s="222">
        <v>15428</v>
      </c>
      <c r="F14" s="222">
        <v>15207</v>
      </c>
      <c r="G14" s="222">
        <v>14076</v>
      </c>
      <c r="H14" s="222">
        <v>14449</v>
      </c>
      <c r="I14" s="222">
        <v>14358</v>
      </c>
      <c r="J14" s="222">
        <v>14592</v>
      </c>
      <c r="K14" s="222">
        <v>13862</v>
      </c>
      <c r="L14" s="222">
        <v>14497</v>
      </c>
      <c r="M14" s="174">
        <v>12680</v>
      </c>
      <c r="N14" s="174">
        <v>13073</v>
      </c>
      <c r="O14" s="174">
        <v>13463</v>
      </c>
      <c r="P14" s="174">
        <v>14783</v>
      </c>
      <c r="Q14" s="174">
        <v>14846.7</v>
      </c>
      <c r="R14" s="174">
        <v>14894.1</v>
      </c>
      <c r="S14" s="174">
        <v>16461.5</v>
      </c>
      <c r="T14" s="174">
        <v>18406</v>
      </c>
      <c r="V14" s="930"/>
      <c r="W14" s="930"/>
      <c r="X14" s="930"/>
      <c r="Y14" s="930"/>
    </row>
    <row r="15" spans="1:25" ht="13.25" customHeight="1">
      <c r="A15" s="83"/>
      <c r="B15" s="23" t="s">
        <v>31</v>
      </c>
      <c r="C15" s="222">
        <v>72396</v>
      </c>
      <c r="D15" s="222">
        <v>73854</v>
      </c>
      <c r="E15" s="222">
        <v>74318</v>
      </c>
      <c r="F15" s="222">
        <v>73291</v>
      </c>
      <c r="G15" s="222">
        <v>74109</v>
      </c>
      <c r="H15" s="222">
        <v>75086</v>
      </c>
      <c r="I15" s="222">
        <v>75684</v>
      </c>
      <c r="J15" s="222">
        <v>75347</v>
      </c>
      <c r="K15" s="222">
        <v>75768</v>
      </c>
      <c r="L15" s="222">
        <v>78501</v>
      </c>
      <c r="M15" s="174">
        <v>79149</v>
      </c>
      <c r="N15" s="174">
        <v>77763</v>
      </c>
      <c r="O15" s="174">
        <v>76070</v>
      </c>
      <c r="P15" s="174">
        <v>74764</v>
      </c>
      <c r="Q15" s="174">
        <v>71091.600000000006</v>
      </c>
      <c r="R15" s="174">
        <v>71842.3</v>
      </c>
      <c r="S15" s="174">
        <v>74209</v>
      </c>
      <c r="T15" s="174">
        <v>72827.5</v>
      </c>
      <c r="V15" s="930"/>
      <c r="W15" s="930"/>
      <c r="X15" s="930"/>
      <c r="Y15" s="930"/>
    </row>
    <row r="16" spans="1:25" ht="13.25" customHeight="1">
      <c r="A16" s="83"/>
      <c r="B16" s="23" t="s">
        <v>32</v>
      </c>
      <c r="C16" s="222">
        <v>6635</v>
      </c>
      <c r="D16" s="222">
        <v>6646</v>
      </c>
      <c r="E16" s="222">
        <v>6730</v>
      </c>
      <c r="F16" s="222">
        <v>7086</v>
      </c>
      <c r="G16" s="222">
        <v>7588</v>
      </c>
      <c r="H16" s="222">
        <v>7724</v>
      </c>
      <c r="I16" s="222">
        <v>7811</v>
      </c>
      <c r="J16" s="222">
        <v>8270</v>
      </c>
      <c r="K16" s="222">
        <v>8929</v>
      </c>
      <c r="L16" s="222">
        <v>9578</v>
      </c>
      <c r="M16" s="222">
        <v>9480</v>
      </c>
      <c r="N16" s="222">
        <v>10349</v>
      </c>
      <c r="O16" s="222">
        <v>11507</v>
      </c>
      <c r="P16" s="222">
        <v>11962</v>
      </c>
      <c r="Q16" s="222">
        <v>12537.2</v>
      </c>
      <c r="R16" s="222">
        <v>14028.1</v>
      </c>
      <c r="S16" s="222">
        <v>15390.1</v>
      </c>
      <c r="T16" s="222">
        <v>15845.8</v>
      </c>
      <c r="V16" s="930"/>
      <c r="W16" s="930"/>
      <c r="X16" s="930"/>
      <c r="Y16" s="930"/>
    </row>
    <row r="17" spans="1:25" ht="13.25" customHeight="1">
      <c r="A17" s="83"/>
      <c r="B17" s="23" t="s">
        <v>33</v>
      </c>
      <c r="C17" s="222">
        <v>25270</v>
      </c>
      <c r="D17" s="222">
        <v>28936</v>
      </c>
      <c r="E17" s="222">
        <v>29011</v>
      </c>
      <c r="F17" s="222">
        <v>30504</v>
      </c>
      <c r="G17" s="222">
        <v>32688</v>
      </c>
      <c r="H17" s="222">
        <v>33823</v>
      </c>
      <c r="I17" s="222">
        <v>32902</v>
      </c>
      <c r="J17" s="222">
        <v>31689</v>
      </c>
      <c r="K17" s="222">
        <v>29252</v>
      </c>
      <c r="L17" s="222">
        <v>28250</v>
      </c>
      <c r="M17" s="174">
        <v>31466</v>
      </c>
      <c r="N17" s="174">
        <v>31905</v>
      </c>
      <c r="O17" s="174">
        <v>32349</v>
      </c>
      <c r="P17" s="174">
        <v>32464</v>
      </c>
      <c r="Q17" s="174">
        <v>34915.599999999999</v>
      </c>
      <c r="R17" s="174">
        <v>37713.4</v>
      </c>
      <c r="S17" s="174">
        <v>39351.800000000003</v>
      </c>
      <c r="T17" s="174">
        <v>40990.5</v>
      </c>
      <c r="V17" s="930"/>
      <c r="W17" s="930"/>
      <c r="X17" s="930"/>
      <c r="Y17" s="930"/>
    </row>
    <row r="18" spans="1:25" ht="13.25" customHeight="1">
      <c r="A18" s="83"/>
      <c r="B18" s="23" t="s">
        <v>34</v>
      </c>
      <c r="C18" s="222">
        <v>21448</v>
      </c>
      <c r="D18" s="222">
        <v>28867</v>
      </c>
      <c r="E18" s="222">
        <v>28841</v>
      </c>
      <c r="F18" s="222">
        <v>24494</v>
      </c>
      <c r="G18" s="222">
        <v>25378</v>
      </c>
      <c r="H18" s="222">
        <v>25471</v>
      </c>
      <c r="I18" s="222">
        <v>24424</v>
      </c>
      <c r="J18" s="222">
        <v>25984</v>
      </c>
      <c r="K18" s="222">
        <v>25040</v>
      </c>
      <c r="L18" s="222">
        <v>24350</v>
      </c>
      <c r="M18" s="174">
        <v>26278</v>
      </c>
      <c r="N18" s="174">
        <v>26348</v>
      </c>
      <c r="O18" s="174">
        <v>28427</v>
      </c>
      <c r="P18" s="174">
        <v>29170</v>
      </c>
      <c r="Q18" s="174">
        <v>29614.2</v>
      </c>
      <c r="R18" s="174">
        <v>29894</v>
      </c>
      <c r="S18" s="174">
        <v>30414.5</v>
      </c>
      <c r="T18" s="174">
        <v>30993.9</v>
      </c>
      <c r="V18" s="930"/>
      <c r="W18" s="930"/>
      <c r="X18" s="930"/>
      <c r="Y18" s="930"/>
    </row>
    <row r="19" spans="1:25" ht="13.25" customHeight="1">
      <c r="A19" s="83"/>
      <c r="B19" s="23" t="s">
        <v>35</v>
      </c>
      <c r="C19" s="222">
        <v>23080</v>
      </c>
      <c r="D19" s="222">
        <v>23360</v>
      </c>
      <c r="E19" s="222">
        <v>22937</v>
      </c>
      <c r="F19" s="222">
        <v>23588</v>
      </c>
      <c r="G19" s="222">
        <v>22699</v>
      </c>
      <c r="H19" s="222">
        <v>22013</v>
      </c>
      <c r="I19" s="222">
        <v>28327</v>
      </c>
      <c r="J19" s="222">
        <v>29927</v>
      </c>
      <c r="K19" s="222">
        <v>30607</v>
      </c>
      <c r="L19" s="222">
        <v>31721</v>
      </c>
      <c r="M19" s="174">
        <v>32903</v>
      </c>
      <c r="N19" s="174">
        <v>36691</v>
      </c>
      <c r="O19" s="174">
        <v>37386</v>
      </c>
      <c r="P19" s="174">
        <v>38296</v>
      </c>
      <c r="Q19" s="174">
        <v>40669.5</v>
      </c>
      <c r="R19" s="174">
        <v>41323.9</v>
      </c>
      <c r="S19" s="174">
        <v>41667.300000000003</v>
      </c>
      <c r="T19" s="174">
        <v>42039.199999999997</v>
      </c>
      <c r="V19" s="930"/>
      <c r="W19" s="930"/>
      <c r="X19" s="930"/>
      <c r="Y19" s="930"/>
    </row>
    <row r="20" spans="1:25" ht="13.25" customHeight="1">
      <c r="A20" s="83"/>
      <c r="B20" s="23" t="s">
        <v>36</v>
      </c>
      <c r="C20" s="222">
        <v>14683</v>
      </c>
      <c r="D20" s="222">
        <v>16772</v>
      </c>
      <c r="E20" s="222">
        <v>16696</v>
      </c>
      <c r="F20" s="222">
        <v>13553</v>
      </c>
      <c r="G20" s="222">
        <v>12204</v>
      </c>
      <c r="H20" s="222">
        <v>13750</v>
      </c>
      <c r="I20" s="222">
        <v>16366</v>
      </c>
      <c r="J20" s="222">
        <v>18523</v>
      </c>
      <c r="K20" s="222">
        <v>20593</v>
      </c>
      <c r="L20" s="222">
        <v>20205</v>
      </c>
      <c r="M20" s="174">
        <v>19884</v>
      </c>
      <c r="N20" s="174">
        <v>16134</v>
      </c>
      <c r="O20" s="174">
        <v>12803</v>
      </c>
      <c r="P20" s="174">
        <v>12755</v>
      </c>
      <c r="Q20" s="174">
        <v>12119.8</v>
      </c>
      <c r="R20" s="174">
        <v>12125</v>
      </c>
      <c r="S20" s="174">
        <v>12360.9</v>
      </c>
      <c r="T20" s="174">
        <v>12893.5</v>
      </c>
      <c r="V20" s="930"/>
      <c r="W20" s="930"/>
      <c r="X20" s="930"/>
      <c r="Y20" s="930"/>
    </row>
    <row r="21" spans="1:25" ht="13.25" customHeight="1">
      <c r="A21" s="83"/>
      <c r="B21" s="23" t="s">
        <v>37</v>
      </c>
      <c r="C21" s="222">
        <v>84419</v>
      </c>
      <c r="D21" s="222">
        <v>85869</v>
      </c>
      <c r="E21" s="222">
        <v>79079</v>
      </c>
      <c r="F21" s="222">
        <v>78782</v>
      </c>
      <c r="G21" s="222">
        <v>79665</v>
      </c>
      <c r="H21" s="222">
        <v>69701</v>
      </c>
      <c r="I21" s="222">
        <v>69147</v>
      </c>
      <c r="J21" s="222">
        <v>80214</v>
      </c>
      <c r="K21" s="222">
        <v>73334</v>
      </c>
      <c r="L21" s="222">
        <v>75738</v>
      </c>
      <c r="M21" s="174">
        <v>76215</v>
      </c>
      <c r="N21" s="174">
        <v>74287</v>
      </c>
      <c r="O21" s="174">
        <v>75027</v>
      </c>
      <c r="P21" s="174">
        <v>75377</v>
      </c>
      <c r="Q21" s="174">
        <v>75737.399999999994</v>
      </c>
      <c r="R21" s="174">
        <v>75698.600000000006</v>
      </c>
      <c r="S21" s="174">
        <v>75901.3</v>
      </c>
      <c r="T21" s="174">
        <v>75148.600000000006</v>
      </c>
      <c r="V21" s="930"/>
      <c r="W21" s="930"/>
      <c r="X21" s="930"/>
      <c r="Y21" s="930"/>
    </row>
    <row r="22" spans="1:25" ht="13.25" customHeight="1">
      <c r="A22" s="83"/>
      <c r="B22" s="23" t="s">
        <v>38</v>
      </c>
      <c r="C22" s="222">
        <v>6870</v>
      </c>
      <c r="D22" s="222">
        <v>6669</v>
      </c>
      <c r="E22" s="222">
        <v>6181</v>
      </c>
      <c r="F22" s="222">
        <v>5751</v>
      </c>
      <c r="G22" s="222">
        <v>5607</v>
      </c>
      <c r="H22" s="222">
        <v>5608</v>
      </c>
      <c r="I22" s="222">
        <v>5406</v>
      </c>
      <c r="J22" s="222">
        <v>5106</v>
      </c>
      <c r="K22" s="222">
        <v>5294</v>
      </c>
      <c r="L22" s="222">
        <v>5306</v>
      </c>
      <c r="M22" s="174">
        <v>5220</v>
      </c>
      <c r="N22" s="174">
        <v>5302</v>
      </c>
      <c r="O22" s="174">
        <v>5297</v>
      </c>
      <c r="P22" s="174">
        <v>5428</v>
      </c>
      <c r="Q22" s="174">
        <v>5670.8</v>
      </c>
      <c r="R22" s="174">
        <v>5636.5</v>
      </c>
      <c r="S22" s="174">
        <v>5738.4</v>
      </c>
      <c r="T22" s="174">
        <v>5723.7</v>
      </c>
      <c r="V22" s="930"/>
      <c r="W22" s="930"/>
      <c r="X22" s="930"/>
      <c r="Y22" s="930"/>
    </row>
    <row r="23" spans="1:25" ht="13.25" customHeight="1">
      <c r="A23" s="83"/>
      <c r="B23" s="23" t="s">
        <v>39</v>
      </c>
      <c r="C23" s="222">
        <v>7044</v>
      </c>
      <c r="D23" s="222">
        <v>7115</v>
      </c>
      <c r="E23" s="222">
        <v>7516</v>
      </c>
      <c r="F23" s="222">
        <v>7336</v>
      </c>
      <c r="G23" s="222">
        <v>7311</v>
      </c>
      <c r="H23" s="222">
        <v>7154</v>
      </c>
      <c r="I23" s="222">
        <v>7075</v>
      </c>
      <c r="J23" s="222">
        <v>6168</v>
      </c>
      <c r="K23" s="222">
        <v>6027</v>
      </c>
      <c r="L23" s="222">
        <v>6061</v>
      </c>
      <c r="M23" s="174">
        <v>5831</v>
      </c>
      <c r="N23" s="174">
        <v>5702</v>
      </c>
      <c r="O23" s="174">
        <v>5666</v>
      </c>
      <c r="P23" s="174">
        <v>5647</v>
      </c>
      <c r="Q23" s="174">
        <v>5692.3</v>
      </c>
      <c r="R23" s="174">
        <v>5574.2</v>
      </c>
      <c r="S23" s="174">
        <v>5450.6</v>
      </c>
      <c r="T23" s="174">
        <v>5437.1</v>
      </c>
      <c r="V23" s="930"/>
      <c r="W23" s="930"/>
      <c r="X23" s="930"/>
      <c r="Y23" s="930"/>
    </row>
    <row r="24" spans="1:25" ht="13.25" customHeight="1">
      <c r="A24" s="83"/>
      <c r="B24" s="23" t="s">
        <v>40</v>
      </c>
      <c r="C24" s="222">
        <v>25778</v>
      </c>
      <c r="D24" s="222">
        <v>22789</v>
      </c>
      <c r="E24" s="222">
        <v>24300</v>
      </c>
      <c r="F24" s="222">
        <v>24706</v>
      </c>
      <c r="G24" s="222">
        <v>26416</v>
      </c>
      <c r="H24" s="222">
        <v>31807</v>
      </c>
      <c r="I24" s="222">
        <v>33551</v>
      </c>
      <c r="J24" s="222">
        <v>34782</v>
      </c>
      <c r="K24" s="222">
        <v>34138</v>
      </c>
      <c r="L24" s="222">
        <v>34747</v>
      </c>
      <c r="M24" s="174">
        <v>32215</v>
      </c>
      <c r="N24" s="174">
        <v>30053</v>
      </c>
      <c r="O24" s="174">
        <v>29964</v>
      </c>
      <c r="P24" s="174">
        <v>30896</v>
      </c>
      <c r="Q24" s="174">
        <v>33695.4</v>
      </c>
      <c r="R24" s="174">
        <v>28386.3</v>
      </c>
      <c r="S24" s="174">
        <v>31394.5</v>
      </c>
      <c r="T24" s="174">
        <v>28736.7</v>
      </c>
      <c r="V24" s="930"/>
      <c r="W24" s="930"/>
      <c r="X24" s="930"/>
      <c r="Y24" s="930"/>
    </row>
    <row r="25" spans="1:25" ht="13.25" customHeight="1">
      <c r="A25" s="83"/>
      <c r="B25" s="23" t="s">
        <v>41</v>
      </c>
      <c r="C25" s="222">
        <v>36043</v>
      </c>
      <c r="D25" s="222">
        <v>41675</v>
      </c>
      <c r="E25" s="222">
        <v>47110</v>
      </c>
      <c r="F25" s="222">
        <v>48083</v>
      </c>
      <c r="G25" s="222">
        <v>45615</v>
      </c>
      <c r="H25" s="222">
        <v>42573</v>
      </c>
      <c r="I25" s="222">
        <v>34656</v>
      </c>
      <c r="J25" s="222">
        <v>30971</v>
      </c>
      <c r="K25" s="222">
        <v>31026</v>
      </c>
      <c r="L25" s="222">
        <v>32875</v>
      </c>
      <c r="M25" s="174">
        <v>32395</v>
      </c>
      <c r="N25" s="174">
        <v>32542</v>
      </c>
      <c r="O25" s="174">
        <v>32433</v>
      </c>
      <c r="P25" s="174">
        <v>32126</v>
      </c>
      <c r="Q25" s="174">
        <v>31824.5</v>
      </c>
      <c r="R25" s="174">
        <v>31233.1</v>
      </c>
      <c r="S25" s="174">
        <v>30696.9</v>
      </c>
      <c r="T25" s="174">
        <v>29644</v>
      </c>
      <c r="V25" s="930"/>
      <c r="W25" s="930"/>
      <c r="X25" s="930"/>
      <c r="Y25" s="930"/>
    </row>
    <row r="26" spans="1:25" ht="13.25" customHeight="1">
      <c r="A26" s="83"/>
      <c r="B26" s="23" t="s">
        <v>44</v>
      </c>
      <c r="C26" s="222">
        <v>29092</v>
      </c>
      <c r="D26" s="222">
        <v>35232</v>
      </c>
      <c r="E26" s="222">
        <v>30059</v>
      </c>
      <c r="F26" s="222">
        <v>35433</v>
      </c>
      <c r="G26" s="222">
        <v>35565</v>
      </c>
      <c r="H26" s="222">
        <v>40723</v>
      </c>
      <c r="I26" s="222">
        <v>53373</v>
      </c>
      <c r="J26" s="222">
        <v>77508</v>
      </c>
      <c r="K26" s="222">
        <v>82300</v>
      </c>
      <c r="L26" s="222">
        <v>84286</v>
      </c>
      <c r="M26" s="174">
        <v>84714</v>
      </c>
      <c r="N26" s="174">
        <v>80923</v>
      </c>
      <c r="O26" s="174">
        <v>79822</v>
      </c>
      <c r="P26" s="174">
        <v>79903</v>
      </c>
      <c r="Q26" s="174">
        <v>80569.600000000006</v>
      </c>
      <c r="R26" s="174">
        <v>82653.2</v>
      </c>
      <c r="S26" s="174">
        <v>83162</v>
      </c>
      <c r="T26" s="174">
        <v>86618</v>
      </c>
      <c r="V26" s="930"/>
      <c r="W26" s="930"/>
      <c r="X26" s="930"/>
      <c r="Y26" s="930"/>
    </row>
    <row r="27" spans="1:25" ht="13.25" customHeight="1">
      <c r="A27" s="83"/>
      <c r="B27" s="23" t="s">
        <v>45</v>
      </c>
      <c r="C27" s="222">
        <v>85930</v>
      </c>
      <c r="D27" s="222">
        <v>87943</v>
      </c>
      <c r="E27" s="222">
        <v>91148</v>
      </c>
      <c r="F27" s="222">
        <v>96740</v>
      </c>
      <c r="G27" s="222">
        <v>98240</v>
      </c>
      <c r="H27" s="222">
        <v>101723</v>
      </c>
      <c r="I27" s="222">
        <v>101006</v>
      </c>
      <c r="J27" s="222">
        <v>100734</v>
      </c>
      <c r="K27" s="222">
        <v>100971</v>
      </c>
      <c r="L27" s="222">
        <v>98742</v>
      </c>
      <c r="M27" s="174">
        <v>98288</v>
      </c>
      <c r="N27" s="174">
        <v>102805</v>
      </c>
      <c r="O27" s="174">
        <v>99130</v>
      </c>
      <c r="P27" s="174">
        <v>98100</v>
      </c>
      <c r="Q27" s="174">
        <v>95949.2</v>
      </c>
      <c r="R27" s="174">
        <v>95302.5</v>
      </c>
      <c r="S27" s="174">
        <v>98942.1</v>
      </c>
      <c r="T27" s="174">
        <v>98199.2</v>
      </c>
      <c r="V27" s="930"/>
      <c r="W27" s="930"/>
      <c r="X27" s="930"/>
      <c r="Y27" s="930"/>
    </row>
    <row r="28" spans="1:25" ht="13.25" customHeight="1">
      <c r="A28" s="83"/>
      <c r="B28" s="82" t="s">
        <v>46</v>
      </c>
      <c r="C28" s="222">
        <v>7617</v>
      </c>
      <c r="D28" s="222">
        <v>7362</v>
      </c>
      <c r="E28" s="222">
        <v>8608</v>
      </c>
      <c r="F28" s="222">
        <v>14692</v>
      </c>
      <c r="G28" s="222">
        <v>17362</v>
      </c>
      <c r="H28" s="222">
        <v>17224</v>
      </c>
      <c r="I28" s="222">
        <v>18300</v>
      </c>
      <c r="J28" s="222">
        <v>17898</v>
      </c>
      <c r="K28" s="222">
        <v>17882</v>
      </c>
      <c r="L28" s="222">
        <v>17920</v>
      </c>
      <c r="M28" s="174">
        <v>17969</v>
      </c>
      <c r="N28" s="174">
        <v>18813</v>
      </c>
      <c r="O28" s="174">
        <v>19453</v>
      </c>
      <c r="P28" s="174">
        <v>19803</v>
      </c>
      <c r="Q28" s="174">
        <v>19731.5</v>
      </c>
      <c r="R28" s="174">
        <v>19157.7</v>
      </c>
      <c r="S28" s="174">
        <v>20316.400000000001</v>
      </c>
      <c r="T28" s="174">
        <v>20405.8</v>
      </c>
      <c r="V28" s="930"/>
      <c r="W28" s="930"/>
      <c r="X28" s="930"/>
      <c r="Y28" s="930"/>
    </row>
    <row r="29" spans="1:25" ht="13.25" customHeight="1">
      <c r="A29" s="83"/>
      <c r="B29" s="23" t="s">
        <v>47</v>
      </c>
      <c r="C29" s="222">
        <v>599</v>
      </c>
      <c r="D29" s="222">
        <v>949</v>
      </c>
      <c r="E29" s="222">
        <v>1112</v>
      </c>
      <c r="F29" s="222">
        <v>1281</v>
      </c>
      <c r="G29" s="222">
        <v>1475</v>
      </c>
      <c r="H29" s="222">
        <v>1465</v>
      </c>
      <c r="I29" s="222">
        <v>1741</v>
      </c>
      <c r="J29" s="222">
        <v>1452</v>
      </c>
      <c r="K29" s="222">
        <v>1479</v>
      </c>
      <c r="L29" s="222">
        <v>1434</v>
      </c>
      <c r="M29" s="174">
        <v>1347</v>
      </c>
      <c r="N29" s="174">
        <v>1254</v>
      </c>
      <c r="O29" s="174">
        <v>1253</v>
      </c>
      <c r="P29" s="174">
        <v>1269</v>
      </c>
      <c r="Q29" s="174">
        <v>1228.3</v>
      </c>
      <c r="R29" s="174">
        <v>1180.8</v>
      </c>
      <c r="S29" s="174">
        <v>1216.5</v>
      </c>
      <c r="T29" s="174">
        <v>1171.9000000000001</v>
      </c>
      <c r="V29" s="930"/>
      <c r="W29" s="930"/>
      <c r="X29" s="930"/>
      <c r="Y29" s="930"/>
    </row>
    <row r="30" spans="1:25" ht="13.25" customHeight="1">
      <c r="A30" s="83"/>
      <c r="B30" s="23" t="s">
        <v>48</v>
      </c>
      <c r="C30" s="222">
        <v>3057</v>
      </c>
      <c r="D30" s="222">
        <v>3562</v>
      </c>
      <c r="E30" s="222">
        <v>3732</v>
      </c>
      <c r="F30" s="222">
        <v>3346</v>
      </c>
      <c r="G30" s="222">
        <v>3445</v>
      </c>
      <c r="H30" s="222">
        <v>3387</v>
      </c>
      <c r="I30" s="222">
        <v>3508</v>
      </c>
      <c r="J30" s="222">
        <v>3362</v>
      </c>
      <c r="K30" s="222">
        <v>3357</v>
      </c>
      <c r="L30" s="222">
        <v>3354</v>
      </c>
      <c r="M30" s="174">
        <v>3588</v>
      </c>
      <c r="N30" s="174">
        <v>4441</v>
      </c>
      <c r="O30" s="174">
        <v>3920</v>
      </c>
      <c r="P30" s="174">
        <v>3887</v>
      </c>
      <c r="Q30" s="174">
        <v>3631.2</v>
      </c>
      <c r="R30" s="174">
        <v>3479.4</v>
      </c>
      <c r="S30" s="174">
        <v>3692.4</v>
      </c>
      <c r="T30" s="174">
        <v>3213.5</v>
      </c>
      <c r="V30" s="930"/>
      <c r="W30" s="930"/>
      <c r="X30" s="930"/>
      <c r="Y30" s="930"/>
    </row>
    <row r="31" spans="1:25" ht="13.25" customHeight="1" thickBot="1">
      <c r="A31" s="88"/>
      <c r="B31" s="577" t="s">
        <v>49</v>
      </c>
      <c r="C31" s="581">
        <v>1358</v>
      </c>
      <c r="D31" s="581">
        <v>1460</v>
      </c>
      <c r="E31" s="581">
        <v>1549</v>
      </c>
      <c r="F31" s="581">
        <v>1963</v>
      </c>
      <c r="G31" s="581">
        <v>2088</v>
      </c>
      <c r="H31" s="581">
        <v>2018</v>
      </c>
      <c r="I31" s="581">
        <v>2664</v>
      </c>
      <c r="J31" s="581">
        <v>2838</v>
      </c>
      <c r="K31" s="581">
        <v>3474</v>
      </c>
      <c r="L31" s="581">
        <v>3400</v>
      </c>
      <c r="M31" s="584">
        <v>2935</v>
      </c>
      <c r="N31" s="584">
        <v>1610</v>
      </c>
      <c r="O31" s="584">
        <v>1352</v>
      </c>
      <c r="P31" s="584">
        <v>1329</v>
      </c>
      <c r="Q31" s="584">
        <v>1354</v>
      </c>
      <c r="R31" s="584">
        <v>1005.7</v>
      </c>
      <c r="S31" s="584">
        <v>999.6</v>
      </c>
      <c r="T31" s="584">
        <v>946.3</v>
      </c>
      <c r="V31" s="930"/>
      <c r="W31" s="930"/>
      <c r="X31" s="930"/>
      <c r="Y31" s="930"/>
    </row>
    <row r="32" spans="1:25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>
    <tabColor theme="9" tint="0.59999389629810485"/>
  </sheetPr>
  <dimension ref="A2:Y62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59765625" style="82" customWidth="1"/>
    <col min="22" max="16384" width="7" style="82"/>
  </cols>
  <sheetData>
    <row r="2" spans="1:25" ht="13.25" customHeight="1">
      <c r="A2" s="230" t="s">
        <v>493</v>
      </c>
      <c r="B2" s="231"/>
    </row>
    <row r="3" spans="1:25" ht="13.25" customHeight="1">
      <c r="A3" s="232" t="s">
        <v>236</v>
      </c>
      <c r="B3" s="232"/>
    </row>
    <row r="4" spans="1:25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5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5" ht="15" customHeight="1">
      <c r="A6" s="965" t="s">
        <v>96</v>
      </c>
      <c r="B6" s="965"/>
      <c r="C6" s="574">
        <f t="shared" ref="C6:N6" si="0">(C8+C9+C10+C11+C12+C13+C14+C15+C16+C17+C18+C19+C20+C21+C22+C23+C24+C25+C26+C27+C28+C29+C30+C31)</f>
        <v>1236833</v>
      </c>
      <c r="D6" s="574">
        <f t="shared" si="0"/>
        <v>1346991</v>
      </c>
      <c r="E6" s="806">
        <f t="shared" si="0"/>
        <v>1455814</v>
      </c>
      <c r="F6" s="806">
        <f t="shared" si="0"/>
        <v>1565531</v>
      </c>
      <c r="G6" s="806">
        <f t="shared" si="0"/>
        <v>1652112</v>
      </c>
      <c r="H6" s="806">
        <f t="shared" si="0"/>
        <v>1678373</v>
      </c>
      <c r="I6" s="806">
        <f t="shared" si="0"/>
        <v>1755528</v>
      </c>
      <c r="J6" s="806">
        <f t="shared" si="0"/>
        <v>1790672</v>
      </c>
      <c r="K6" s="806">
        <f t="shared" si="0"/>
        <v>1807808</v>
      </c>
      <c r="L6" s="806">
        <f t="shared" si="0"/>
        <v>1840227</v>
      </c>
      <c r="M6" s="806">
        <f t="shared" si="0"/>
        <v>1903176</v>
      </c>
      <c r="N6" s="806">
        <f t="shared" si="0"/>
        <v>1954231</v>
      </c>
      <c r="O6" s="806">
        <f t="shared" ref="O6:T6" si="1">(O8+O9+O10+O11+O12+O13+O14+O15+O16+O17+O18+O19+O20+O21+O22+O23+O24+O25+O26+O27+O28+O29+O30+O31)</f>
        <v>2013674</v>
      </c>
      <c r="P6" s="806">
        <f t="shared" si="1"/>
        <v>2067144</v>
      </c>
      <c r="Q6" s="806">
        <f t="shared" si="1"/>
        <v>2121365.8700000006</v>
      </c>
      <c r="R6" s="806">
        <f t="shared" si="1"/>
        <v>2135881.3099999996</v>
      </c>
      <c r="S6" s="806">
        <f t="shared" si="1"/>
        <v>2184934.52</v>
      </c>
      <c r="T6" s="806">
        <f t="shared" si="1"/>
        <v>2246935.85</v>
      </c>
    </row>
    <row r="7" spans="1:25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5" ht="13.25" customHeight="1">
      <c r="A8" s="83"/>
      <c r="B8" s="23" t="s">
        <v>21</v>
      </c>
      <c r="C8" s="222">
        <v>362</v>
      </c>
      <c r="D8" s="222">
        <v>397</v>
      </c>
      <c r="E8" s="93">
        <v>421</v>
      </c>
      <c r="F8" s="93">
        <v>460</v>
      </c>
      <c r="G8" s="93">
        <v>517</v>
      </c>
      <c r="H8" s="93">
        <v>568</v>
      </c>
      <c r="I8" s="93">
        <v>601</v>
      </c>
      <c r="J8" s="93">
        <v>651</v>
      </c>
      <c r="K8" s="93">
        <v>790</v>
      </c>
      <c r="L8" s="93">
        <v>692</v>
      </c>
      <c r="M8" s="808">
        <v>659</v>
      </c>
      <c r="N8" s="808">
        <v>409</v>
      </c>
      <c r="O8" s="808">
        <v>412</v>
      </c>
      <c r="P8" s="808">
        <v>385</v>
      </c>
      <c r="Q8" s="808">
        <v>374.32</v>
      </c>
      <c r="R8" s="808">
        <v>343.13</v>
      </c>
      <c r="S8" s="808">
        <v>324.47000000000003</v>
      </c>
      <c r="T8" s="808">
        <v>305.63</v>
      </c>
      <c r="V8" s="930"/>
      <c r="W8" s="930"/>
      <c r="X8" s="930"/>
      <c r="Y8" s="930"/>
    </row>
    <row r="9" spans="1:25" ht="13.25" customHeight="1">
      <c r="A9" s="83"/>
      <c r="B9" s="23" t="s">
        <v>22</v>
      </c>
      <c r="C9" s="222">
        <v>29012</v>
      </c>
      <c r="D9" s="222">
        <v>33615</v>
      </c>
      <c r="E9" s="93">
        <v>35006</v>
      </c>
      <c r="F9" s="93">
        <v>36402</v>
      </c>
      <c r="G9" s="93">
        <v>37152</v>
      </c>
      <c r="H9" s="93">
        <v>31497</v>
      </c>
      <c r="I9" s="93">
        <v>43867</v>
      </c>
      <c r="J9" s="93">
        <v>47125</v>
      </c>
      <c r="K9" s="93">
        <v>47581</v>
      </c>
      <c r="L9" s="93">
        <v>50081</v>
      </c>
      <c r="M9" s="808">
        <v>41556</v>
      </c>
      <c r="N9" s="808">
        <v>42578</v>
      </c>
      <c r="O9" s="808">
        <v>37240</v>
      </c>
      <c r="P9" s="808">
        <v>41416</v>
      </c>
      <c r="Q9" s="808">
        <v>42121.71</v>
      </c>
      <c r="R9" s="808">
        <v>42903.99</v>
      </c>
      <c r="S9" s="808">
        <v>43392.22</v>
      </c>
      <c r="T9" s="808">
        <v>44291.74</v>
      </c>
      <c r="U9" s="90"/>
      <c r="V9" s="930"/>
      <c r="W9" s="930"/>
      <c r="X9" s="930"/>
      <c r="Y9" s="930"/>
    </row>
    <row r="10" spans="1:25" ht="13.25" customHeight="1">
      <c r="A10" s="83"/>
      <c r="B10" s="23" t="s">
        <v>23</v>
      </c>
      <c r="C10" s="222">
        <v>29656</v>
      </c>
      <c r="D10" s="222">
        <v>28602</v>
      </c>
      <c r="E10" s="93">
        <v>30980</v>
      </c>
      <c r="F10" s="93">
        <v>33397</v>
      </c>
      <c r="G10" s="93">
        <v>36814</v>
      </c>
      <c r="H10" s="93">
        <v>39517</v>
      </c>
      <c r="I10" s="93">
        <v>37262</v>
      </c>
      <c r="J10" s="93">
        <v>39291</v>
      </c>
      <c r="K10" s="93">
        <v>45080</v>
      </c>
      <c r="L10" s="93">
        <v>49837</v>
      </c>
      <c r="M10" s="93">
        <v>53136</v>
      </c>
      <c r="N10" s="93">
        <v>59215</v>
      </c>
      <c r="O10" s="93">
        <v>55426</v>
      </c>
      <c r="P10" s="93">
        <v>56242</v>
      </c>
      <c r="Q10" s="93">
        <v>56664.95</v>
      </c>
      <c r="R10" s="93">
        <v>54175.98</v>
      </c>
      <c r="S10" s="93">
        <v>48054.66</v>
      </c>
      <c r="T10" s="93">
        <v>46487.96</v>
      </c>
      <c r="U10" s="90"/>
      <c r="V10" s="930"/>
      <c r="W10" s="930"/>
      <c r="X10" s="930"/>
      <c r="Y10" s="930"/>
    </row>
    <row r="11" spans="1:25" ht="13.25" customHeight="1">
      <c r="A11" s="83"/>
      <c r="B11" s="23" t="s">
        <v>24</v>
      </c>
      <c r="C11" s="222">
        <v>79695</v>
      </c>
      <c r="D11" s="222">
        <v>90775</v>
      </c>
      <c r="E11" s="93">
        <v>94476</v>
      </c>
      <c r="F11" s="93">
        <v>99405</v>
      </c>
      <c r="G11" s="93">
        <v>98524</v>
      </c>
      <c r="H11" s="93">
        <v>100618</v>
      </c>
      <c r="I11" s="93">
        <v>113502</v>
      </c>
      <c r="J11" s="93">
        <v>116710</v>
      </c>
      <c r="K11" s="93">
        <v>118937</v>
      </c>
      <c r="L11" s="93">
        <v>121501</v>
      </c>
      <c r="M11" s="808">
        <v>125366</v>
      </c>
      <c r="N11" s="808">
        <v>129501</v>
      </c>
      <c r="O11" s="808">
        <v>132475</v>
      </c>
      <c r="P11" s="808">
        <v>135964</v>
      </c>
      <c r="Q11" s="808">
        <v>151171.35999999999</v>
      </c>
      <c r="R11" s="808">
        <v>157622.84</v>
      </c>
      <c r="S11" s="808">
        <v>160701.34</v>
      </c>
      <c r="T11" s="808">
        <v>182784.37</v>
      </c>
      <c r="U11" s="90"/>
      <c r="V11" s="930"/>
      <c r="W11" s="930"/>
      <c r="X11" s="930"/>
      <c r="Y11" s="930"/>
    </row>
    <row r="12" spans="1:25" ht="13.25" customHeight="1">
      <c r="A12" s="83"/>
      <c r="B12" s="23" t="s">
        <v>25</v>
      </c>
      <c r="C12" s="222">
        <v>225648</v>
      </c>
      <c r="D12" s="222">
        <v>239969</v>
      </c>
      <c r="E12" s="93">
        <v>262632</v>
      </c>
      <c r="F12" s="93">
        <v>277900</v>
      </c>
      <c r="G12" s="93">
        <v>304884</v>
      </c>
      <c r="H12" s="93">
        <v>303449</v>
      </c>
      <c r="I12" s="93">
        <v>310629</v>
      </c>
      <c r="J12" s="93">
        <v>318594</v>
      </c>
      <c r="K12" s="93">
        <v>324862</v>
      </c>
      <c r="L12" s="93">
        <v>323687</v>
      </c>
      <c r="M12" s="808">
        <v>345029</v>
      </c>
      <c r="N12" s="808">
        <v>352076</v>
      </c>
      <c r="O12" s="808">
        <v>360200</v>
      </c>
      <c r="P12" s="808">
        <v>367092</v>
      </c>
      <c r="Q12" s="808">
        <v>383135.7</v>
      </c>
      <c r="R12" s="808">
        <v>367230.59</v>
      </c>
      <c r="S12" s="808">
        <v>380550.04</v>
      </c>
      <c r="T12" s="808">
        <v>401009.95</v>
      </c>
      <c r="U12" s="90"/>
      <c r="V12" s="930"/>
      <c r="W12" s="930"/>
      <c r="X12" s="930"/>
      <c r="Y12" s="930"/>
    </row>
    <row r="13" spans="1:25" ht="13.25" customHeight="1">
      <c r="A13" s="83"/>
      <c r="B13" s="23" t="s">
        <v>29</v>
      </c>
      <c r="C13" s="222">
        <v>58117</v>
      </c>
      <c r="D13" s="222">
        <v>59002</v>
      </c>
      <c r="E13" s="93">
        <v>62315</v>
      </c>
      <c r="F13" s="93">
        <v>65354</v>
      </c>
      <c r="G13" s="93">
        <v>75111</v>
      </c>
      <c r="H13" s="93">
        <v>75125</v>
      </c>
      <c r="I13" s="93">
        <v>74369</v>
      </c>
      <c r="J13" s="93">
        <v>76184</v>
      </c>
      <c r="K13" s="93">
        <v>80358</v>
      </c>
      <c r="L13" s="93">
        <v>76093</v>
      </c>
      <c r="M13" s="93">
        <v>79208</v>
      </c>
      <c r="N13" s="93">
        <v>83366</v>
      </c>
      <c r="O13" s="93">
        <v>93894</v>
      </c>
      <c r="P13" s="93">
        <v>97640</v>
      </c>
      <c r="Q13" s="93">
        <v>98574.15</v>
      </c>
      <c r="R13" s="93">
        <v>100570.05</v>
      </c>
      <c r="S13" s="93">
        <v>103409.71</v>
      </c>
      <c r="T13" s="93">
        <v>105355.68</v>
      </c>
      <c r="U13" s="90"/>
      <c r="V13" s="930"/>
      <c r="W13" s="930"/>
      <c r="X13" s="930"/>
      <c r="Y13" s="930"/>
    </row>
    <row r="14" spans="1:25" ht="13.25" customHeight="1">
      <c r="A14" s="83"/>
      <c r="B14" s="23" t="s">
        <v>30</v>
      </c>
      <c r="C14" s="222">
        <v>17683</v>
      </c>
      <c r="D14" s="222">
        <v>17603</v>
      </c>
      <c r="E14" s="93">
        <v>18003</v>
      </c>
      <c r="F14" s="93">
        <v>17748</v>
      </c>
      <c r="G14" s="93">
        <v>16439</v>
      </c>
      <c r="H14" s="93">
        <v>16921</v>
      </c>
      <c r="I14" s="93">
        <v>16803</v>
      </c>
      <c r="J14" s="93">
        <v>17356</v>
      </c>
      <c r="K14" s="93">
        <v>16635</v>
      </c>
      <c r="L14" s="93">
        <v>17456</v>
      </c>
      <c r="M14" s="808">
        <v>15271</v>
      </c>
      <c r="N14" s="808">
        <v>15749</v>
      </c>
      <c r="O14" s="808">
        <v>16107</v>
      </c>
      <c r="P14" s="808">
        <v>18170</v>
      </c>
      <c r="Q14" s="808">
        <v>18180.57</v>
      </c>
      <c r="R14" s="808">
        <v>18261.060000000001</v>
      </c>
      <c r="S14" s="808">
        <v>20090.650000000001</v>
      </c>
      <c r="T14" s="808">
        <v>21212.59</v>
      </c>
      <c r="U14" s="90"/>
      <c r="V14" s="930"/>
      <c r="W14" s="930"/>
      <c r="X14" s="930"/>
      <c r="Y14" s="930"/>
    </row>
    <row r="15" spans="1:25" ht="13.25" customHeight="1">
      <c r="A15" s="83"/>
      <c r="B15" s="23" t="s">
        <v>31</v>
      </c>
      <c r="C15" s="222">
        <v>222553</v>
      </c>
      <c r="D15" s="222">
        <v>238193</v>
      </c>
      <c r="E15" s="93">
        <v>245491</v>
      </c>
      <c r="F15" s="93">
        <v>272994</v>
      </c>
      <c r="G15" s="93">
        <v>286719</v>
      </c>
      <c r="H15" s="93">
        <v>306876</v>
      </c>
      <c r="I15" s="93">
        <v>322678</v>
      </c>
      <c r="J15" s="93">
        <v>318263</v>
      </c>
      <c r="K15" s="93">
        <v>329311</v>
      </c>
      <c r="L15" s="93">
        <v>335970</v>
      </c>
      <c r="M15" s="808">
        <v>342846</v>
      </c>
      <c r="N15" s="808">
        <v>348518</v>
      </c>
      <c r="O15" s="808">
        <v>354148</v>
      </c>
      <c r="P15" s="808">
        <v>362066</v>
      </c>
      <c r="Q15" s="808">
        <v>352867.93</v>
      </c>
      <c r="R15" s="808">
        <v>362239.61</v>
      </c>
      <c r="S15" s="808">
        <v>364677.18</v>
      </c>
      <c r="T15" s="808">
        <v>365855.4</v>
      </c>
      <c r="U15" s="90"/>
      <c r="V15" s="930"/>
      <c r="W15" s="930"/>
      <c r="X15" s="930"/>
      <c r="Y15" s="930"/>
    </row>
    <row r="16" spans="1:25" ht="13.25" customHeight="1">
      <c r="A16" s="83"/>
      <c r="B16" s="23" t="s">
        <v>32</v>
      </c>
      <c r="C16" s="222">
        <v>17112</v>
      </c>
      <c r="D16" s="222">
        <v>18626</v>
      </c>
      <c r="E16" s="93">
        <v>20790</v>
      </c>
      <c r="F16" s="93">
        <v>23872</v>
      </c>
      <c r="G16" s="93">
        <v>27723</v>
      </c>
      <c r="H16" s="93">
        <v>30278</v>
      </c>
      <c r="I16" s="93">
        <v>32109</v>
      </c>
      <c r="J16" s="93">
        <v>35909</v>
      </c>
      <c r="K16" s="93">
        <v>43361</v>
      </c>
      <c r="L16" s="93">
        <v>48046</v>
      </c>
      <c r="M16" s="93">
        <v>51005</v>
      </c>
      <c r="N16" s="93">
        <v>57139</v>
      </c>
      <c r="O16" s="93">
        <v>64979</v>
      </c>
      <c r="P16" s="93">
        <v>66143</v>
      </c>
      <c r="Q16" s="93">
        <v>68271.03</v>
      </c>
      <c r="R16" s="93">
        <v>78920.45</v>
      </c>
      <c r="S16" s="93">
        <v>85602.64</v>
      </c>
      <c r="T16" s="93">
        <v>89716.36</v>
      </c>
      <c r="U16" s="90"/>
      <c r="V16" s="930"/>
      <c r="W16" s="930"/>
      <c r="X16" s="930"/>
      <c r="Y16" s="930"/>
    </row>
    <row r="17" spans="1:25" ht="13.25" customHeight="1">
      <c r="A17" s="83"/>
      <c r="B17" s="23" t="s">
        <v>33</v>
      </c>
      <c r="C17" s="222">
        <v>21338</v>
      </c>
      <c r="D17" s="222">
        <v>25715</v>
      </c>
      <c r="E17" s="93">
        <v>30707</v>
      </c>
      <c r="F17" s="93">
        <v>35193</v>
      </c>
      <c r="G17" s="93">
        <v>35814</v>
      </c>
      <c r="H17" s="93">
        <v>39413</v>
      </c>
      <c r="I17" s="93">
        <v>40474</v>
      </c>
      <c r="J17" s="93">
        <v>44517</v>
      </c>
      <c r="K17" s="93">
        <v>39187</v>
      </c>
      <c r="L17" s="93">
        <v>38576</v>
      </c>
      <c r="M17" s="808">
        <v>42249</v>
      </c>
      <c r="N17" s="808">
        <v>44955</v>
      </c>
      <c r="O17" s="808">
        <v>48243</v>
      </c>
      <c r="P17" s="808">
        <v>49492</v>
      </c>
      <c r="Q17" s="808">
        <v>54681.51</v>
      </c>
      <c r="R17" s="808">
        <v>58774.76</v>
      </c>
      <c r="S17" s="808">
        <v>60173.61</v>
      </c>
      <c r="T17" s="808">
        <v>61400.32</v>
      </c>
      <c r="U17" s="90"/>
      <c r="V17" s="930"/>
      <c r="W17" s="930"/>
      <c r="X17" s="930"/>
      <c r="Y17" s="930"/>
    </row>
    <row r="18" spans="1:25" ht="13.25" customHeight="1">
      <c r="A18" s="83"/>
      <c r="B18" s="23" t="s">
        <v>34</v>
      </c>
      <c r="C18" s="222">
        <v>18055</v>
      </c>
      <c r="D18" s="222">
        <v>18298</v>
      </c>
      <c r="E18" s="93">
        <v>18532</v>
      </c>
      <c r="F18" s="93">
        <v>18672</v>
      </c>
      <c r="G18" s="93">
        <v>18021</v>
      </c>
      <c r="H18" s="93">
        <v>18178</v>
      </c>
      <c r="I18" s="93">
        <v>18249</v>
      </c>
      <c r="J18" s="93">
        <v>25461</v>
      </c>
      <c r="K18" s="93">
        <v>24602</v>
      </c>
      <c r="L18" s="93">
        <v>24127</v>
      </c>
      <c r="M18" s="808">
        <v>26339</v>
      </c>
      <c r="N18" s="808">
        <v>25296</v>
      </c>
      <c r="O18" s="808">
        <v>32145</v>
      </c>
      <c r="P18" s="808">
        <v>31232</v>
      </c>
      <c r="Q18" s="808">
        <v>34999.07</v>
      </c>
      <c r="R18" s="808">
        <v>38241.54</v>
      </c>
      <c r="S18" s="808">
        <v>38819.699999999997</v>
      </c>
      <c r="T18" s="808">
        <v>39030.910000000003</v>
      </c>
      <c r="U18" s="90"/>
      <c r="V18" s="930"/>
      <c r="W18" s="930"/>
      <c r="X18" s="930"/>
      <c r="Y18" s="930"/>
    </row>
    <row r="19" spans="1:25" ht="13.25" customHeight="1">
      <c r="A19" s="83"/>
      <c r="B19" s="23" t="s">
        <v>35</v>
      </c>
      <c r="C19" s="222">
        <v>18612</v>
      </c>
      <c r="D19" s="222">
        <v>19206</v>
      </c>
      <c r="E19" s="93">
        <v>20850</v>
      </c>
      <c r="F19" s="93">
        <v>23613</v>
      </c>
      <c r="G19" s="93">
        <v>27223</v>
      </c>
      <c r="H19" s="93">
        <v>31111</v>
      </c>
      <c r="I19" s="93">
        <v>39435</v>
      </c>
      <c r="J19" s="93">
        <v>42385</v>
      </c>
      <c r="K19" s="93">
        <v>46276</v>
      </c>
      <c r="L19" s="93">
        <v>46710</v>
      </c>
      <c r="M19" s="808">
        <v>47870</v>
      </c>
      <c r="N19" s="808">
        <v>51250</v>
      </c>
      <c r="O19" s="808">
        <v>52094</v>
      </c>
      <c r="P19" s="808">
        <v>53135</v>
      </c>
      <c r="Q19" s="808">
        <v>57189.62</v>
      </c>
      <c r="R19" s="808">
        <v>58617.82</v>
      </c>
      <c r="S19" s="808">
        <v>59726.239999999998</v>
      </c>
      <c r="T19" s="808">
        <v>60562.35</v>
      </c>
      <c r="U19" s="90"/>
      <c r="V19" s="930"/>
      <c r="W19" s="930"/>
      <c r="X19" s="930"/>
      <c r="Y19" s="930"/>
    </row>
    <row r="20" spans="1:25" ht="13.25" customHeight="1">
      <c r="A20" s="83"/>
      <c r="B20" s="23" t="s">
        <v>36</v>
      </c>
      <c r="C20" s="222">
        <v>13276</v>
      </c>
      <c r="D20" s="222">
        <v>14808</v>
      </c>
      <c r="E20" s="93">
        <v>15820</v>
      </c>
      <c r="F20" s="93">
        <v>16073</v>
      </c>
      <c r="G20" s="93">
        <v>15876</v>
      </c>
      <c r="H20" s="93">
        <v>17193</v>
      </c>
      <c r="I20" s="93">
        <v>20183</v>
      </c>
      <c r="J20" s="93">
        <v>24180</v>
      </c>
      <c r="K20" s="93">
        <v>22443</v>
      </c>
      <c r="L20" s="93">
        <v>22555</v>
      </c>
      <c r="M20" s="808">
        <v>24890</v>
      </c>
      <c r="N20" s="808">
        <v>20916</v>
      </c>
      <c r="O20" s="808">
        <v>21810</v>
      </c>
      <c r="P20" s="808">
        <v>23675</v>
      </c>
      <c r="Q20" s="808">
        <v>23253.8</v>
      </c>
      <c r="R20" s="808">
        <v>22796.79</v>
      </c>
      <c r="S20" s="808">
        <v>22553.27</v>
      </c>
      <c r="T20" s="808">
        <v>22146.83</v>
      </c>
      <c r="U20" s="90"/>
      <c r="V20" s="930"/>
      <c r="W20" s="930"/>
      <c r="X20" s="930"/>
      <c r="Y20" s="930"/>
    </row>
    <row r="21" spans="1:25" ht="13.25" customHeight="1">
      <c r="A21" s="83"/>
      <c r="B21" s="23" t="s">
        <v>37</v>
      </c>
      <c r="C21" s="222">
        <v>296833</v>
      </c>
      <c r="D21" s="222">
        <v>328025</v>
      </c>
      <c r="E21" s="93">
        <v>365749</v>
      </c>
      <c r="F21" s="93">
        <v>379884</v>
      </c>
      <c r="G21" s="93">
        <v>387317</v>
      </c>
      <c r="H21" s="93">
        <v>355013</v>
      </c>
      <c r="I21" s="93">
        <v>363668</v>
      </c>
      <c r="J21" s="93">
        <v>352406</v>
      </c>
      <c r="K21" s="93">
        <v>315380</v>
      </c>
      <c r="L21" s="93">
        <v>325253</v>
      </c>
      <c r="M21" s="808">
        <v>335534</v>
      </c>
      <c r="N21" s="808">
        <v>348889</v>
      </c>
      <c r="O21" s="808">
        <v>353749</v>
      </c>
      <c r="P21" s="808">
        <v>363930</v>
      </c>
      <c r="Q21" s="808">
        <v>357459.78</v>
      </c>
      <c r="R21" s="808">
        <v>358534.99</v>
      </c>
      <c r="S21" s="808">
        <v>358697.14</v>
      </c>
      <c r="T21" s="808">
        <v>355571.02</v>
      </c>
      <c r="U21" s="90"/>
      <c r="V21" s="930"/>
      <c r="W21" s="930"/>
      <c r="X21" s="930"/>
      <c r="Y21" s="930"/>
    </row>
    <row r="22" spans="1:25" ht="13.25" customHeight="1">
      <c r="A22" s="83"/>
      <c r="B22" s="23" t="s">
        <v>38</v>
      </c>
      <c r="C22" s="222">
        <v>16361</v>
      </c>
      <c r="D22" s="222">
        <v>16034</v>
      </c>
      <c r="E22" s="93">
        <v>15270</v>
      </c>
      <c r="F22" s="93">
        <v>15342</v>
      </c>
      <c r="G22" s="93">
        <v>15123</v>
      </c>
      <c r="H22" s="93">
        <v>15262</v>
      </c>
      <c r="I22" s="93">
        <v>15212</v>
      </c>
      <c r="J22" s="93">
        <v>14737</v>
      </c>
      <c r="K22" s="93">
        <v>17539</v>
      </c>
      <c r="L22" s="93">
        <v>16273</v>
      </c>
      <c r="M22" s="808">
        <v>15891</v>
      </c>
      <c r="N22" s="808">
        <v>16222</v>
      </c>
      <c r="O22" s="808">
        <v>16648</v>
      </c>
      <c r="P22" s="808">
        <v>16966</v>
      </c>
      <c r="Q22" s="808">
        <v>17576.2</v>
      </c>
      <c r="R22" s="808">
        <v>17617.13</v>
      </c>
      <c r="S22" s="808">
        <v>17974.919999999998</v>
      </c>
      <c r="T22" s="808">
        <v>17948.09</v>
      </c>
      <c r="U22" s="90"/>
      <c r="V22" s="930"/>
      <c r="W22" s="930"/>
      <c r="X22" s="930"/>
      <c r="Y22" s="930"/>
    </row>
    <row r="23" spans="1:25" ht="13.25" customHeight="1">
      <c r="A23" s="83"/>
      <c r="B23" s="23" t="s">
        <v>39</v>
      </c>
      <c r="C23" s="222">
        <v>21868</v>
      </c>
      <c r="D23" s="222">
        <v>22100</v>
      </c>
      <c r="E23" s="93">
        <v>22863</v>
      </c>
      <c r="F23" s="93">
        <v>23223</v>
      </c>
      <c r="G23" s="93">
        <v>25982</v>
      </c>
      <c r="H23" s="93">
        <v>26224</v>
      </c>
      <c r="I23" s="93">
        <v>26356</v>
      </c>
      <c r="J23" s="93">
        <v>24983</v>
      </c>
      <c r="K23" s="93">
        <v>25138</v>
      </c>
      <c r="L23" s="93">
        <v>25042</v>
      </c>
      <c r="M23" s="808">
        <v>23487</v>
      </c>
      <c r="N23" s="808">
        <v>23610</v>
      </c>
      <c r="O23" s="808">
        <v>23406</v>
      </c>
      <c r="P23" s="808">
        <v>23452</v>
      </c>
      <c r="Q23" s="808">
        <v>24451.25</v>
      </c>
      <c r="R23" s="808">
        <v>24487</v>
      </c>
      <c r="S23" s="808">
        <v>23998.15</v>
      </c>
      <c r="T23" s="808">
        <v>23486.48</v>
      </c>
      <c r="U23" s="90"/>
      <c r="V23" s="930"/>
      <c r="W23" s="930"/>
      <c r="X23" s="930"/>
      <c r="Y23" s="930"/>
    </row>
    <row r="24" spans="1:25" ht="13.25" customHeight="1">
      <c r="A24" s="83"/>
      <c r="B24" s="23" t="s">
        <v>40</v>
      </c>
      <c r="C24" s="222">
        <v>22805</v>
      </c>
      <c r="D24" s="222">
        <v>22700</v>
      </c>
      <c r="E24" s="93">
        <v>24626</v>
      </c>
      <c r="F24" s="93">
        <v>33825</v>
      </c>
      <c r="G24" s="93">
        <v>40950</v>
      </c>
      <c r="H24" s="93">
        <v>43482</v>
      </c>
      <c r="I24" s="93">
        <v>50138</v>
      </c>
      <c r="J24" s="93">
        <v>51424</v>
      </c>
      <c r="K24" s="93">
        <v>50147</v>
      </c>
      <c r="L24" s="93">
        <v>51788</v>
      </c>
      <c r="M24" s="808">
        <v>47122</v>
      </c>
      <c r="N24" s="808">
        <v>45151</v>
      </c>
      <c r="O24" s="808">
        <v>57449</v>
      </c>
      <c r="P24" s="808">
        <v>56910</v>
      </c>
      <c r="Q24" s="808">
        <v>66387.47</v>
      </c>
      <c r="R24" s="808">
        <v>52260.54</v>
      </c>
      <c r="S24" s="808">
        <v>60206.26</v>
      </c>
      <c r="T24" s="808">
        <v>55772.63</v>
      </c>
      <c r="U24" s="90"/>
      <c r="V24" s="930"/>
      <c r="W24" s="930"/>
      <c r="X24" s="930"/>
      <c r="Y24" s="930"/>
    </row>
    <row r="25" spans="1:25" ht="13.25" customHeight="1">
      <c r="A25" s="83"/>
      <c r="B25" s="23" t="s">
        <v>41</v>
      </c>
      <c r="C25" s="222">
        <v>29143</v>
      </c>
      <c r="D25" s="222">
        <v>34380</v>
      </c>
      <c r="E25" s="93">
        <v>39401</v>
      </c>
      <c r="F25" s="93">
        <v>43526</v>
      </c>
      <c r="G25" s="93">
        <v>42248</v>
      </c>
      <c r="H25" s="93">
        <v>42392</v>
      </c>
      <c r="I25" s="93">
        <v>40770</v>
      </c>
      <c r="J25" s="93">
        <v>33104</v>
      </c>
      <c r="K25" s="93">
        <v>32122</v>
      </c>
      <c r="L25" s="93">
        <v>32593</v>
      </c>
      <c r="M25" s="808">
        <v>32659</v>
      </c>
      <c r="N25" s="808">
        <v>32365</v>
      </c>
      <c r="O25" s="808">
        <v>32468</v>
      </c>
      <c r="P25" s="808">
        <v>32982</v>
      </c>
      <c r="Q25" s="808">
        <v>33399.519999999997</v>
      </c>
      <c r="R25" s="808">
        <v>33475.56</v>
      </c>
      <c r="S25" s="808">
        <v>33244.080000000002</v>
      </c>
      <c r="T25" s="808">
        <v>33075.19</v>
      </c>
      <c r="U25" s="90"/>
      <c r="V25" s="930"/>
      <c r="W25" s="930"/>
      <c r="X25" s="930"/>
      <c r="Y25" s="930"/>
    </row>
    <row r="26" spans="1:25" ht="13.25" customHeight="1">
      <c r="A26" s="83"/>
      <c r="B26" s="23" t="s">
        <v>44</v>
      </c>
      <c r="C26" s="222">
        <v>30479</v>
      </c>
      <c r="D26" s="222">
        <v>35953</v>
      </c>
      <c r="E26" s="93">
        <v>41622</v>
      </c>
      <c r="F26" s="93">
        <v>47739</v>
      </c>
      <c r="G26" s="93">
        <v>50955</v>
      </c>
      <c r="H26" s="93">
        <v>68452</v>
      </c>
      <c r="I26" s="93">
        <v>65242</v>
      </c>
      <c r="J26" s="93">
        <v>77621</v>
      </c>
      <c r="K26" s="93">
        <v>93148</v>
      </c>
      <c r="L26" s="93">
        <v>95633</v>
      </c>
      <c r="M26" s="808">
        <v>104016</v>
      </c>
      <c r="N26" s="808">
        <v>102458</v>
      </c>
      <c r="O26" s="808">
        <v>102227</v>
      </c>
      <c r="P26" s="808">
        <v>106028</v>
      </c>
      <c r="Q26" s="808">
        <v>110781.09</v>
      </c>
      <c r="R26" s="808">
        <v>116111.23</v>
      </c>
      <c r="S26" s="808">
        <v>123961.34</v>
      </c>
      <c r="T26" s="808">
        <v>138765.9</v>
      </c>
      <c r="U26" s="90"/>
      <c r="V26" s="930"/>
      <c r="W26" s="930"/>
      <c r="X26" s="930"/>
      <c r="Y26" s="930"/>
    </row>
    <row r="27" spans="1:25" ht="13.25" customHeight="1">
      <c r="A27" s="83"/>
      <c r="B27" s="23" t="s">
        <v>45</v>
      </c>
      <c r="C27" s="222">
        <v>49453</v>
      </c>
      <c r="D27" s="222">
        <v>62011</v>
      </c>
      <c r="E27" s="93">
        <v>66065</v>
      </c>
      <c r="F27" s="93">
        <v>67951</v>
      </c>
      <c r="G27" s="93">
        <v>71047</v>
      </c>
      <c r="H27" s="93">
        <v>76907</v>
      </c>
      <c r="I27" s="93">
        <v>79038</v>
      </c>
      <c r="J27" s="93">
        <v>85832</v>
      </c>
      <c r="K27" s="93">
        <v>91287</v>
      </c>
      <c r="L27" s="93">
        <v>95416</v>
      </c>
      <c r="M27" s="808">
        <v>106953</v>
      </c>
      <c r="N27" s="808">
        <v>110465</v>
      </c>
      <c r="O27" s="808">
        <v>114671</v>
      </c>
      <c r="P27" s="808">
        <v>119855</v>
      </c>
      <c r="Q27" s="808">
        <v>127009.36</v>
      </c>
      <c r="R27" s="808">
        <v>131755.9</v>
      </c>
      <c r="S27" s="808">
        <v>137327.15</v>
      </c>
      <c r="T27" s="808">
        <v>141475.76</v>
      </c>
      <c r="U27" s="90"/>
      <c r="V27" s="930"/>
      <c r="W27" s="930"/>
      <c r="X27" s="930"/>
      <c r="Y27" s="930"/>
    </row>
    <row r="28" spans="1:25" ht="13.25" customHeight="1">
      <c r="A28" s="83"/>
      <c r="B28" s="82" t="s">
        <v>46</v>
      </c>
      <c r="C28" s="222">
        <v>12182</v>
      </c>
      <c r="D28" s="222">
        <v>13426</v>
      </c>
      <c r="E28" s="93">
        <v>15501</v>
      </c>
      <c r="F28" s="93">
        <v>23080</v>
      </c>
      <c r="G28" s="93">
        <v>27399</v>
      </c>
      <c r="H28" s="93">
        <v>29321</v>
      </c>
      <c r="I28" s="93">
        <v>32955</v>
      </c>
      <c r="J28" s="93">
        <v>32037</v>
      </c>
      <c r="K28" s="93">
        <v>31344</v>
      </c>
      <c r="L28" s="93">
        <v>31341</v>
      </c>
      <c r="M28" s="808">
        <v>31038</v>
      </c>
      <c r="N28" s="808">
        <v>32811</v>
      </c>
      <c r="O28" s="808">
        <v>33764</v>
      </c>
      <c r="P28" s="808">
        <v>34990</v>
      </c>
      <c r="Q28" s="808">
        <v>33766.160000000003</v>
      </c>
      <c r="R28" s="808">
        <v>32696.63</v>
      </c>
      <c r="S28" s="808">
        <v>34182.730000000003</v>
      </c>
      <c r="T28" s="808">
        <v>34010.67</v>
      </c>
      <c r="U28" s="90"/>
      <c r="V28" s="930"/>
      <c r="W28" s="930"/>
      <c r="X28" s="930"/>
      <c r="Y28" s="930"/>
    </row>
    <row r="29" spans="1:25" ht="13.25" customHeight="1">
      <c r="A29" s="83"/>
      <c r="B29" s="23" t="s">
        <v>47</v>
      </c>
      <c r="C29" s="222">
        <v>1246</v>
      </c>
      <c r="D29" s="222">
        <v>1439</v>
      </c>
      <c r="E29" s="93">
        <v>1842</v>
      </c>
      <c r="F29" s="93">
        <v>2198</v>
      </c>
      <c r="G29" s="93">
        <v>2414</v>
      </c>
      <c r="H29" s="93">
        <v>2527</v>
      </c>
      <c r="I29" s="93">
        <v>3181</v>
      </c>
      <c r="J29" s="93">
        <v>2767</v>
      </c>
      <c r="K29" s="93">
        <v>2533</v>
      </c>
      <c r="L29" s="93">
        <v>2437</v>
      </c>
      <c r="M29" s="808">
        <v>2280</v>
      </c>
      <c r="N29" s="808">
        <v>2144</v>
      </c>
      <c r="O29" s="808">
        <v>2198</v>
      </c>
      <c r="P29" s="808">
        <v>2018</v>
      </c>
      <c r="Q29" s="808">
        <v>1765.56</v>
      </c>
      <c r="R29" s="808">
        <v>1612.26</v>
      </c>
      <c r="S29" s="808">
        <v>1482.1</v>
      </c>
      <c r="T29" s="808">
        <v>1420.51</v>
      </c>
      <c r="U29" s="90"/>
      <c r="V29" s="930"/>
      <c r="W29" s="930"/>
      <c r="X29" s="930"/>
      <c r="Y29" s="930"/>
    </row>
    <row r="30" spans="1:25" ht="13.25" customHeight="1">
      <c r="A30" s="83"/>
      <c r="B30" s="23" t="s">
        <v>48</v>
      </c>
      <c r="C30" s="222">
        <v>3153</v>
      </c>
      <c r="D30" s="222">
        <v>3693</v>
      </c>
      <c r="E30" s="93">
        <v>4024</v>
      </c>
      <c r="F30" s="93">
        <v>4600</v>
      </c>
      <c r="G30" s="93">
        <v>4806</v>
      </c>
      <c r="H30" s="93">
        <v>4986</v>
      </c>
      <c r="I30" s="93">
        <v>5081</v>
      </c>
      <c r="J30" s="93">
        <v>4921</v>
      </c>
      <c r="K30" s="93">
        <v>4908</v>
      </c>
      <c r="L30" s="93">
        <v>4910</v>
      </c>
      <c r="M30" s="808">
        <v>5119</v>
      </c>
      <c r="N30" s="808">
        <v>7340</v>
      </c>
      <c r="O30" s="808">
        <v>6399</v>
      </c>
      <c r="P30" s="808">
        <v>5835</v>
      </c>
      <c r="Q30" s="808">
        <v>5596.29</v>
      </c>
      <c r="R30" s="808">
        <v>5165.59</v>
      </c>
      <c r="S30" s="808">
        <v>4415.38</v>
      </c>
      <c r="T30" s="808">
        <v>4027.66</v>
      </c>
      <c r="U30" s="90"/>
      <c r="V30" s="930"/>
      <c r="W30" s="930"/>
      <c r="X30" s="930"/>
      <c r="Y30" s="930"/>
    </row>
    <row r="31" spans="1:25" ht="13.25" customHeight="1" thickBot="1">
      <c r="A31" s="88"/>
      <c r="B31" s="577" t="s">
        <v>49</v>
      </c>
      <c r="C31" s="581">
        <v>2191</v>
      </c>
      <c r="D31" s="581">
        <v>2421</v>
      </c>
      <c r="E31" s="809">
        <v>2828</v>
      </c>
      <c r="F31" s="809">
        <v>3080</v>
      </c>
      <c r="G31" s="809">
        <v>3054</v>
      </c>
      <c r="H31" s="809">
        <v>3063</v>
      </c>
      <c r="I31" s="809">
        <v>3726</v>
      </c>
      <c r="J31" s="809">
        <v>4214</v>
      </c>
      <c r="K31" s="809">
        <v>4839</v>
      </c>
      <c r="L31" s="809">
        <v>4210</v>
      </c>
      <c r="M31" s="810">
        <v>3653</v>
      </c>
      <c r="N31" s="810">
        <v>1808</v>
      </c>
      <c r="O31" s="810">
        <v>1522</v>
      </c>
      <c r="P31" s="810">
        <v>1526</v>
      </c>
      <c r="Q31" s="810">
        <v>1687.47</v>
      </c>
      <c r="R31" s="810">
        <v>1465.87</v>
      </c>
      <c r="S31" s="810">
        <v>1369.54</v>
      </c>
      <c r="T31" s="810">
        <v>1221.8499999999999</v>
      </c>
      <c r="U31" s="90"/>
      <c r="V31" s="930"/>
      <c r="W31" s="930"/>
      <c r="X31" s="930"/>
      <c r="Y31" s="930"/>
    </row>
    <row r="32" spans="1:25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R35" s="66"/>
      <c r="S35" s="66"/>
    </row>
    <row r="36" spans="1:20" ht="13.25" customHeight="1">
      <c r="R36" s="68"/>
      <c r="S36" s="68"/>
    </row>
    <row r="37" spans="1:20" ht="13.25" customHeight="1">
      <c r="R37" s="66"/>
      <c r="S37" s="66"/>
    </row>
    <row r="38" spans="1:20" ht="13.25" customHeight="1">
      <c r="R38" s="66"/>
      <c r="S38" s="66"/>
    </row>
    <row r="39" spans="1:20" ht="13.25" customHeight="1">
      <c r="R39" s="62"/>
      <c r="S39" s="62"/>
    </row>
    <row r="40" spans="1:20" ht="13.25" customHeight="1">
      <c r="R40" s="66"/>
      <c r="S40" s="66"/>
    </row>
    <row r="41" spans="1:20" ht="13.25" customHeight="1">
      <c r="R41" s="66"/>
      <c r="S41" s="66"/>
    </row>
    <row r="42" spans="1:20" ht="13.25" customHeight="1">
      <c r="R42" s="66"/>
      <c r="S42" s="66"/>
    </row>
    <row r="43" spans="1:20" ht="13.25" customHeight="1">
      <c r="R43" s="66"/>
      <c r="S43" s="66"/>
    </row>
    <row r="44" spans="1:20" ht="13.25" customHeight="1">
      <c r="R44" s="66"/>
      <c r="S44" s="66"/>
    </row>
    <row r="45" spans="1:20" ht="13.25" customHeight="1">
      <c r="R45" s="66"/>
      <c r="S45" s="66"/>
    </row>
    <row r="46" spans="1:20" ht="13.25" customHeight="1">
      <c r="R46" s="66"/>
      <c r="S46" s="66"/>
    </row>
    <row r="47" spans="1:20" ht="13.25" customHeight="1">
      <c r="R47" s="66"/>
      <c r="S47" s="66"/>
    </row>
    <row r="48" spans="1:20" ht="13.25" customHeight="1">
      <c r="R48" s="66"/>
      <c r="S48" s="66"/>
    </row>
    <row r="49" spans="18:19" ht="13.25" customHeight="1">
      <c r="R49" s="66"/>
      <c r="S49" s="66"/>
    </row>
    <row r="50" spans="18:19" ht="13.25" customHeight="1">
      <c r="R50" s="66"/>
      <c r="S50" s="66"/>
    </row>
    <row r="51" spans="18:19" ht="13.25" customHeight="1">
      <c r="R51" s="66"/>
      <c r="S51" s="66"/>
    </row>
    <row r="52" spans="18:19" ht="13.25" customHeight="1">
      <c r="R52" s="62"/>
      <c r="S52" s="62"/>
    </row>
    <row r="53" spans="18:19" ht="13.25" customHeight="1">
      <c r="R53" s="66"/>
      <c r="S53" s="66"/>
    </row>
    <row r="54" spans="18:19" ht="13.25" customHeight="1">
      <c r="R54" s="66"/>
      <c r="S54" s="66"/>
    </row>
    <row r="55" spans="18:19" ht="13.25" customHeight="1">
      <c r="R55" s="66"/>
      <c r="S55" s="66"/>
    </row>
    <row r="56" spans="18:19" ht="13.25" customHeight="1">
      <c r="R56" s="66"/>
      <c r="S56" s="66"/>
    </row>
    <row r="57" spans="18:19" ht="13.25" customHeight="1">
      <c r="R57" s="66"/>
      <c r="S57" s="66"/>
    </row>
    <row r="58" spans="18:19" ht="13.25" customHeight="1" thickBot="1">
      <c r="R58" s="70"/>
      <c r="S58" s="66"/>
    </row>
    <row r="59" spans="18:19" ht="13.25" customHeight="1">
      <c r="R59" s="11"/>
      <c r="S59" s="11"/>
    </row>
    <row r="60" spans="18:19" ht="13.25" customHeight="1">
      <c r="R60" s="11"/>
      <c r="S60" s="11"/>
    </row>
    <row r="61" spans="18:19" ht="13.25" customHeight="1">
      <c r="R61" s="71"/>
      <c r="S61" s="71"/>
    </row>
    <row r="62" spans="18:19" ht="13.25" customHeight="1">
      <c r="R62" s="62"/>
      <c r="S62" s="62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>
    <tabColor theme="9" tint="0.59999389629810485"/>
  </sheetPr>
  <dimension ref="A2:Y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6.796875" style="82" customWidth="1"/>
    <col min="22" max="16384" width="7" style="82"/>
  </cols>
  <sheetData>
    <row r="2" spans="1:25" ht="13.25" customHeight="1">
      <c r="A2" s="230" t="s">
        <v>494</v>
      </c>
      <c r="B2" s="231"/>
    </row>
    <row r="3" spans="1:25" ht="13.25" customHeight="1">
      <c r="A3" s="232" t="s">
        <v>421</v>
      </c>
      <c r="B3" s="232"/>
      <c r="O3" s="162"/>
      <c r="P3" s="162"/>
      <c r="Q3" s="162"/>
    </row>
    <row r="4" spans="1:25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5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  <c r="U5" s="163"/>
    </row>
    <row r="6" spans="1:25" ht="15" customHeight="1">
      <c r="A6" s="963" t="s">
        <v>103</v>
      </c>
      <c r="B6" s="963"/>
      <c r="C6" s="570">
        <v>0.84</v>
      </c>
      <c r="D6" s="570">
        <v>0.84</v>
      </c>
      <c r="E6" s="570">
        <v>0.83</v>
      </c>
      <c r="F6" s="570">
        <v>0.89</v>
      </c>
      <c r="G6" s="570">
        <v>0.94</v>
      </c>
      <c r="H6" s="570">
        <v>0.95</v>
      </c>
      <c r="I6" s="570">
        <v>0.98</v>
      </c>
      <c r="J6" s="570">
        <v>1.04</v>
      </c>
      <c r="K6" s="570">
        <v>1.1000000000000001</v>
      </c>
      <c r="L6" s="570">
        <v>1.1499999999999999</v>
      </c>
      <c r="M6" s="570">
        <v>1.18</v>
      </c>
      <c r="N6" s="570">
        <v>1.2</v>
      </c>
      <c r="O6" s="570">
        <v>1.24</v>
      </c>
      <c r="P6" s="570">
        <v>1.27</v>
      </c>
      <c r="Q6" s="570">
        <v>1.3</v>
      </c>
      <c r="R6" s="570">
        <v>1.33</v>
      </c>
      <c r="S6" s="570">
        <v>1.4</v>
      </c>
      <c r="T6" s="570">
        <v>1.45</v>
      </c>
    </row>
    <row r="7" spans="1:25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5" ht="13.25" customHeight="1">
      <c r="A8" s="83"/>
      <c r="B8" s="23" t="s">
        <v>21</v>
      </c>
      <c r="C8" s="238">
        <v>1.41</v>
      </c>
      <c r="D8" s="238">
        <v>1.46</v>
      </c>
      <c r="E8" s="238">
        <v>1.56</v>
      </c>
      <c r="F8" s="238">
        <v>1.54</v>
      </c>
      <c r="G8" s="238">
        <v>1.53</v>
      </c>
      <c r="H8" s="238">
        <v>1.26</v>
      </c>
      <c r="I8" s="238">
        <v>1.25</v>
      </c>
      <c r="J8" s="238">
        <v>1.3</v>
      </c>
      <c r="K8" s="238">
        <v>1.61</v>
      </c>
      <c r="L8" s="238">
        <v>1.77</v>
      </c>
      <c r="M8" s="238">
        <v>1.87</v>
      </c>
      <c r="N8" s="238">
        <v>1.88</v>
      </c>
      <c r="O8" s="238">
        <v>1.75</v>
      </c>
      <c r="P8" s="238">
        <v>1.84</v>
      </c>
      <c r="Q8" s="238">
        <v>1.94</v>
      </c>
      <c r="R8" s="238">
        <v>1.94</v>
      </c>
      <c r="S8" s="238">
        <v>2</v>
      </c>
      <c r="T8" s="238">
        <v>2.04</v>
      </c>
      <c r="V8" s="161"/>
      <c r="W8" s="161"/>
      <c r="X8" s="161"/>
      <c r="Y8" s="161"/>
    </row>
    <row r="9" spans="1:25" ht="13.25" customHeight="1">
      <c r="A9" s="83"/>
      <c r="B9" s="23" t="s">
        <v>22</v>
      </c>
      <c r="C9" s="238">
        <v>1.03</v>
      </c>
      <c r="D9" s="238">
        <v>1.05</v>
      </c>
      <c r="E9" s="238">
        <v>1.03</v>
      </c>
      <c r="F9" s="238">
        <v>1.07</v>
      </c>
      <c r="G9" s="238">
        <v>1.18</v>
      </c>
      <c r="H9" s="238">
        <v>1.0900000000000001</v>
      </c>
      <c r="I9" s="238">
        <v>1.05</v>
      </c>
      <c r="J9" s="238">
        <v>1.27</v>
      </c>
      <c r="K9" s="238">
        <v>1.4</v>
      </c>
      <c r="L9" s="238">
        <v>1.46</v>
      </c>
      <c r="M9" s="238">
        <v>1.44</v>
      </c>
      <c r="N9" s="238">
        <v>1.54</v>
      </c>
      <c r="O9" s="238">
        <v>1.58</v>
      </c>
      <c r="P9" s="238">
        <v>1.64</v>
      </c>
      <c r="Q9" s="238">
        <v>1.74</v>
      </c>
      <c r="R9" s="238">
        <v>1.79</v>
      </c>
      <c r="S9" s="238">
        <v>1.8</v>
      </c>
      <c r="T9" s="238">
        <v>1.84</v>
      </c>
      <c r="V9" s="161"/>
      <c r="W9" s="161"/>
      <c r="X9" s="161"/>
    </row>
    <row r="10" spans="1:25" ht="13.25" customHeight="1">
      <c r="A10" s="83"/>
      <c r="B10" s="23" t="s">
        <v>23</v>
      </c>
      <c r="C10" s="238">
        <v>0.77</v>
      </c>
      <c r="D10" s="238">
        <v>0.7</v>
      </c>
      <c r="E10" s="238">
        <v>0.73</v>
      </c>
      <c r="F10" s="238">
        <v>0.9</v>
      </c>
      <c r="G10" s="238">
        <v>0.94</v>
      </c>
      <c r="H10" s="238">
        <v>0.94</v>
      </c>
      <c r="I10" s="238">
        <v>0.96</v>
      </c>
      <c r="J10" s="238">
        <v>1.01</v>
      </c>
      <c r="K10" s="238">
        <v>1.1599999999999999</v>
      </c>
      <c r="L10" s="238">
        <v>1.31</v>
      </c>
      <c r="M10" s="238">
        <v>1.19</v>
      </c>
      <c r="N10" s="238">
        <v>1.21</v>
      </c>
      <c r="O10" s="238">
        <v>1.19</v>
      </c>
      <c r="P10" s="238">
        <v>1.26</v>
      </c>
      <c r="Q10" s="238">
        <v>1.29</v>
      </c>
      <c r="R10" s="238">
        <v>1.3</v>
      </c>
      <c r="S10" s="238">
        <v>1.33</v>
      </c>
      <c r="T10" s="238">
        <v>1.39</v>
      </c>
      <c r="V10" s="161"/>
      <c r="W10" s="161"/>
      <c r="X10" s="161"/>
    </row>
    <row r="11" spans="1:25" ht="13.25" customHeight="1">
      <c r="A11" s="83"/>
      <c r="B11" s="23" t="s">
        <v>24</v>
      </c>
      <c r="C11" s="238">
        <v>0.88</v>
      </c>
      <c r="D11" s="238">
        <v>0.89</v>
      </c>
      <c r="E11" s="238">
        <v>0.82</v>
      </c>
      <c r="F11" s="238">
        <v>0.84</v>
      </c>
      <c r="G11" s="238">
        <v>0.83</v>
      </c>
      <c r="H11" s="238">
        <v>0.82</v>
      </c>
      <c r="I11" s="238">
        <v>0.84</v>
      </c>
      <c r="J11" s="238">
        <v>0.88</v>
      </c>
      <c r="K11" s="238">
        <v>1.1399999999999999</v>
      </c>
      <c r="L11" s="238">
        <v>1.1399999999999999</v>
      </c>
      <c r="M11" s="238">
        <v>1.1399999999999999</v>
      </c>
      <c r="N11" s="238">
        <v>1.1100000000000001</v>
      </c>
      <c r="O11" s="238">
        <v>1.1200000000000001</v>
      </c>
      <c r="P11" s="238">
        <v>1.1499999999999999</v>
      </c>
      <c r="Q11" s="238">
        <v>1.2</v>
      </c>
      <c r="R11" s="238">
        <v>1.38</v>
      </c>
      <c r="S11" s="238">
        <v>1.49</v>
      </c>
      <c r="T11" s="238">
        <v>1.54</v>
      </c>
      <c r="V11" s="161"/>
      <c r="W11" s="161"/>
      <c r="X11" s="161"/>
    </row>
    <row r="12" spans="1:25" ht="13.25" customHeight="1">
      <c r="A12" s="83"/>
      <c r="B12" s="23" t="s">
        <v>25</v>
      </c>
      <c r="C12" s="238">
        <v>0.69</v>
      </c>
      <c r="D12" s="238">
        <v>0.71</v>
      </c>
      <c r="E12" s="238">
        <v>0.71</v>
      </c>
      <c r="F12" s="238">
        <v>0.74</v>
      </c>
      <c r="G12" s="238">
        <v>0.81</v>
      </c>
      <c r="H12" s="238">
        <v>0.79</v>
      </c>
      <c r="I12" s="238">
        <v>0.84</v>
      </c>
      <c r="J12" s="238">
        <v>0.87</v>
      </c>
      <c r="K12" s="238">
        <v>0.91</v>
      </c>
      <c r="L12" s="238">
        <v>0.97</v>
      </c>
      <c r="M12" s="238">
        <v>1.02</v>
      </c>
      <c r="N12" s="238">
        <v>1.08</v>
      </c>
      <c r="O12" s="238">
        <v>1.2</v>
      </c>
      <c r="P12" s="238">
        <v>1.21</v>
      </c>
      <c r="Q12" s="238">
        <v>1.23</v>
      </c>
      <c r="R12" s="238">
        <v>1.25</v>
      </c>
      <c r="S12" s="238">
        <v>1.3</v>
      </c>
      <c r="T12" s="238">
        <v>1.34</v>
      </c>
      <c r="V12" s="161"/>
      <c r="W12" s="161"/>
      <c r="X12" s="161"/>
    </row>
    <row r="13" spans="1:25" ht="13.25" customHeight="1">
      <c r="A13" s="83"/>
      <c r="B13" s="23" t="s">
        <v>29</v>
      </c>
      <c r="C13" s="238">
        <v>0.92</v>
      </c>
      <c r="D13" s="238">
        <v>0.89</v>
      </c>
      <c r="E13" s="238">
        <v>0.86</v>
      </c>
      <c r="F13" s="238">
        <v>0.75</v>
      </c>
      <c r="G13" s="238">
        <v>0.8</v>
      </c>
      <c r="H13" s="238">
        <v>0.82</v>
      </c>
      <c r="I13" s="238">
        <v>0.99</v>
      </c>
      <c r="J13" s="238">
        <v>0.99</v>
      </c>
      <c r="K13" s="238">
        <v>1</v>
      </c>
      <c r="L13" s="238">
        <v>0.92</v>
      </c>
      <c r="M13" s="238">
        <v>0.97</v>
      </c>
      <c r="N13" s="238">
        <v>1.04</v>
      </c>
      <c r="O13" s="238">
        <v>1.1399999999999999</v>
      </c>
      <c r="P13" s="238">
        <v>1.19</v>
      </c>
      <c r="Q13" s="238">
        <v>1.29</v>
      </c>
      <c r="R13" s="238">
        <v>1.3</v>
      </c>
      <c r="S13" s="238">
        <v>1.33</v>
      </c>
      <c r="T13" s="238">
        <v>1.42</v>
      </c>
      <c r="V13" s="161"/>
      <c r="W13" s="161"/>
      <c r="X13" s="161"/>
    </row>
    <row r="14" spans="1:25" ht="13.25" customHeight="1">
      <c r="A14" s="83"/>
      <c r="B14" s="23" t="s">
        <v>30</v>
      </c>
      <c r="C14" s="238">
        <v>1.02</v>
      </c>
      <c r="D14" s="238">
        <v>1.08</v>
      </c>
      <c r="E14" s="238">
        <v>1</v>
      </c>
      <c r="F14" s="238">
        <v>0.96</v>
      </c>
      <c r="G14" s="238">
        <v>0.98</v>
      </c>
      <c r="H14" s="238">
        <v>1.01</v>
      </c>
      <c r="I14" s="238">
        <v>1</v>
      </c>
      <c r="J14" s="238">
        <v>1.02</v>
      </c>
      <c r="K14" s="238">
        <v>1.24</v>
      </c>
      <c r="L14" s="238">
        <v>1.3</v>
      </c>
      <c r="M14" s="238">
        <v>1.36</v>
      </c>
      <c r="N14" s="238">
        <v>1.45</v>
      </c>
      <c r="O14" s="238">
        <v>1.1599999999999999</v>
      </c>
      <c r="P14" s="238">
        <v>1.1499999999999999</v>
      </c>
      <c r="Q14" s="238">
        <v>1.26</v>
      </c>
      <c r="R14" s="238">
        <v>1.29</v>
      </c>
      <c r="S14" s="238">
        <v>1.38</v>
      </c>
      <c r="T14" s="238">
        <v>1.43</v>
      </c>
      <c r="V14" s="161"/>
      <c r="W14" s="161"/>
      <c r="X14" s="161"/>
    </row>
    <row r="15" spans="1:25" ht="13.25" customHeight="1">
      <c r="A15" s="83"/>
      <c r="B15" s="23" t="s">
        <v>31</v>
      </c>
      <c r="C15" s="238">
        <v>0.9</v>
      </c>
      <c r="D15" s="238">
        <v>0.89</v>
      </c>
      <c r="E15" s="238">
        <v>0.87</v>
      </c>
      <c r="F15" s="238">
        <v>0.9</v>
      </c>
      <c r="G15" s="238">
        <v>0.94</v>
      </c>
      <c r="H15" s="238">
        <v>1.01</v>
      </c>
      <c r="I15" s="238">
        <v>1.06</v>
      </c>
      <c r="J15" s="238">
        <v>1.0900000000000001</v>
      </c>
      <c r="K15" s="238">
        <v>1.17</v>
      </c>
      <c r="L15" s="238">
        <v>1.22</v>
      </c>
      <c r="M15" s="238">
        <v>1.26</v>
      </c>
      <c r="N15" s="238">
        <v>1.27</v>
      </c>
      <c r="O15" s="238">
        <v>1.3</v>
      </c>
      <c r="P15" s="238">
        <v>1.36</v>
      </c>
      <c r="Q15" s="238">
        <v>1.39</v>
      </c>
      <c r="R15" s="238">
        <v>1.43</v>
      </c>
      <c r="S15" s="238">
        <v>1.51</v>
      </c>
      <c r="T15" s="238">
        <v>1.56</v>
      </c>
      <c r="V15" s="161"/>
      <c r="W15" s="161"/>
      <c r="X15" s="161"/>
    </row>
    <row r="16" spans="1:25" ht="13.25" customHeight="1">
      <c r="A16" s="83"/>
      <c r="B16" s="23" t="s">
        <v>32</v>
      </c>
      <c r="C16" s="238">
        <v>0.92</v>
      </c>
      <c r="D16" s="238">
        <v>0.81</v>
      </c>
      <c r="E16" s="238">
        <v>0.74</v>
      </c>
      <c r="F16" s="238">
        <v>0.81</v>
      </c>
      <c r="G16" s="238">
        <v>0.89</v>
      </c>
      <c r="H16" s="238">
        <v>0.92</v>
      </c>
      <c r="I16" s="238">
        <v>0.89</v>
      </c>
      <c r="J16" s="238">
        <v>0.91</v>
      </c>
      <c r="K16" s="238">
        <v>1.05</v>
      </c>
      <c r="L16" s="238">
        <v>1.04</v>
      </c>
      <c r="M16" s="238">
        <v>1.0900000000000001</v>
      </c>
      <c r="N16" s="238">
        <v>1.18</v>
      </c>
      <c r="O16" s="238">
        <v>1.1399999999999999</v>
      </c>
      <c r="P16" s="238">
        <v>1.19</v>
      </c>
      <c r="Q16" s="238">
        <v>1.26</v>
      </c>
      <c r="R16" s="238">
        <v>1.3</v>
      </c>
      <c r="S16" s="238">
        <v>1.46</v>
      </c>
      <c r="T16" s="238">
        <v>1.53</v>
      </c>
      <c r="V16" s="161"/>
      <c r="W16" s="161"/>
      <c r="X16" s="161"/>
    </row>
    <row r="17" spans="1:24" ht="13.25" customHeight="1">
      <c r="A17" s="83"/>
      <c r="B17" s="23" t="s">
        <v>33</v>
      </c>
      <c r="C17" s="238">
        <v>1.29</v>
      </c>
      <c r="D17" s="238">
        <v>1.3</v>
      </c>
      <c r="E17" s="238">
        <v>1.28</v>
      </c>
      <c r="F17" s="238">
        <v>1.26</v>
      </c>
      <c r="G17" s="238">
        <v>1.26</v>
      </c>
      <c r="H17" s="238">
        <v>1.28</v>
      </c>
      <c r="I17" s="238">
        <v>1.1299999999999999</v>
      </c>
      <c r="J17" s="238">
        <v>1.1399999999999999</v>
      </c>
      <c r="K17" s="238">
        <v>1.57</v>
      </c>
      <c r="L17" s="238">
        <v>1.42</v>
      </c>
      <c r="M17" s="238">
        <v>1.33</v>
      </c>
      <c r="N17" s="238">
        <v>1.4</v>
      </c>
      <c r="O17" s="238">
        <v>1.41</v>
      </c>
      <c r="P17" s="238">
        <v>1.44</v>
      </c>
      <c r="Q17" s="238">
        <v>1.48</v>
      </c>
      <c r="R17" s="238">
        <v>1.49</v>
      </c>
      <c r="S17" s="238">
        <v>1.53</v>
      </c>
      <c r="T17" s="238">
        <v>1.58</v>
      </c>
      <c r="V17" s="161"/>
      <c r="W17" s="161"/>
      <c r="X17" s="161"/>
    </row>
    <row r="18" spans="1:24" ht="13.25" customHeight="1">
      <c r="A18" s="83"/>
      <c r="B18" s="23" t="s">
        <v>34</v>
      </c>
      <c r="C18" s="238">
        <v>1.19</v>
      </c>
      <c r="D18" s="238">
        <v>0.84</v>
      </c>
      <c r="E18" s="238">
        <v>1.24</v>
      </c>
      <c r="F18" s="238">
        <v>1.03</v>
      </c>
      <c r="G18" s="238">
        <v>1.07</v>
      </c>
      <c r="H18" s="238">
        <v>1.0900000000000001</v>
      </c>
      <c r="I18" s="238">
        <v>1.1100000000000001</v>
      </c>
      <c r="J18" s="238">
        <v>1.1499999999999999</v>
      </c>
      <c r="K18" s="238">
        <v>1.19</v>
      </c>
      <c r="L18" s="238">
        <v>1.18</v>
      </c>
      <c r="M18" s="238">
        <v>1.25</v>
      </c>
      <c r="N18" s="238">
        <v>1.29</v>
      </c>
      <c r="O18" s="238">
        <v>1.38</v>
      </c>
      <c r="P18" s="238">
        <v>1.45</v>
      </c>
      <c r="Q18" s="238">
        <v>1.46</v>
      </c>
      <c r="R18" s="238">
        <v>1.5</v>
      </c>
      <c r="S18" s="238">
        <v>1.52</v>
      </c>
      <c r="T18" s="238">
        <v>1.52</v>
      </c>
      <c r="V18" s="161"/>
      <c r="W18" s="161"/>
      <c r="X18" s="161"/>
    </row>
    <row r="19" spans="1:24" ht="13.25" customHeight="1">
      <c r="A19" s="83"/>
      <c r="B19" s="23" t="s">
        <v>35</v>
      </c>
      <c r="C19" s="238">
        <v>0.93</v>
      </c>
      <c r="D19" s="238">
        <v>0.96</v>
      </c>
      <c r="E19" s="238">
        <v>0.99</v>
      </c>
      <c r="F19" s="238">
        <v>1.05</v>
      </c>
      <c r="G19" s="238">
        <v>1.1200000000000001</v>
      </c>
      <c r="H19" s="238">
        <v>1.1100000000000001</v>
      </c>
      <c r="I19" s="238">
        <v>1.1000000000000001</v>
      </c>
      <c r="J19" s="238">
        <v>1.1200000000000001</v>
      </c>
      <c r="K19" s="238">
        <v>1.22</v>
      </c>
      <c r="L19" s="238">
        <v>1.25</v>
      </c>
      <c r="M19" s="238">
        <v>1.31</v>
      </c>
      <c r="N19" s="238">
        <v>1.29</v>
      </c>
      <c r="O19" s="238">
        <v>1.35</v>
      </c>
      <c r="P19" s="238">
        <v>1.37</v>
      </c>
      <c r="Q19" s="238">
        <v>1.31</v>
      </c>
      <c r="R19" s="238">
        <v>1.34</v>
      </c>
      <c r="S19" s="238">
        <v>1.5</v>
      </c>
      <c r="T19" s="238">
        <v>1.58</v>
      </c>
      <c r="V19" s="161"/>
      <c r="W19" s="161"/>
      <c r="X19" s="161"/>
    </row>
    <row r="20" spans="1:24" ht="13.25" customHeight="1">
      <c r="A20" s="83"/>
      <c r="B20" s="23" t="s">
        <v>36</v>
      </c>
      <c r="C20" s="238">
        <v>1</v>
      </c>
      <c r="D20" s="238">
        <v>1.08</v>
      </c>
      <c r="E20" s="238">
        <v>0.99</v>
      </c>
      <c r="F20" s="238">
        <v>1.08</v>
      </c>
      <c r="G20" s="238">
        <v>1.1100000000000001</v>
      </c>
      <c r="H20" s="238">
        <v>1.1399999999999999</v>
      </c>
      <c r="I20" s="238">
        <v>1.1200000000000001</v>
      </c>
      <c r="J20" s="238">
        <v>1.08</v>
      </c>
      <c r="K20" s="238">
        <v>1.1599999999999999</v>
      </c>
      <c r="L20" s="238">
        <v>1.21</v>
      </c>
      <c r="M20" s="238">
        <v>1.18</v>
      </c>
      <c r="N20" s="238">
        <v>1.2</v>
      </c>
      <c r="O20" s="238">
        <v>1.18</v>
      </c>
      <c r="P20" s="238">
        <v>1.19</v>
      </c>
      <c r="Q20" s="238">
        <v>1.22</v>
      </c>
      <c r="R20" s="238">
        <v>1.25</v>
      </c>
      <c r="S20" s="238">
        <v>1.28</v>
      </c>
      <c r="T20" s="238">
        <v>1.31</v>
      </c>
      <c r="V20" s="161"/>
      <c r="W20" s="161"/>
      <c r="X20" s="161"/>
    </row>
    <row r="21" spans="1:24" ht="13.25" customHeight="1">
      <c r="A21" s="83"/>
      <c r="B21" s="23" t="s">
        <v>37</v>
      </c>
      <c r="C21" s="238">
        <v>0.71</v>
      </c>
      <c r="D21" s="238">
        <v>0.73</v>
      </c>
      <c r="E21" s="238">
        <v>0.74</v>
      </c>
      <c r="F21" s="238">
        <v>0.9</v>
      </c>
      <c r="G21" s="238">
        <v>0.94</v>
      </c>
      <c r="H21" s="238">
        <v>0.95</v>
      </c>
      <c r="I21" s="238">
        <v>0.98</v>
      </c>
      <c r="J21" s="238">
        <v>1.05</v>
      </c>
      <c r="K21" s="238">
        <v>1.0900000000000001</v>
      </c>
      <c r="L21" s="238">
        <v>1.1200000000000001</v>
      </c>
      <c r="M21" s="238">
        <v>1.1100000000000001</v>
      </c>
      <c r="N21" s="238">
        <v>1.1200000000000001</v>
      </c>
      <c r="O21" s="238">
        <v>1.1399999999999999</v>
      </c>
      <c r="P21" s="238">
        <v>1.19</v>
      </c>
      <c r="Q21" s="238">
        <v>1.22</v>
      </c>
      <c r="R21" s="238">
        <v>1.24</v>
      </c>
      <c r="S21" s="238">
        <v>1.3</v>
      </c>
      <c r="T21" s="238">
        <v>1.37</v>
      </c>
      <c r="V21" s="161"/>
      <c r="W21" s="161"/>
      <c r="X21" s="161"/>
    </row>
    <row r="22" spans="1:24" ht="13.25" customHeight="1">
      <c r="A22" s="83"/>
      <c r="B22" s="23" t="s">
        <v>38</v>
      </c>
      <c r="C22" s="238">
        <v>0.85</v>
      </c>
      <c r="D22" s="238">
        <v>0.8</v>
      </c>
      <c r="E22" s="238">
        <v>0.8</v>
      </c>
      <c r="F22" s="238">
        <v>0.88</v>
      </c>
      <c r="G22" s="238">
        <v>0.94</v>
      </c>
      <c r="H22" s="238">
        <v>0.94</v>
      </c>
      <c r="I22" s="238">
        <v>0.97</v>
      </c>
      <c r="J22" s="238">
        <v>1.01</v>
      </c>
      <c r="K22" s="238">
        <v>1.01</v>
      </c>
      <c r="L22" s="238">
        <v>1.03</v>
      </c>
      <c r="M22" s="238">
        <v>1.1000000000000001</v>
      </c>
      <c r="N22" s="238">
        <v>1.1399999999999999</v>
      </c>
      <c r="O22" s="238">
        <v>1.25</v>
      </c>
      <c r="P22" s="238">
        <v>1.27</v>
      </c>
      <c r="Q22" s="238">
        <v>1.33</v>
      </c>
      <c r="R22" s="238">
        <v>1.36</v>
      </c>
      <c r="S22" s="238">
        <v>1.32</v>
      </c>
      <c r="T22" s="238">
        <v>1.34</v>
      </c>
      <c r="V22" s="161"/>
      <c r="W22" s="161"/>
      <c r="X22" s="161"/>
    </row>
    <row r="23" spans="1:24" ht="13.25" customHeight="1">
      <c r="A23" s="83"/>
      <c r="B23" s="23" t="s">
        <v>39</v>
      </c>
      <c r="C23" s="238">
        <v>0.72</v>
      </c>
      <c r="D23" s="238">
        <v>0.83</v>
      </c>
      <c r="E23" s="238">
        <v>0.8</v>
      </c>
      <c r="F23" s="238">
        <v>0.85</v>
      </c>
      <c r="G23" s="238">
        <v>0.94</v>
      </c>
      <c r="H23" s="238">
        <v>0.89</v>
      </c>
      <c r="I23" s="238">
        <v>0.95</v>
      </c>
      <c r="J23" s="238">
        <v>1.0900000000000001</v>
      </c>
      <c r="K23" s="238">
        <v>1.06</v>
      </c>
      <c r="L23" s="238">
        <v>1.1100000000000001</v>
      </c>
      <c r="M23" s="238">
        <v>1.1000000000000001</v>
      </c>
      <c r="N23" s="238">
        <v>1.0900000000000001</v>
      </c>
      <c r="O23" s="238">
        <v>1.1499999999999999</v>
      </c>
      <c r="P23" s="238">
        <v>1.17</v>
      </c>
      <c r="Q23" s="238">
        <v>1.22</v>
      </c>
      <c r="R23" s="238">
        <v>1.32</v>
      </c>
      <c r="S23" s="238">
        <v>1.39</v>
      </c>
      <c r="T23" s="238">
        <v>1.44</v>
      </c>
      <c r="V23" s="161"/>
      <c r="W23" s="161"/>
      <c r="X23" s="161"/>
    </row>
    <row r="24" spans="1:24" ht="13.25" customHeight="1">
      <c r="A24" s="83"/>
      <c r="B24" s="23" t="s">
        <v>40</v>
      </c>
      <c r="C24" s="238">
        <v>1.06</v>
      </c>
      <c r="D24" s="238">
        <v>1.1399999999999999</v>
      </c>
      <c r="E24" s="238">
        <v>1.08</v>
      </c>
      <c r="F24" s="238">
        <v>1.1000000000000001</v>
      </c>
      <c r="G24" s="238">
        <v>1.21</v>
      </c>
      <c r="H24" s="238">
        <v>1.22</v>
      </c>
      <c r="I24" s="238">
        <v>1.1499999999999999</v>
      </c>
      <c r="J24" s="238">
        <v>1.38</v>
      </c>
      <c r="K24" s="238">
        <v>1.28</v>
      </c>
      <c r="L24" s="238">
        <v>1.35</v>
      </c>
      <c r="M24" s="238">
        <v>1.35</v>
      </c>
      <c r="N24" s="238">
        <v>1.47</v>
      </c>
      <c r="O24" s="238">
        <v>1.43</v>
      </c>
      <c r="P24" s="238">
        <v>1.45</v>
      </c>
      <c r="Q24" s="238">
        <v>1.51</v>
      </c>
      <c r="R24" s="238">
        <v>1.53</v>
      </c>
      <c r="S24" s="238">
        <v>1.57</v>
      </c>
      <c r="T24" s="238">
        <v>1.61</v>
      </c>
      <c r="V24" s="161"/>
      <c r="W24" s="161"/>
      <c r="X24" s="161"/>
    </row>
    <row r="25" spans="1:24" ht="13.25" customHeight="1">
      <c r="A25" s="83"/>
      <c r="B25" s="23" t="s">
        <v>41</v>
      </c>
      <c r="C25" s="238">
        <v>1.1100000000000001</v>
      </c>
      <c r="D25" s="238">
        <v>1.17</v>
      </c>
      <c r="E25" s="238">
        <v>1.1499999999999999</v>
      </c>
      <c r="F25" s="238">
        <v>1.24</v>
      </c>
      <c r="G25" s="238">
        <v>1.3</v>
      </c>
      <c r="H25" s="238">
        <v>1.18</v>
      </c>
      <c r="I25" s="238">
        <v>1.1599999999999999</v>
      </c>
      <c r="J25" s="238">
        <v>1.2</v>
      </c>
      <c r="K25" s="238">
        <v>1.2</v>
      </c>
      <c r="L25" s="238">
        <v>1.18</v>
      </c>
      <c r="M25" s="238">
        <v>1.25</v>
      </c>
      <c r="N25" s="238">
        <v>1.3</v>
      </c>
      <c r="O25" s="238">
        <v>1.3</v>
      </c>
      <c r="P25" s="238">
        <v>1.31</v>
      </c>
      <c r="Q25" s="238">
        <v>1.33</v>
      </c>
      <c r="R25" s="238">
        <v>1.32</v>
      </c>
      <c r="S25" s="238">
        <v>1.32</v>
      </c>
      <c r="T25" s="238">
        <v>1.34</v>
      </c>
      <c r="V25" s="161"/>
      <c r="W25" s="161"/>
      <c r="X25" s="161"/>
    </row>
    <row r="26" spans="1:24" ht="13.25" customHeight="1">
      <c r="A26" s="83"/>
      <c r="B26" s="23" t="s">
        <v>44</v>
      </c>
      <c r="C26" s="238">
        <v>1.05</v>
      </c>
      <c r="D26" s="238">
        <v>1.07</v>
      </c>
      <c r="E26" s="238">
        <v>1.05</v>
      </c>
      <c r="F26" s="238">
        <v>1.0900000000000001</v>
      </c>
      <c r="G26" s="238">
        <v>1.1200000000000001</v>
      </c>
      <c r="H26" s="238">
        <v>1.06</v>
      </c>
      <c r="I26" s="238">
        <v>1.07</v>
      </c>
      <c r="J26" s="238">
        <v>1.1100000000000001</v>
      </c>
      <c r="K26" s="238">
        <v>1.17</v>
      </c>
      <c r="L26" s="238">
        <v>1.24</v>
      </c>
      <c r="M26" s="238">
        <v>1.26</v>
      </c>
      <c r="N26" s="238">
        <v>1.27</v>
      </c>
      <c r="O26" s="238">
        <v>1.27</v>
      </c>
      <c r="P26" s="238">
        <v>1.3</v>
      </c>
      <c r="Q26" s="238">
        <v>1.35</v>
      </c>
      <c r="R26" s="238">
        <v>1.35</v>
      </c>
      <c r="S26" s="238">
        <v>1.37</v>
      </c>
      <c r="T26" s="238">
        <v>1.39</v>
      </c>
      <c r="V26" s="161"/>
      <c r="W26" s="161"/>
      <c r="X26" s="161"/>
    </row>
    <row r="27" spans="1:24" ht="13.25" customHeight="1">
      <c r="A27" s="83"/>
      <c r="B27" s="23" t="s">
        <v>45</v>
      </c>
      <c r="C27" s="238">
        <v>0.85</v>
      </c>
      <c r="D27" s="238">
        <v>0.75</v>
      </c>
      <c r="E27" s="238">
        <v>0.76</v>
      </c>
      <c r="F27" s="238">
        <v>0.86</v>
      </c>
      <c r="G27" s="238">
        <v>0.91</v>
      </c>
      <c r="H27" s="238">
        <v>0.95</v>
      </c>
      <c r="I27" s="238">
        <v>0.99</v>
      </c>
      <c r="J27" s="238">
        <v>1.1100000000000001</v>
      </c>
      <c r="K27" s="238">
        <v>1.03</v>
      </c>
      <c r="L27" s="238">
        <v>1.2</v>
      </c>
      <c r="M27" s="238">
        <v>1.38</v>
      </c>
      <c r="N27" s="238">
        <v>1.4</v>
      </c>
      <c r="O27" s="238">
        <v>1.47</v>
      </c>
      <c r="P27" s="238">
        <v>1.34</v>
      </c>
      <c r="Q27" s="238">
        <v>1.2</v>
      </c>
      <c r="R27" s="238">
        <v>1.23</v>
      </c>
      <c r="S27" s="238">
        <v>1.27</v>
      </c>
      <c r="T27" s="238">
        <v>1.43</v>
      </c>
      <c r="V27" s="161"/>
      <c r="W27" s="161"/>
      <c r="X27" s="161"/>
    </row>
    <row r="28" spans="1:24" ht="13.25" customHeight="1">
      <c r="A28" s="83"/>
      <c r="B28" s="82" t="s">
        <v>46</v>
      </c>
      <c r="C28" s="238">
        <v>0.93</v>
      </c>
      <c r="D28" s="238">
        <v>0.96</v>
      </c>
      <c r="E28" s="238">
        <v>0.96</v>
      </c>
      <c r="F28" s="238">
        <v>0.78</v>
      </c>
      <c r="G28" s="238">
        <v>0.81</v>
      </c>
      <c r="H28" s="238">
        <v>0.86</v>
      </c>
      <c r="I28" s="238">
        <v>0.85</v>
      </c>
      <c r="J28" s="238">
        <v>0.92</v>
      </c>
      <c r="K28" s="238">
        <v>0.83</v>
      </c>
      <c r="L28" s="238">
        <v>1.07</v>
      </c>
      <c r="M28" s="238">
        <v>1.1499999999999999</v>
      </c>
      <c r="N28" s="238">
        <v>1.26</v>
      </c>
      <c r="O28" s="238">
        <v>1.28</v>
      </c>
      <c r="P28" s="238">
        <v>1.3</v>
      </c>
      <c r="Q28" s="238">
        <v>1.31</v>
      </c>
      <c r="R28" s="238">
        <v>1.33</v>
      </c>
      <c r="S28" s="238">
        <v>1.38</v>
      </c>
      <c r="T28" s="238">
        <v>1.35</v>
      </c>
      <c r="V28" s="161"/>
      <c r="W28" s="161"/>
      <c r="X28" s="161"/>
    </row>
    <row r="29" spans="1:24" ht="13.25" customHeight="1">
      <c r="A29" s="83"/>
      <c r="B29" s="23" t="s">
        <v>47</v>
      </c>
      <c r="C29" s="238">
        <v>1.43</v>
      </c>
      <c r="D29" s="238">
        <v>1.32</v>
      </c>
      <c r="E29" s="238">
        <v>1.43</v>
      </c>
      <c r="F29" s="238">
        <v>1.29</v>
      </c>
      <c r="G29" s="238">
        <v>1.39</v>
      </c>
      <c r="H29" s="238">
        <v>1.42</v>
      </c>
      <c r="I29" s="238">
        <v>1.4</v>
      </c>
      <c r="J29" s="238">
        <v>1.5</v>
      </c>
      <c r="K29" s="238">
        <v>1.7</v>
      </c>
      <c r="L29" s="238">
        <v>1.87</v>
      </c>
      <c r="M29" s="238">
        <v>1.64</v>
      </c>
      <c r="N29" s="238">
        <v>1.78</v>
      </c>
      <c r="O29" s="238">
        <v>1.73</v>
      </c>
      <c r="P29" s="238">
        <v>1.76</v>
      </c>
      <c r="Q29" s="238">
        <v>1.85</v>
      </c>
      <c r="R29" s="238">
        <v>1.89</v>
      </c>
      <c r="S29" s="238">
        <v>1.9</v>
      </c>
      <c r="T29" s="238">
        <v>1.94</v>
      </c>
      <c r="V29" s="161"/>
      <c r="W29" s="161"/>
      <c r="X29" s="161"/>
    </row>
    <row r="30" spans="1:24" ht="13.25" customHeight="1">
      <c r="A30" s="83"/>
      <c r="B30" s="23" t="s">
        <v>48</v>
      </c>
      <c r="C30" s="238">
        <v>1.28</v>
      </c>
      <c r="D30" s="238">
        <v>1.21</v>
      </c>
      <c r="E30" s="238">
        <v>1.18</v>
      </c>
      <c r="F30" s="238">
        <v>0.94</v>
      </c>
      <c r="G30" s="238">
        <v>0.95</v>
      </c>
      <c r="H30" s="238">
        <v>0.94</v>
      </c>
      <c r="I30" s="238">
        <v>0.94</v>
      </c>
      <c r="J30" s="238">
        <v>0.97</v>
      </c>
      <c r="K30" s="238">
        <v>0.94</v>
      </c>
      <c r="L30" s="238">
        <v>0.94</v>
      </c>
      <c r="M30" s="238">
        <v>0.95</v>
      </c>
      <c r="N30" s="238">
        <v>1</v>
      </c>
      <c r="O30" s="238">
        <v>1.07</v>
      </c>
      <c r="P30" s="238">
        <v>1.42</v>
      </c>
      <c r="Q30" s="238">
        <v>1.53</v>
      </c>
      <c r="R30" s="238">
        <v>1.54</v>
      </c>
      <c r="S30" s="238">
        <v>1.56</v>
      </c>
      <c r="T30" s="238">
        <v>1.6</v>
      </c>
      <c r="V30" s="161"/>
      <c r="W30" s="161"/>
      <c r="X30" s="161"/>
    </row>
    <row r="31" spans="1:24" ht="13.25" customHeight="1" thickBot="1">
      <c r="A31" s="88"/>
      <c r="B31" s="577" t="s">
        <v>49</v>
      </c>
      <c r="C31" s="576">
        <v>1.41</v>
      </c>
      <c r="D31" s="576">
        <v>1.41</v>
      </c>
      <c r="E31" s="576">
        <v>1.38</v>
      </c>
      <c r="F31" s="576">
        <v>1.5</v>
      </c>
      <c r="G31" s="576">
        <v>1.58</v>
      </c>
      <c r="H31" s="576">
        <v>1.56</v>
      </c>
      <c r="I31" s="576">
        <v>1.44</v>
      </c>
      <c r="J31" s="576">
        <v>1.45</v>
      </c>
      <c r="K31" s="576">
        <v>1.63</v>
      </c>
      <c r="L31" s="576">
        <v>1.81</v>
      </c>
      <c r="M31" s="576">
        <v>1.5</v>
      </c>
      <c r="N31" s="576">
        <v>1.62</v>
      </c>
      <c r="O31" s="576">
        <v>1.53</v>
      </c>
      <c r="P31" s="576">
        <v>1.6</v>
      </c>
      <c r="Q31" s="576">
        <v>1.54</v>
      </c>
      <c r="R31" s="576">
        <v>1.55</v>
      </c>
      <c r="S31" s="576">
        <v>1.59</v>
      </c>
      <c r="T31" s="576">
        <v>1.62</v>
      </c>
      <c r="V31" s="161"/>
      <c r="W31" s="161"/>
      <c r="X31" s="161"/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2">
    <tabColor theme="9" tint="0.59999389629810485"/>
  </sheetPr>
  <dimension ref="A2:T67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3984375" style="82" customWidth="1"/>
    <col min="22" max="16384" width="7" style="82"/>
  </cols>
  <sheetData>
    <row r="2" spans="1:20" ht="13.25" customHeight="1">
      <c r="A2" s="230" t="s">
        <v>495</v>
      </c>
      <c r="B2" s="231"/>
    </row>
    <row r="3" spans="1:20" ht="13.25" customHeight="1">
      <c r="A3" s="232" t="s">
        <v>238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96</v>
      </c>
      <c r="B6" s="963"/>
      <c r="C6" s="574">
        <f t="shared" ref="C6:M6" si="0">(C8+C9+C10+C11+C12+C13+C14+C15+C16+C17+C18+C19+C20+C21+C22+C23+C24+C25+C26+C27+C28+C29+C30+C31)</f>
        <v>1946984</v>
      </c>
      <c r="D6" s="574">
        <f t="shared" si="0"/>
        <v>1930625</v>
      </c>
      <c r="E6" s="806">
        <f t="shared" si="0"/>
        <v>1925912</v>
      </c>
      <c r="F6" s="806">
        <f t="shared" si="0"/>
        <v>1904124</v>
      </c>
      <c r="G6" s="806">
        <f t="shared" si="0"/>
        <v>1928678</v>
      </c>
      <c r="H6" s="806">
        <f t="shared" si="0"/>
        <v>1968305</v>
      </c>
      <c r="I6" s="806">
        <f t="shared" si="0"/>
        <v>1946117</v>
      </c>
      <c r="J6" s="806">
        <f t="shared" si="0"/>
        <v>1949502</v>
      </c>
      <c r="K6" s="806">
        <f t="shared" si="0"/>
        <v>1928631</v>
      </c>
      <c r="L6" s="806">
        <f t="shared" si="0"/>
        <v>1905462</v>
      </c>
      <c r="M6" s="806">
        <f t="shared" si="0"/>
        <v>1882361</v>
      </c>
      <c r="N6" s="806">
        <f t="shared" ref="N6:T6" si="1">(N8+N9+N10+N11+N12+N13+N14+N15+N16+N17+N18+N19+N20+N21+N22+N23+N24+N25+N26+N27+N28+N29+N30+N31)</f>
        <v>1865047</v>
      </c>
      <c r="O6" s="806">
        <f t="shared" si="1"/>
        <v>1814704</v>
      </c>
      <c r="P6" s="806">
        <f t="shared" si="1"/>
        <v>1812530</v>
      </c>
      <c r="Q6" s="806">
        <f t="shared" si="1"/>
        <v>1801882</v>
      </c>
      <c r="R6" s="806">
        <f t="shared" si="1"/>
        <v>1784685</v>
      </c>
      <c r="S6" s="806">
        <f t="shared" ref="S6" si="2">(S8+S9+S10+S11+S12+S13+S14+S15+S16+S17+S18+S19+S20+S21+S22+S23+S24+S25+S26+S27+S28+S29+S30+S31)</f>
        <v>1754968.0866501001</v>
      </c>
      <c r="T6" s="806">
        <f t="shared" si="1"/>
        <v>1767611.5</v>
      </c>
    </row>
    <row r="7" spans="1:20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0" ht="13.25" customHeight="1">
      <c r="A8" s="83"/>
      <c r="B8" s="23" t="s">
        <v>21</v>
      </c>
      <c r="C8" s="222">
        <v>101220</v>
      </c>
      <c r="D8" s="222">
        <v>101000</v>
      </c>
      <c r="E8" s="93">
        <v>99100</v>
      </c>
      <c r="F8" s="93">
        <v>87027</v>
      </c>
      <c r="G8" s="93">
        <v>89050</v>
      </c>
      <c r="H8" s="93">
        <v>87290</v>
      </c>
      <c r="I8" s="93">
        <v>81400</v>
      </c>
      <c r="J8" s="93">
        <v>78900</v>
      </c>
      <c r="K8" s="93">
        <v>75000</v>
      </c>
      <c r="L8" s="93">
        <v>62600</v>
      </c>
      <c r="M8" s="808">
        <v>71620</v>
      </c>
      <c r="N8" s="808">
        <v>60648</v>
      </c>
      <c r="O8" s="808">
        <v>62430</v>
      </c>
      <c r="P8" s="808">
        <v>68210</v>
      </c>
      <c r="Q8" s="808">
        <v>65320</v>
      </c>
      <c r="R8" s="808">
        <v>63823</v>
      </c>
      <c r="S8" s="808">
        <v>63678</v>
      </c>
      <c r="T8" s="808">
        <v>63750.5</v>
      </c>
    </row>
    <row r="9" spans="1:20" ht="13.25" customHeight="1">
      <c r="A9" s="83"/>
      <c r="B9" s="23" t="s">
        <v>22</v>
      </c>
      <c r="C9" s="222">
        <v>335100</v>
      </c>
      <c r="D9" s="222">
        <v>341333</v>
      </c>
      <c r="E9" s="93">
        <v>342698</v>
      </c>
      <c r="F9" s="93">
        <v>343180</v>
      </c>
      <c r="G9" s="93">
        <v>359416</v>
      </c>
      <c r="H9" s="93">
        <v>415459</v>
      </c>
      <c r="I9" s="93">
        <v>412459</v>
      </c>
      <c r="J9" s="93">
        <v>417121</v>
      </c>
      <c r="K9" s="93">
        <v>395221</v>
      </c>
      <c r="L9" s="93">
        <v>396861</v>
      </c>
      <c r="M9" s="808">
        <v>391887</v>
      </c>
      <c r="N9" s="808">
        <v>382545</v>
      </c>
      <c r="O9" s="808">
        <v>345496</v>
      </c>
      <c r="P9" s="808">
        <v>346221</v>
      </c>
      <c r="Q9" s="808">
        <v>330221</v>
      </c>
      <c r="R9" s="808">
        <v>330308</v>
      </c>
      <c r="S9" s="808">
        <v>305413.08665009995</v>
      </c>
      <c r="T9" s="808">
        <v>317860.5</v>
      </c>
    </row>
    <row r="10" spans="1:20" ht="13.25" customHeight="1">
      <c r="A10" s="83"/>
      <c r="B10" s="23" t="s">
        <v>23</v>
      </c>
      <c r="C10" s="222">
        <v>60000</v>
      </c>
      <c r="D10" s="222">
        <v>72700</v>
      </c>
      <c r="E10" s="93">
        <v>66341</v>
      </c>
      <c r="F10" s="93">
        <v>74724</v>
      </c>
      <c r="G10" s="93">
        <v>78420</v>
      </c>
      <c r="H10" s="93">
        <v>75437</v>
      </c>
      <c r="I10" s="93">
        <v>77230</v>
      </c>
      <c r="J10" s="93">
        <v>78198</v>
      </c>
      <c r="K10" s="93">
        <v>78098</v>
      </c>
      <c r="L10" s="93">
        <v>75598</v>
      </c>
      <c r="M10" s="93">
        <v>77150</v>
      </c>
      <c r="N10" s="93">
        <v>83968</v>
      </c>
      <c r="O10" s="93">
        <v>91548</v>
      </c>
      <c r="P10" s="93">
        <v>90560</v>
      </c>
      <c r="Q10" s="93">
        <v>106151</v>
      </c>
      <c r="R10" s="93">
        <v>105050</v>
      </c>
      <c r="S10" s="93">
        <v>105680</v>
      </c>
      <c r="T10" s="93">
        <v>104500</v>
      </c>
    </row>
    <row r="11" spans="1:20" ht="13.25" customHeight="1">
      <c r="A11" s="83"/>
      <c r="B11" s="23" t="s">
        <v>24</v>
      </c>
      <c r="C11" s="222">
        <v>130433</v>
      </c>
      <c r="D11" s="222">
        <v>130173</v>
      </c>
      <c r="E11" s="93">
        <v>130243</v>
      </c>
      <c r="F11" s="93">
        <v>130423</v>
      </c>
      <c r="G11" s="93">
        <v>130953</v>
      </c>
      <c r="H11" s="93">
        <v>131492</v>
      </c>
      <c r="I11" s="93">
        <v>131643</v>
      </c>
      <c r="J11" s="93">
        <v>131719</v>
      </c>
      <c r="K11" s="93">
        <v>128495</v>
      </c>
      <c r="L11" s="93">
        <v>116803</v>
      </c>
      <c r="M11" s="808">
        <v>103065</v>
      </c>
      <c r="N11" s="808">
        <v>100605</v>
      </c>
      <c r="O11" s="808">
        <v>98187</v>
      </c>
      <c r="P11" s="808">
        <v>84588</v>
      </c>
      <c r="Q11" s="808">
        <v>82812</v>
      </c>
      <c r="R11" s="808">
        <v>92017</v>
      </c>
      <c r="S11" s="808">
        <v>86812</v>
      </c>
      <c r="T11" s="808">
        <v>85926</v>
      </c>
    </row>
    <row r="12" spans="1:20" ht="13.25" customHeight="1">
      <c r="A12" s="83"/>
      <c r="B12" s="23" t="s">
        <v>25</v>
      </c>
      <c r="C12" s="222">
        <v>96690</v>
      </c>
      <c r="D12" s="222">
        <v>98238</v>
      </c>
      <c r="E12" s="93">
        <v>97950</v>
      </c>
      <c r="F12" s="93">
        <v>91315</v>
      </c>
      <c r="G12" s="93">
        <v>93900</v>
      </c>
      <c r="H12" s="93">
        <v>95518</v>
      </c>
      <c r="I12" s="93">
        <v>87325</v>
      </c>
      <c r="J12" s="93">
        <v>82835</v>
      </c>
      <c r="K12" s="93">
        <v>82206</v>
      </c>
      <c r="L12" s="93">
        <v>82910</v>
      </c>
      <c r="M12" s="808">
        <v>81616</v>
      </c>
      <c r="N12" s="808">
        <v>96193</v>
      </c>
      <c r="O12" s="808">
        <v>99202</v>
      </c>
      <c r="P12" s="808">
        <v>103252</v>
      </c>
      <c r="Q12" s="808">
        <v>107350</v>
      </c>
      <c r="R12" s="808">
        <v>106138</v>
      </c>
      <c r="S12" s="808">
        <v>106195</v>
      </c>
      <c r="T12" s="808">
        <v>104166.5</v>
      </c>
    </row>
    <row r="13" spans="1:20" ht="13.25" customHeight="1">
      <c r="A13" s="83"/>
      <c r="B13" s="23" t="s">
        <v>29</v>
      </c>
      <c r="C13" s="222">
        <v>7205</v>
      </c>
      <c r="D13" s="222">
        <v>7800</v>
      </c>
      <c r="E13" s="93">
        <v>10218</v>
      </c>
      <c r="F13" s="93">
        <v>9850</v>
      </c>
      <c r="G13" s="93">
        <v>9900</v>
      </c>
      <c r="H13" s="93">
        <v>8252</v>
      </c>
      <c r="I13" s="93">
        <v>9006</v>
      </c>
      <c r="J13" s="93">
        <v>11206</v>
      </c>
      <c r="K13" s="93">
        <v>12106</v>
      </c>
      <c r="L13" s="93">
        <v>12310</v>
      </c>
      <c r="M13" s="93">
        <v>12327</v>
      </c>
      <c r="N13" s="93">
        <v>12572</v>
      </c>
      <c r="O13" s="93">
        <v>12640</v>
      </c>
      <c r="P13" s="93">
        <v>12510</v>
      </c>
      <c r="Q13" s="93">
        <v>13975</v>
      </c>
      <c r="R13" s="93">
        <v>13975</v>
      </c>
      <c r="S13" s="93">
        <v>14397</v>
      </c>
      <c r="T13" s="93">
        <v>14827</v>
      </c>
    </row>
    <row r="14" spans="1:20" ht="13.25" customHeight="1">
      <c r="A14" s="83"/>
      <c r="B14" s="23" t="s">
        <v>30</v>
      </c>
      <c r="C14" s="222">
        <v>190443</v>
      </c>
      <c r="D14" s="222">
        <v>182297</v>
      </c>
      <c r="E14" s="93">
        <v>178521</v>
      </c>
      <c r="F14" s="93">
        <v>183422</v>
      </c>
      <c r="G14" s="93">
        <v>176458</v>
      </c>
      <c r="H14" s="93">
        <v>175228</v>
      </c>
      <c r="I14" s="93">
        <v>167112</v>
      </c>
      <c r="J14" s="93">
        <v>166175</v>
      </c>
      <c r="K14" s="93">
        <v>168200</v>
      </c>
      <c r="L14" s="93">
        <v>170142</v>
      </c>
      <c r="M14" s="808">
        <v>169145</v>
      </c>
      <c r="N14" s="808">
        <v>170602</v>
      </c>
      <c r="O14" s="808">
        <v>169610</v>
      </c>
      <c r="P14" s="808">
        <v>169785</v>
      </c>
      <c r="Q14" s="808">
        <v>169697.5</v>
      </c>
      <c r="R14" s="808">
        <v>168457</v>
      </c>
      <c r="S14" s="808">
        <v>167891</v>
      </c>
      <c r="T14" s="808">
        <v>168174</v>
      </c>
    </row>
    <row r="15" spans="1:20" ht="13.25" customHeight="1">
      <c r="A15" s="83"/>
      <c r="B15" s="23" t="s">
        <v>31</v>
      </c>
      <c r="C15" s="222">
        <v>183469</v>
      </c>
      <c r="D15" s="222">
        <v>187600</v>
      </c>
      <c r="E15" s="93">
        <v>186019</v>
      </c>
      <c r="F15" s="93">
        <v>187188</v>
      </c>
      <c r="G15" s="93">
        <v>188100</v>
      </c>
      <c r="H15" s="93">
        <v>186475</v>
      </c>
      <c r="I15" s="93">
        <v>189053</v>
      </c>
      <c r="J15" s="93">
        <v>187765</v>
      </c>
      <c r="K15" s="93">
        <v>180470</v>
      </c>
      <c r="L15" s="93">
        <v>184982</v>
      </c>
      <c r="M15" s="808">
        <v>185186</v>
      </c>
      <c r="N15" s="808">
        <v>175075</v>
      </c>
      <c r="O15" s="808">
        <v>167335</v>
      </c>
      <c r="P15" s="808">
        <v>165431</v>
      </c>
      <c r="Q15" s="808">
        <v>169383</v>
      </c>
      <c r="R15" s="808">
        <v>168458</v>
      </c>
      <c r="S15" s="808">
        <v>158415</v>
      </c>
      <c r="T15" s="808">
        <v>163436.5</v>
      </c>
    </row>
    <row r="16" spans="1:20" ht="13.25" customHeight="1">
      <c r="A16" s="83"/>
      <c r="B16" s="23" t="s">
        <v>32</v>
      </c>
      <c r="C16" s="222">
        <v>65037</v>
      </c>
      <c r="D16" s="222">
        <v>66362</v>
      </c>
      <c r="E16" s="93">
        <v>68978</v>
      </c>
      <c r="F16" s="93">
        <v>68172</v>
      </c>
      <c r="G16" s="93">
        <v>67350</v>
      </c>
      <c r="H16" s="93">
        <v>67180</v>
      </c>
      <c r="I16" s="93">
        <v>66788</v>
      </c>
      <c r="J16" s="93">
        <v>67724</v>
      </c>
      <c r="K16" s="93">
        <v>72324</v>
      </c>
      <c r="L16" s="93">
        <v>76527</v>
      </c>
      <c r="M16" s="93">
        <v>80148</v>
      </c>
      <c r="N16" s="93">
        <v>78936</v>
      </c>
      <c r="O16" s="93">
        <v>78925</v>
      </c>
      <c r="P16" s="93">
        <v>77013</v>
      </c>
      <c r="Q16" s="93">
        <v>75880</v>
      </c>
      <c r="R16" s="93">
        <v>74971</v>
      </c>
      <c r="S16" s="93">
        <v>75606</v>
      </c>
      <c r="T16" s="93">
        <v>79847</v>
      </c>
    </row>
    <row r="17" spans="1:20" ht="13.25" customHeight="1">
      <c r="A17" s="83"/>
      <c r="B17" s="23" t="s">
        <v>33</v>
      </c>
      <c r="C17" s="222">
        <v>72984</v>
      </c>
      <c r="D17" s="222">
        <v>79774</v>
      </c>
      <c r="E17" s="93">
        <v>78338</v>
      </c>
      <c r="F17" s="93">
        <v>81567</v>
      </c>
      <c r="G17" s="93">
        <v>80200</v>
      </c>
      <c r="H17" s="93">
        <v>78573</v>
      </c>
      <c r="I17" s="93">
        <v>85480</v>
      </c>
      <c r="J17" s="93">
        <v>97911</v>
      </c>
      <c r="K17" s="93">
        <v>101640</v>
      </c>
      <c r="L17" s="93">
        <v>101762</v>
      </c>
      <c r="M17" s="808">
        <v>102840</v>
      </c>
      <c r="N17" s="808">
        <v>102064</v>
      </c>
      <c r="O17" s="808">
        <v>102170</v>
      </c>
      <c r="P17" s="808">
        <v>102350</v>
      </c>
      <c r="Q17" s="808">
        <v>102260</v>
      </c>
      <c r="R17" s="808">
        <v>101568</v>
      </c>
      <c r="S17" s="808">
        <v>101673</v>
      </c>
      <c r="T17" s="808">
        <v>101620.5</v>
      </c>
    </row>
    <row r="18" spans="1:20" ht="13.25" customHeight="1">
      <c r="A18" s="83"/>
      <c r="B18" s="23" t="s">
        <v>34</v>
      </c>
      <c r="C18" s="222">
        <v>25049</v>
      </c>
      <c r="D18" s="222">
        <v>22586</v>
      </c>
      <c r="E18" s="93">
        <v>18694</v>
      </c>
      <c r="F18" s="93">
        <v>13049</v>
      </c>
      <c r="G18" s="93">
        <v>12271</v>
      </c>
      <c r="H18" s="93">
        <v>10520</v>
      </c>
      <c r="I18" s="93">
        <v>9471</v>
      </c>
      <c r="J18" s="93">
        <v>9626</v>
      </c>
      <c r="K18" s="93">
        <v>7543</v>
      </c>
      <c r="L18" s="93">
        <v>7547</v>
      </c>
      <c r="M18" s="808">
        <v>7168</v>
      </c>
      <c r="N18" s="808">
        <v>6810</v>
      </c>
      <c r="O18" s="808">
        <v>6173</v>
      </c>
      <c r="P18" s="808">
        <v>6517</v>
      </c>
      <c r="Q18" s="808">
        <v>6345</v>
      </c>
      <c r="R18" s="808">
        <v>6430</v>
      </c>
      <c r="S18" s="808">
        <v>6384</v>
      </c>
      <c r="T18" s="808">
        <v>6407</v>
      </c>
    </row>
    <row r="19" spans="1:20" ht="13.25" customHeight="1">
      <c r="A19" s="83"/>
      <c r="B19" s="23" t="s">
        <v>35</v>
      </c>
      <c r="C19" s="222">
        <v>8980</v>
      </c>
      <c r="D19" s="222">
        <v>8910</v>
      </c>
      <c r="E19" s="93">
        <v>8980</v>
      </c>
      <c r="F19" s="93">
        <v>8944</v>
      </c>
      <c r="G19" s="93">
        <v>8860</v>
      </c>
      <c r="H19" s="93">
        <v>8035</v>
      </c>
      <c r="I19" s="93">
        <v>7454</v>
      </c>
      <c r="J19" s="93">
        <v>9431</v>
      </c>
      <c r="K19" s="93">
        <v>10205</v>
      </c>
      <c r="L19" s="93">
        <v>9558</v>
      </c>
      <c r="M19" s="808">
        <v>9818</v>
      </c>
      <c r="N19" s="808">
        <v>10187</v>
      </c>
      <c r="O19" s="808">
        <v>10680</v>
      </c>
      <c r="P19" s="808">
        <v>11985</v>
      </c>
      <c r="Q19" s="808">
        <v>12015</v>
      </c>
      <c r="R19" s="808">
        <v>13304</v>
      </c>
      <c r="S19" s="808">
        <v>14890</v>
      </c>
      <c r="T19" s="808">
        <v>14570</v>
      </c>
    </row>
    <row r="20" spans="1:20" ht="13.25" customHeight="1">
      <c r="A20" s="83"/>
      <c r="B20" s="23" t="s">
        <v>36</v>
      </c>
      <c r="C20" s="222">
        <v>178863</v>
      </c>
      <c r="D20" s="222">
        <v>176054</v>
      </c>
      <c r="E20" s="93">
        <v>176052</v>
      </c>
      <c r="F20" s="93">
        <v>173841</v>
      </c>
      <c r="G20" s="93">
        <v>185072</v>
      </c>
      <c r="H20" s="93">
        <v>182976</v>
      </c>
      <c r="I20" s="93">
        <v>191885</v>
      </c>
      <c r="J20" s="93">
        <v>187431</v>
      </c>
      <c r="K20" s="93">
        <v>183763</v>
      </c>
      <c r="L20" s="93">
        <v>189918</v>
      </c>
      <c r="M20" s="808">
        <v>182850</v>
      </c>
      <c r="N20" s="808">
        <v>180188</v>
      </c>
      <c r="O20" s="808">
        <v>171566</v>
      </c>
      <c r="P20" s="808">
        <v>172240</v>
      </c>
      <c r="Q20" s="808">
        <v>181228</v>
      </c>
      <c r="R20" s="808">
        <v>188124</v>
      </c>
      <c r="S20" s="808">
        <v>186563</v>
      </c>
      <c r="T20" s="808">
        <v>187343.5</v>
      </c>
    </row>
    <row r="21" spans="1:20" ht="13.25" customHeight="1">
      <c r="A21" s="83"/>
      <c r="B21" s="23" t="s">
        <v>37</v>
      </c>
      <c r="C21" s="222">
        <v>34280</v>
      </c>
      <c r="D21" s="222">
        <v>29267</v>
      </c>
      <c r="E21" s="93">
        <v>30967</v>
      </c>
      <c r="F21" s="93">
        <v>26056</v>
      </c>
      <c r="G21" s="93">
        <v>24442</v>
      </c>
      <c r="H21" s="93">
        <v>22591</v>
      </c>
      <c r="I21" s="93">
        <v>20395</v>
      </c>
      <c r="J21" s="93">
        <v>16759</v>
      </c>
      <c r="K21" s="93">
        <v>20313</v>
      </c>
      <c r="L21" s="93">
        <v>20480</v>
      </c>
      <c r="M21" s="808">
        <v>19805</v>
      </c>
      <c r="N21" s="808">
        <v>19062</v>
      </c>
      <c r="O21" s="808">
        <v>20736</v>
      </c>
      <c r="P21" s="808">
        <v>22976</v>
      </c>
      <c r="Q21" s="808">
        <v>16611</v>
      </c>
      <c r="R21" s="808">
        <v>17620</v>
      </c>
      <c r="S21" s="808">
        <v>26786</v>
      </c>
      <c r="T21" s="808">
        <v>22203</v>
      </c>
    </row>
    <row r="22" spans="1:20" ht="13.25" customHeight="1">
      <c r="A22" s="83"/>
      <c r="B22" s="23" t="s">
        <v>38</v>
      </c>
      <c r="C22" s="222">
        <v>11297</v>
      </c>
      <c r="D22" s="222">
        <v>11805</v>
      </c>
      <c r="E22" s="93">
        <v>13285</v>
      </c>
      <c r="F22" s="93">
        <v>13850</v>
      </c>
      <c r="G22" s="93">
        <v>13520</v>
      </c>
      <c r="H22" s="93">
        <v>12751</v>
      </c>
      <c r="I22" s="93">
        <v>11522</v>
      </c>
      <c r="J22" s="93">
        <v>12130</v>
      </c>
      <c r="K22" s="93">
        <v>12480</v>
      </c>
      <c r="L22" s="93">
        <v>6862</v>
      </c>
      <c r="M22" s="808">
        <v>8106</v>
      </c>
      <c r="N22" s="808">
        <v>8511</v>
      </c>
      <c r="O22" s="808">
        <v>8347</v>
      </c>
      <c r="P22" s="808">
        <v>8319</v>
      </c>
      <c r="Q22" s="808">
        <v>8333</v>
      </c>
      <c r="R22" s="808">
        <v>8289</v>
      </c>
      <c r="S22" s="808">
        <v>8310</v>
      </c>
      <c r="T22" s="808">
        <v>8299.5</v>
      </c>
    </row>
    <row r="23" spans="1:20" ht="13.25" customHeight="1">
      <c r="A23" s="83"/>
      <c r="B23" s="23" t="s">
        <v>39</v>
      </c>
      <c r="C23" s="222">
        <v>13795</v>
      </c>
      <c r="D23" s="222">
        <v>15210</v>
      </c>
      <c r="E23" s="93">
        <v>15275</v>
      </c>
      <c r="F23" s="93">
        <v>17105</v>
      </c>
      <c r="G23" s="93">
        <v>18870</v>
      </c>
      <c r="H23" s="93">
        <v>18433</v>
      </c>
      <c r="I23" s="93">
        <v>20492</v>
      </c>
      <c r="J23" s="93">
        <v>20301</v>
      </c>
      <c r="K23" s="93">
        <v>19696</v>
      </c>
      <c r="L23" s="93">
        <v>17145</v>
      </c>
      <c r="M23" s="808">
        <v>17359</v>
      </c>
      <c r="N23" s="808">
        <v>18227</v>
      </c>
      <c r="O23" s="808">
        <v>17155</v>
      </c>
      <c r="P23" s="808">
        <v>17155</v>
      </c>
      <c r="Q23" s="808">
        <v>17080</v>
      </c>
      <c r="R23" s="808">
        <v>17118</v>
      </c>
      <c r="S23" s="808">
        <v>17064</v>
      </c>
      <c r="T23" s="808">
        <v>17091</v>
      </c>
    </row>
    <row r="24" spans="1:20" ht="13.25" customHeight="1">
      <c r="A24" s="83"/>
      <c r="B24" s="23" t="s">
        <v>40</v>
      </c>
      <c r="C24" s="222">
        <v>245589</v>
      </c>
      <c r="D24" s="222">
        <v>213196</v>
      </c>
      <c r="E24" s="93">
        <v>217816</v>
      </c>
      <c r="F24" s="93">
        <v>214034</v>
      </c>
      <c r="G24" s="93">
        <v>211965</v>
      </c>
      <c r="H24" s="93">
        <v>213910</v>
      </c>
      <c r="I24" s="93">
        <v>237522</v>
      </c>
      <c r="J24" s="93">
        <v>221616</v>
      </c>
      <c r="K24" s="93">
        <v>229707</v>
      </c>
      <c r="L24" s="93">
        <v>216976</v>
      </c>
      <c r="M24" s="808">
        <v>208087</v>
      </c>
      <c r="N24" s="808">
        <v>208978</v>
      </c>
      <c r="O24" s="808">
        <v>204583</v>
      </c>
      <c r="P24" s="808">
        <v>207710</v>
      </c>
      <c r="Q24" s="808">
        <v>192115</v>
      </c>
      <c r="R24" s="808">
        <v>170518</v>
      </c>
      <c r="S24" s="808">
        <v>171647</v>
      </c>
      <c r="T24" s="808">
        <v>170476</v>
      </c>
    </row>
    <row r="25" spans="1:20" ht="13.25" customHeight="1">
      <c r="A25" s="83"/>
      <c r="B25" s="23" t="s">
        <v>41</v>
      </c>
      <c r="C25" s="222">
        <v>90170</v>
      </c>
      <c r="D25" s="222">
        <v>87870</v>
      </c>
      <c r="E25" s="93">
        <v>87137</v>
      </c>
      <c r="F25" s="93">
        <v>89603</v>
      </c>
      <c r="G25" s="93">
        <v>89480</v>
      </c>
      <c r="H25" s="93">
        <v>88852</v>
      </c>
      <c r="I25" s="93">
        <v>90004</v>
      </c>
      <c r="J25" s="93">
        <v>104119</v>
      </c>
      <c r="K25" s="93">
        <v>104320</v>
      </c>
      <c r="L25" s="93">
        <v>106928</v>
      </c>
      <c r="M25" s="808">
        <v>106270</v>
      </c>
      <c r="N25" s="808">
        <v>111584</v>
      </c>
      <c r="O25" s="808">
        <v>109650</v>
      </c>
      <c r="P25" s="808">
        <v>109305</v>
      </c>
      <c r="Q25" s="808">
        <v>109517.5</v>
      </c>
      <c r="R25" s="808">
        <v>107810</v>
      </c>
      <c r="S25" s="808">
        <v>108668</v>
      </c>
      <c r="T25" s="808">
        <v>108239</v>
      </c>
    </row>
    <row r="26" spans="1:20" ht="13.25" customHeight="1">
      <c r="A26" s="83"/>
      <c r="B26" s="23" t="s">
        <v>44</v>
      </c>
      <c r="C26" s="222">
        <v>96380</v>
      </c>
      <c r="D26" s="222">
        <v>98450</v>
      </c>
      <c r="E26" s="93">
        <v>99300</v>
      </c>
      <c r="F26" s="93">
        <v>90774</v>
      </c>
      <c r="G26" s="93">
        <v>90451</v>
      </c>
      <c r="H26" s="93">
        <v>89333</v>
      </c>
      <c r="I26" s="93">
        <v>49876</v>
      </c>
      <c r="J26" s="93">
        <v>48535</v>
      </c>
      <c r="K26" s="93">
        <v>46844</v>
      </c>
      <c r="L26" s="93">
        <v>48964</v>
      </c>
      <c r="M26" s="808">
        <v>47285</v>
      </c>
      <c r="N26" s="808">
        <v>37608</v>
      </c>
      <c r="O26" s="808">
        <v>37566</v>
      </c>
      <c r="P26" s="808">
        <v>35775</v>
      </c>
      <c r="Q26" s="808">
        <v>34907</v>
      </c>
      <c r="R26" s="808">
        <v>30039</v>
      </c>
      <c r="S26" s="808">
        <v>28204</v>
      </c>
      <c r="T26" s="808">
        <v>28194</v>
      </c>
    </row>
    <row r="27" spans="1:20" ht="13.25" customHeight="1">
      <c r="A27" s="83"/>
      <c r="B27" s="23" t="s">
        <v>45</v>
      </c>
      <c r="C27" s="222">
        <v>0</v>
      </c>
      <c r="D27" s="222">
        <v>0</v>
      </c>
      <c r="E27" s="93">
        <v>0</v>
      </c>
      <c r="F27" s="93">
        <v>0</v>
      </c>
      <c r="G27" s="93">
        <v>0</v>
      </c>
      <c r="H27" s="93">
        <v>0</v>
      </c>
      <c r="I27" s="93">
        <v>0</v>
      </c>
      <c r="J27" s="93">
        <v>0</v>
      </c>
      <c r="K27" s="93">
        <v>0</v>
      </c>
      <c r="L27" s="93">
        <v>0</v>
      </c>
      <c r="M27" s="808">
        <v>0</v>
      </c>
      <c r="N27" s="808">
        <v>0</v>
      </c>
      <c r="O27" s="808">
        <v>0</v>
      </c>
      <c r="P27" s="808">
        <v>0</v>
      </c>
      <c r="Q27" s="808">
        <v>0</v>
      </c>
      <c r="R27" s="808">
        <v>0</v>
      </c>
      <c r="S27" s="808">
        <v>0</v>
      </c>
      <c r="T27" s="808">
        <v>0</v>
      </c>
    </row>
    <row r="28" spans="1:20" ht="13.25" customHeight="1">
      <c r="A28" s="83"/>
      <c r="B28" s="82" t="s">
        <v>46</v>
      </c>
      <c r="C28" s="222">
        <v>0</v>
      </c>
      <c r="D28" s="222">
        <v>0</v>
      </c>
      <c r="E28" s="93">
        <v>0</v>
      </c>
      <c r="F28" s="93">
        <v>0</v>
      </c>
      <c r="G28" s="93">
        <v>0</v>
      </c>
      <c r="H28" s="93">
        <v>0</v>
      </c>
      <c r="I28" s="93">
        <v>0</v>
      </c>
      <c r="J28" s="93">
        <v>0</v>
      </c>
      <c r="K28" s="93">
        <v>0</v>
      </c>
      <c r="L28" s="93">
        <v>0</v>
      </c>
      <c r="M28" s="808">
        <v>0</v>
      </c>
      <c r="N28" s="808">
        <v>0</v>
      </c>
      <c r="O28" s="808">
        <v>0</v>
      </c>
      <c r="P28" s="808">
        <v>0</v>
      </c>
      <c r="Q28" s="808">
        <v>0</v>
      </c>
      <c r="R28" s="808">
        <v>0</v>
      </c>
      <c r="S28" s="808">
        <v>0</v>
      </c>
      <c r="T28" s="808">
        <v>0</v>
      </c>
    </row>
    <row r="29" spans="1:20" ht="13.25" customHeight="1">
      <c r="A29" s="83"/>
      <c r="B29" s="23" t="s">
        <v>47</v>
      </c>
      <c r="C29" s="222">
        <v>0</v>
      </c>
      <c r="D29" s="222">
        <v>0</v>
      </c>
      <c r="E29" s="93">
        <v>0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280</v>
      </c>
      <c r="M29" s="808">
        <v>310</v>
      </c>
      <c r="N29" s="808">
        <v>350</v>
      </c>
      <c r="O29" s="808">
        <v>360</v>
      </c>
      <c r="P29" s="808">
        <v>268</v>
      </c>
      <c r="Q29" s="808">
        <v>291</v>
      </c>
      <c r="R29" s="808">
        <v>280</v>
      </c>
      <c r="S29" s="808">
        <v>290</v>
      </c>
      <c r="T29" s="808">
        <v>285</v>
      </c>
    </row>
    <row r="30" spans="1:20" ht="13.25" customHeight="1">
      <c r="A30" s="83"/>
      <c r="B30" s="23" t="s">
        <v>48</v>
      </c>
      <c r="C30" s="222">
        <v>0</v>
      </c>
      <c r="D30" s="222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134</v>
      </c>
      <c r="M30" s="808">
        <v>140</v>
      </c>
      <c r="N30" s="808">
        <v>148</v>
      </c>
      <c r="O30" s="808">
        <v>150</v>
      </c>
      <c r="P30" s="808">
        <v>160</v>
      </c>
      <c r="Q30" s="808">
        <v>170</v>
      </c>
      <c r="R30" s="808">
        <v>178</v>
      </c>
      <c r="S30" s="808">
        <v>182</v>
      </c>
      <c r="T30" s="808">
        <v>180</v>
      </c>
    </row>
    <row r="31" spans="1:20" ht="13.25" customHeight="1" thickBot="1">
      <c r="A31" s="88"/>
      <c r="B31" s="577" t="s">
        <v>49</v>
      </c>
      <c r="C31" s="581">
        <v>0</v>
      </c>
      <c r="D31" s="581">
        <v>0</v>
      </c>
      <c r="E31" s="809">
        <v>0</v>
      </c>
      <c r="F31" s="809">
        <v>0</v>
      </c>
      <c r="G31" s="809">
        <v>0</v>
      </c>
      <c r="H31" s="809">
        <v>0</v>
      </c>
      <c r="I31" s="809">
        <v>0</v>
      </c>
      <c r="J31" s="809">
        <v>0</v>
      </c>
      <c r="K31" s="809">
        <v>0</v>
      </c>
      <c r="L31" s="809">
        <v>175</v>
      </c>
      <c r="M31" s="810">
        <v>179</v>
      </c>
      <c r="N31" s="810">
        <v>186</v>
      </c>
      <c r="O31" s="810">
        <v>195</v>
      </c>
      <c r="P31" s="810">
        <v>200</v>
      </c>
      <c r="Q31" s="810">
        <v>220</v>
      </c>
      <c r="R31" s="810">
        <v>210</v>
      </c>
      <c r="S31" s="810">
        <v>220</v>
      </c>
      <c r="T31" s="810">
        <v>215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R35" s="84"/>
      <c r="S35" s="84"/>
      <c r="T35" s="84"/>
    </row>
    <row r="36" spans="1:20" ht="13.25" customHeight="1">
      <c r="R36" s="84"/>
      <c r="S36" s="84"/>
      <c r="T36" s="84"/>
    </row>
    <row r="37" spans="1:20" ht="13.25" customHeight="1">
      <c r="R37" s="84"/>
      <c r="S37" s="84"/>
      <c r="T37" s="84"/>
    </row>
    <row r="38" spans="1:20" ht="13.25" customHeight="1">
      <c r="R38" s="84"/>
      <c r="S38" s="84"/>
      <c r="T38" s="84"/>
    </row>
    <row r="39" spans="1:20" ht="13.25" customHeight="1">
      <c r="R39" s="84"/>
      <c r="S39" s="84"/>
      <c r="T39" s="84"/>
    </row>
    <row r="40" spans="1:20" ht="13.25" customHeight="1">
      <c r="R40" s="84"/>
      <c r="S40" s="84"/>
    </row>
    <row r="41" spans="1:20" ht="13.25" customHeight="1">
      <c r="R41" s="84"/>
      <c r="S41" s="84"/>
    </row>
    <row r="42" spans="1:20" ht="13.25" customHeight="1">
      <c r="R42" s="84"/>
      <c r="S42" s="84"/>
    </row>
    <row r="43" spans="1:20" ht="13.25" customHeight="1">
      <c r="R43" s="84"/>
      <c r="S43" s="84"/>
    </row>
    <row r="44" spans="1:20" ht="13.25" customHeight="1">
      <c r="R44" s="84"/>
      <c r="S44" s="84"/>
    </row>
    <row r="45" spans="1:20" ht="13.25" customHeight="1">
      <c r="R45" s="84"/>
      <c r="S45" s="84"/>
    </row>
    <row r="46" spans="1:20" ht="13.25" customHeight="1">
      <c r="R46" s="84"/>
      <c r="S46" s="84"/>
    </row>
    <row r="47" spans="1:20" ht="13.25" customHeight="1">
      <c r="R47" s="84"/>
      <c r="S47" s="84"/>
    </row>
    <row r="48" spans="1:20" ht="13.25" customHeight="1">
      <c r="R48" s="84"/>
      <c r="S48" s="84"/>
    </row>
    <row r="49" spans="18:19" ht="13.25" customHeight="1">
      <c r="R49" s="84"/>
      <c r="S49" s="84"/>
    </row>
    <row r="50" spans="18:19" ht="13.25" customHeight="1">
      <c r="R50" s="84"/>
      <c r="S50" s="84"/>
    </row>
    <row r="51" spans="18:19" ht="13.25" customHeight="1">
      <c r="R51" s="84"/>
      <c r="S51" s="84"/>
    </row>
    <row r="52" spans="18:19" ht="13.25" customHeight="1">
      <c r="R52" s="84"/>
      <c r="S52" s="84"/>
    </row>
    <row r="53" spans="18:19" ht="13.25" customHeight="1">
      <c r="R53" s="84"/>
      <c r="S53" s="84"/>
    </row>
    <row r="54" spans="18:19" ht="13.25" customHeight="1">
      <c r="R54" s="84"/>
      <c r="S54" s="84"/>
    </row>
    <row r="55" spans="18:19" ht="13.25" customHeight="1">
      <c r="R55" s="84"/>
      <c r="S55" s="84"/>
    </row>
    <row r="56" spans="18:19" ht="13.25" customHeight="1">
      <c r="R56" s="84"/>
      <c r="S56" s="84"/>
    </row>
    <row r="57" spans="18:19" ht="13.25" customHeight="1">
      <c r="R57" s="84"/>
      <c r="S57" s="84"/>
    </row>
    <row r="58" spans="18:19" ht="13.25" customHeight="1">
      <c r="R58" s="84"/>
      <c r="S58" s="84"/>
    </row>
    <row r="59" spans="18:19" ht="13.25" customHeight="1">
      <c r="R59" s="84"/>
      <c r="S59" s="84"/>
    </row>
    <row r="60" spans="18:19" ht="13.25" customHeight="1">
      <c r="R60" s="84"/>
      <c r="S60" s="84"/>
    </row>
    <row r="61" spans="18:19" ht="13.25" customHeight="1">
      <c r="R61" s="84"/>
      <c r="S61" s="84"/>
    </row>
    <row r="62" spans="18:19" ht="13.25" customHeight="1">
      <c r="R62" s="84"/>
      <c r="S62" s="84"/>
    </row>
    <row r="63" spans="18:19" ht="13.25" customHeight="1">
      <c r="R63" s="84"/>
      <c r="S63" s="84"/>
    </row>
    <row r="64" spans="18:19" ht="13.25" customHeight="1">
      <c r="R64" s="84"/>
      <c r="S64" s="84"/>
    </row>
    <row r="65" spans="18:19" ht="13.25" customHeight="1">
      <c r="R65" s="84"/>
      <c r="S65" s="84"/>
    </row>
    <row r="66" spans="18:19" ht="13.25" customHeight="1">
      <c r="R66" s="84"/>
      <c r="S66" s="84"/>
    </row>
    <row r="67" spans="18:19" ht="13.25" customHeight="1">
      <c r="R67" s="84"/>
      <c r="S67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3">
    <tabColor theme="9" tint="0.59999389629810485"/>
  </sheetPr>
  <dimension ref="A2:U35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3984375" style="82" customWidth="1"/>
    <col min="22" max="16384" width="7" style="82"/>
  </cols>
  <sheetData>
    <row r="2" spans="1:21" ht="13.25" customHeight="1">
      <c r="A2" s="230" t="s">
        <v>496</v>
      </c>
      <c r="B2" s="231"/>
    </row>
    <row r="3" spans="1:21" ht="13.25" customHeight="1">
      <c r="A3" s="232" t="s">
        <v>238</v>
      </c>
      <c r="B3" s="232"/>
    </row>
    <row r="4" spans="1:21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1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1" ht="15" customHeight="1">
      <c r="A6" s="963" t="s">
        <v>96</v>
      </c>
      <c r="B6" s="963"/>
      <c r="C6" s="573">
        <f t="shared" ref="C6:N6" si="0">(C8+C9+C10+C11+C12+C13+C14+C15+C16+C17+C18+C19+C20+C21+C22+C23+C24+C25+C26+C27+C28+C29+C30+C31)</f>
        <v>527096</v>
      </c>
      <c r="D6" s="573">
        <f t="shared" si="0"/>
        <v>518663</v>
      </c>
      <c r="E6" s="574">
        <f t="shared" si="0"/>
        <v>506927</v>
      </c>
      <c r="F6" s="574">
        <f t="shared" si="0"/>
        <v>496706</v>
      </c>
      <c r="G6" s="574">
        <f t="shared" si="0"/>
        <v>505880</v>
      </c>
      <c r="H6" s="574">
        <f t="shared" si="0"/>
        <v>499447</v>
      </c>
      <c r="I6" s="574">
        <f t="shared" si="0"/>
        <v>489915</v>
      </c>
      <c r="J6" s="574">
        <f t="shared" si="0"/>
        <v>496626</v>
      </c>
      <c r="K6" s="574">
        <f t="shared" si="0"/>
        <v>505262</v>
      </c>
      <c r="L6" s="574">
        <f t="shared" si="0"/>
        <v>489956</v>
      </c>
      <c r="M6" s="574">
        <f t="shared" si="0"/>
        <v>464018</v>
      </c>
      <c r="N6" s="574">
        <f t="shared" si="0"/>
        <v>458811</v>
      </c>
      <c r="O6" s="574">
        <f t="shared" ref="O6:T6" si="1">(O8+O9+O10+O11+O12+O13+O14+O15+O16+O17+O18+O19+O20+O21+O22+O23+O24+O25+O26+O27+O28+O29+O30+O31)</f>
        <v>444799</v>
      </c>
      <c r="P6" s="574">
        <f t="shared" si="1"/>
        <v>410567</v>
      </c>
      <c r="Q6" s="574">
        <f t="shared" si="1"/>
        <v>411441</v>
      </c>
      <c r="R6" s="574">
        <f t="shared" si="1"/>
        <v>392865.58</v>
      </c>
      <c r="S6" s="574">
        <f t="shared" si="1"/>
        <v>390291.63535673812</v>
      </c>
      <c r="T6" s="574">
        <f t="shared" si="1"/>
        <v>390293.62560000003</v>
      </c>
    </row>
    <row r="7" spans="1:21" ht="3" customHeight="1">
      <c r="A7" s="83"/>
      <c r="B7" s="84"/>
      <c r="C7" s="233"/>
      <c r="D7" s="23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1" ht="13.25" customHeight="1">
      <c r="A8" s="83"/>
      <c r="B8" s="23" t="s">
        <v>21</v>
      </c>
      <c r="C8" s="234">
        <v>22914</v>
      </c>
      <c r="D8" s="234">
        <v>20617</v>
      </c>
      <c r="E8" s="222">
        <v>17664</v>
      </c>
      <c r="F8" s="222">
        <v>16080</v>
      </c>
      <c r="G8" s="222">
        <v>19470</v>
      </c>
      <c r="H8" s="222">
        <v>20921</v>
      </c>
      <c r="I8" s="222">
        <v>21074</v>
      </c>
      <c r="J8" s="222">
        <v>21403</v>
      </c>
      <c r="K8" s="222">
        <v>21022</v>
      </c>
      <c r="L8" s="222">
        <v>25563</v>
      </c>
      <c r="M8" s="174">
        <v>21596</v>
      </c>
      <c r="N8" s="174">
        <v>18127</v>
      </c>
      <c r="O8" s="174">
        <v>32867</v>
      </c>
      <c r="P8" s="174">
        <v>25750</v>
      </c>
      <c r="Q8" s="174">
        <v>22337</v>
      </c>
      <c r="R8" s="174">
        <v>18938.32</v>
      </c>
      <c r="S8" s="174">
        <v>18005</v>
      </c>
      <c r="T8" s="174">
        <v>18318</v>
      </c>
    </row>
    <row r="9" spans="1:21" ht="13.25" customHeight="1">
      <c r="A9" s="83"/>
      <c r="B9" s="23" t="s">
        <v>22</v>
      </c>
      <c r="C9" s="234">
        <v>149460</v>
      </c>
      <c r="D9" s="234">
        <v>159867</v>
      </c>
      <c r="E9" s="222">
        <v>145635</v>
      </c>
      <c r="F9" s="222">
        <v>149857</v>
      </c>
      <c r="G9" s="222">
        <v>139553</v>
      </c>
      <c r="H9" s="222">
        <v>137022</v>
      </c>
      <c r="I9" s="222">
        <v>129182</v>
      </c>
      <c r="J9" s="222">
        <v>134568</v>
      </c>
      <c r="K9" s="222">
        <v>127787</v>
      </c>
      <c r="L9" s="222">
        <v>124725</v>
      </c>
      <c r="M9" s="174">
        <v>117178</v>
      </c>
      <c r="N9" s="174">
        <v>110964</v>
      </c>
      <c r="O9" s="174">
        <v>94622</v>
      </c>
      <c r="P9" s="174">
        <v>86591</v>
      </c>
      <c r="Q9" s="174">
        <v>93286</v>
      </c>
      <c r="R9" s="174">
        <v>95060</v>
      </c>
      <c r="S9" s="174">
        <v>91624.251175377896</v>
      </c>
      <c r="T9" s="174">
        <v>96548.1</v>
      </c>
      <c r="U9" s="90"/>
    </row>
    <row r="10" spans="1:21" ht="13.25" customHeight="1">
      <c r="A10" s="83"/>
      <c r="B10" s="23" t="s">
        <v>23</v>
      </c>
      <c r="C10" s="234">
        <v>41274</v>
      </c>
      <c r="D10" s="234">
        <v>38081</v>
      </c>
      <c r="E10" s="222">
        <v>38353</v>
      </c>
      <c r="F10" s="222">
        <v>32319</v>
      </c>
      <c r="G10" s="222">
        <v>39267</v>
      </c>
      <c r="H10" s="222">
        <v>34248</v>
      </c>
      <c r="I10" s="222">
        <v>32953</v>
      </c>
      <c r="J10" s="222">
        <v>24637</v>
      </c>
      <c r="K10" s="222">
        <v>24143</v>
      </c>
      <c r="L10" s="222">
        <v>26199</v>
      </c>
      <c r="M10" s="222">
        <v>20821</v>
      </c>
      <c r="N10" s="222">
        <v>19370</v>
      </c>
      <c r="O10" s="222">
        <v>30600</v>
      </c>
      <c r="P10" s="222">
        <v>27998</v>
      </c>
      <c r="Q10" s="222">
        <v>26996</v>
      </c>
      <c r="R10" s="222">
        <v>22921.439999999999</v>
      </c>
      <c r="S10" s="222">
        <v>20843.36</v>
      </c>
      <c r="T10" s="222">
        <v>17887</v>
      </c>
      <c r="U10" s="90"/>
    </row>
    <row r="11" spans="1:21" ht="13.25" customHeight="1">
      <c r="A11" s="83"/>
      <c r="B11" s="23" t="s">
        <v>24</v>
      </c>
      <c r="C11" s="234">
        <v>41250</v>
      </c>
      <c r="D11" s="234">
        <v>42572</v>
      </c>
      <c r="E11" s="222">
        <v>42758</v>
      </c>
      <c r="F11" s="222">
        <v>43874</v>
      </c>
      <c r="G11" s="222">
        <v>44198</v>
      </c>
      <c r="H11" s="222">
        <v>44529</v>
      </c>
      <c r="I11" s="222">
        <v>44768</v>
      </c>
      <c r="J11" s="222">
        <v>44998</v>
      </c>
      <c r="K11" s="222">
        <v>45374</v>
      </c>
      <c r="L11" s="222">
        <v>45895</v>
      </c>
      <c r="M11" s="174">
        <v>47182</v>
      </c>
      <c r="N11" s="174">
        <v>47693</v>
      </c>
      <c r="O11" s="174">
        <v>37209</v>
      </c>
      <c r="P11" s="174">
        <v>36726</v>
      </c>
      <c r="Q11" s="174">
        <v>35654</v>
      </c>
      <c r="R11" s="174">
        <v>37143</v>
      </c>
      <c r="S11" s="174">
        <v>37305</v>
      </c>
      <c r="T11" s="174">
        <v>34765</v>
      </c>
      <c r="U11" s="90"/>
    </row>
    <row r="12" spans="1:21" ht="13.25" customHeight="1">
      <c r="A12" s="83"/>
      <c r="B12" s="23" t="s">
        <v>25</v>
      </c>
      <c r="C12" s="234">
        <v>27525</v>
      </c>
      <c r="D12" s="234">
        <v>28734</v>
      </c>
      <c r="E12" s="222">
        <v>29177</v>
      </c>
      <c r="F12" s="222">
        <v>27350</v>
      </c>
      <c r="G12" s="222">
        <v>27705</v>
      </c>
      <c r="H12" s="222">
        <v>29810</v>
      </c>
      <c r="I12" s="222">
        <v>30574</v>
      </c>
      <c r="J12" s="222">
        <v>28576</v>
      </c>
      <c r="K12" s="222">
        <v>28313</v>
      </c>
      <c r="L12" s="222">
        <v>27139</v>
      </c>
      <c r="M12" s="174">
        <v>28125</v>
      </c>
      <c r="N12" s="174">
        <v>32585</v>
      </c>
      <c r="O12" s="174">
        <v>28609</v>
      </c>
      <c r="P12" s="174">
        <v>28894</v>
      </c>
      <c r="Q12" s="174">
        <v>29102</v>
      </c>
      <c r="R12" s="174">
        <v>23891.62</v>
      </c>
      <c r="S12" s="174">
        <v>23407</v>
      </c>
      <c r="T12" s="174">
        <v>24415</v>
      </c>
      <c r="U12" s="90"/>
    </row>
    <row r="13" spans="1:21" ht="13.25" customHeight="1">
      <c r="A13" s="83"/>
      <c r="B13" s="23" t="s">
        <v>29</v>
      </c>
      <c r="C13" s="234">
        <v>2346</v>
      </c>
      <c r="D13" s="234">
        <v>2380</v>
      </c>
      <c r="E13" s="222">
        <v>2699</v>
      </c>
      <c r="F13" s="222">
        <v>2298</v>
      </c>
      <c r="G13" s="222">
        <v>2738</v>
      </c>
      <c r="H13" s="222">
        <v>3728</v>
      </c>
      <c r="I13" s="222">
        <v>3946</v>
      </c>
      <c r="J13" s="222">
        <v>4013</v>
      </c>
      <c r="K13" s="222">
        <v>3917</v>
      </c>
      <c r="L13" s="222">
        <v>4230</v>
      </c>
      <c r="M13" s="222">
        <v>4631</v>
      </c>
      <c r="N13" s="222">
        <v>4630</v>
      </c>
      <c r="O13" s="222">
        <v>4507</v>
      </c>
      <c r="P13" s="222">
        <v>4572</v>
      </c>
      <c r="Q13" s="222">
        <v>4816</v>
      </c>
      <c r="R13" s="222">
        <v>4182</v>
      </c>
      <c r="S13" s="222">
        <v>4290</v>
      </c>
      <c r="T13" s="222">
        <v>4582</v>
      </c>
      <c r="U13" s="90"/>
    </row>
    <row r="14" spans="1:21" ht="13.25" customHeight="1">
      <c r="A14" s="83"/>
      <c r="B14" s="23" t="s">
        <v>30</v>
      </c>
      <c r="C14" s="234">
        <v>19563</v>
      </c>
      <c r="D14" s="234">
        <v>19014</v>
      </c>
      <c r="E14" s="222">
        <v>16693</v>
      </c>
      <c r="F14" s="222">
        <v>16955</v>
      </c>
      <c r="G14" s="222">
        <v>13600</v>
      </c>
      <c r="H14" s="222">
        <v>15129</v>
      </c>
      <c r="I14" s="222">
        <v>13930</v>
      </c>
      <c r="J14" s="222">
        <v>14469</v>
      </c>
      <c r="K14" s="222">
        <v>14919</v>
      </c>
      <c r="L14" s="222">
        <v>14869</v>
      </c>
      <c r="M14" s="174">
        <v>16739</v>
      </c>
      <c r="N14" s="174">
        <v>20343</v>
      </c>
      <c r="O14" s="174">
        <v>20432</v>
      </c>
      <c r="P14" s="174">
        <v>20565</v>
      </c>
      <c r="Q14" s="174">
        <v>20509</v>
      </c>
      <c r="R14" s="174">
        <v>19925</v>
      </c>
      <c r="S14" s="174">
        <v>20114</v>
      </c>
      <c r="T14" s="174">
        <v>20332</v>
      </c>
      <c r="U14" s="90"/>
    </row>
    <row r="15" spans="1:21" ht="13.25" customHeight="1">
      <c r="A15" s="83"/>
      <c r="B15" s="23" t="s">
        <v>31</v>
      </c>
      <c r="C15" s="234">
        <v>55950</v>
      </c>
      <c r="D15" s="234">
        <v>54403</v>
      </c>
      <c r="E15" s="222">
        <v>53532</v>
      </c>
      <c r="F15" s="222">
        <v>53005</v>
      </c>
      <c r="G15" s="222">
        <v>53710</v>
      </c>
      <c r="H15" s="222">
        <v>52654</v>
      </c>
      <c r="I15" s="222">
        <v>55445</v>
      </c>
      <c r="J15" s="222">
        <v>57039</v>
      </c>
      <c r="K15" s="222">
        <v>59796</v>
      </c>
      <c r="L15" s="222">
        <v>60713</v>
      </c>
      <c r="M15" s="174">
        <v>56179</v>
      </c>
      <c r="N15" s="174">
        <v>52628</v>
      </c>
      <c r="O15" s="174">
        <v>48379</v>
      </c>
      <c r="P15" s="174">
        <v>40586</v>
      </c>
      <c r="Q15" s="174">
        <v>40739</v>
      </c>
      <c r="R15" s="174">
        <v>37543</v>
      </c>
      <c r="S15" s="174">
        <v>35830</v>
      </c>
      <c r="T15" s="174">
        <v>35626</v>
      </c>
      <c r="U15" s="90"/>
    </row>
    <row r="16" spans="1:21" ht="13.25" customHeight="1">
      <c r="A16" s="83"/>
      <c r="B16" s="23" t="s">
        <v>32</v>
      </c>
      <c r="C16" s="234">
        <v>17350</v>
      </c>
      <c r="D16" s="234">
        <v>17706</v>
      </c>
      <c r="E16" s="222">
        <v>17125</v>
      </c>
      <c r="F16" s="222">
        <v>16342</v>
      </c>
      <c r="G16" s="222">
        <v>15674</v>
      </c>
      <c r="H16" s="222">
        <v>15049</v>
      </c>
      <c r="I16" s="222">
        <v>14840</v>
      </c>
      <c r="J16" s="222">
        <v>15978</v>
      </c>
      <c r="K16" s="222">
        <v>16498</v>
      </c>
      <c r="L16" s="222">
        <v>17691</v>
      </c>
      <c r="M16" s="222">
        <v>16592</v>
      </c>
      <c r="N16" s="222">
        <v>16670</v>
      </c>
      <c r="O16" s="222">
        <v>14913</v>
      </c>
      <c r="P16" s="222">
        <v>14133</v>
      </c>
      <c r="Q16" s="222">
        <v>17363</v>
      </c>
      <c r="R16" s="222">
        <v>19360</v>
      </c>
      <c r="S16" s="222">
        <v>23824.424181360202</v>
      </c>
      <c r="T16" s="222">
        <v>23441</v>
      </c>
      <c r="U16" s="90"/>
    </row>
    <row r="17" spans="1:21" ht="13.25" customHeight="1">
      <c r="A17" s="83"/>
      <c r="B17" s="23" t="s">
        <v>33</v>
      </c>
      <c r="C17" s="234">
        <v>15218</v>
      </c>
      <c r="D17" s="234">
        <v>16580</v>
      </c>
      <c r="E17" s="222">
        <v>19147</v>
      </c>
      <c r="F17" s="222">
        <v>20484</v>
      </c>
      <c r="G17" s="222">
        <v>24021</v>
      </c>
      <c r="H17" s="222">
        <v>23936</v>
      </c>
      <c r="I17" s="222">
        <v>22276</v>
      </c>
      <c r="J17" s="222">
        <v>22265</v>
      </c>
      <c r="K17" s="222">
        <v>23407</v>
      </c>
      <c r="L17" s="222">
        <v>25115</v>
      </c>
      <c r="M17" s="174">
        <v>23243</v>
      </c>
      <c r="N17" s="174">
        <v>24427</v>
      </c>
      <c r="O17" s="174">
        <v>26502</v>
      </c>
      <c r="P17" s="174">
        <v>25971</v>
      </c>
      <c r="Q17" s="174">
        <v>23327</v>
      </c>
      <c r="R17" s="174">
        <v>23261</v>
      </c>
      <c r="S17" s="174">
        <v>24055</v>
      </c>
      <c r="T17" s="174">
        <v>24833</v>
      </c>
      <c r="U17" s="90"/>
    </row>
    <row r="18" spans="1:21" ht="13.25" customHeight="1">
      <c r="A18" s="83"/>
      <c r="B18" s="23" t="s">
        <v>34</v>
      </c>
      <c r="C18" s="234">
        <v>1054</v>
      </c>
      <c r="D18" s="234">
        <v>1389</v>
      </c>
      <c r="E18" s="222">
        <v>2906</v>
      </c>
      <c r="F18" s="222">
        <v>2403</v>
      </c>
      <c r="G18" s="222">
        <v>2225</v>
      </c>
      <c r="H18" s="222">
        <v>2348</v>
      </c>
      <c r="I18" s="222">
        <v>2561</v>
      </c>
      <c r="J18" s="222">
        <v>2932</v>
      </c>
      <c r="K18" s="222">
        <v>1867</v>
      </c>
      <c r="L18" s="222">
        <v>1771</v>
      </c>
      <c r="M18" s="174">
        <v>1485</v>
      </c>
      <c r="N18" s="174">
        <v>1281</v>
      </c>
      <c r="O18" s="174">
        <v>1189</v>
      </c>
      <c r="P18" s="174">
        <v>1109</v>
      </c>
      <c r="Q18" s="174">
        <v>1059</v>
      </c>
      <c r="R18" s="174">
        <v>955</v>
      </c>
      <c r="S18" s="174">
        <v>1037</v>
      </c>
      <c r="T18" s="174">
        <v>1038</v>
      </c>
      <c r="U18" s="90"/>
    </row>
    <row r="19" spans="1:21" ht="13.25" customHeight="1">
      <c r="A19" s="83"/>
      <c r="B19" s="23" t="s">
        <v>35</v>
      </c>
      <c r="C19" s="234">
        <v>1420</v>
      </c>
      <c r="D19" s="234">
        <v>1280</v>
      </c>
      <c r="E19" s="222">
        <v>1373</v>
      </c>
      <c r="F19" s="222">
        <v>1501</v>
      </c>
      <c r="G19" s="222">
        <v>1351</v>
      </c>
      <c r="H19" s="222">
        <v>1619</v>
      </c>
      <c r="I19" s="222">
        <v>1894</v>
      </c>
      <c r="J19" s="222">
        <v>2373</v>
      </c>
      <c r="K19" s="222">
        <v>2418</v>
      </c>
      <c r="L19" s="222">
        <v>2938</v>
      </c>
      <c r="M19" s="174">
        <v>3651</v>
      </c>
      <c r="N19" s="174">
        <v>3905</v>
      </c>
      <c r="O19" s="174">
        <v>4659</v>
      </c>
      <c r="P19" s="174">
        <v>5357</v>
      </c>
      <c r="Q19" s="174">
        <v>3585</v>
      </c>
      <c r="R19" s="174">
        <v>3158</v>
      </c>
      <c r="S19" s="174">
        <v>3716</v>
      </c>
      <c r="T19" s="174">
        <v>4040</v>
      </c>
      <c r="U19" s="90"/>
    </row>
    <row r="20" spans="1:21" ht="13.25" customHeight="1">
      <c r="A20" s="83"/>
      <c r="B20" s="23" t="s">
        <v>36</v>
      </c>
      <c r="C20" s="234">
        <v>47510</v>
      </c>
      <c r="D20" s="234">
        <v>34795</v>
      </c>
      <c r="E20" s="222">
        <v>34292</v>
      </c>
      <c r="F20" s="222">
        <v>33169</v>
      </c>
      <c r="G20" s="222">
        <v>40800</v>
      </c>
      <c r="H20" s="222">
        <v>35925</v>
      </c>
      <c r="I20" s="222">
        <v>30234</v>
      </c>
      <c r="J20" s="222">
        <v>34362</v>
      </c>
      <c r="K20" s="222">
        <v>43834</v>
      </c>
      <c r="L20" s="222">
        <v>42600</v>
      </c>
      <c r="M20" s="174">
        <v>36463</v>
      </c>
      <c r="N20" s="174">
        <v>30127</v>
      </c>
      <c r="O20" s="174">
        <v>28698</v>
      </c>
      <c r="P20" s="174">
        <v>24103</v>
      </c>
      <c r="Q20" s="174">
        <v>25727</v>
      </c>
      <c r="R20" s="174">
        <v>23386.680000000004</v>
      </c>
      <c r="S20" s="174">
        <v>22844.3</v>
      </c>
      <c r="T20" s="174">
        <v>21540.400000000001</v>
      </c>
      <c r="U20" s="90"/>
    </row>
    <row r="21" spans="1:21" ht="13.25" customHeight="1">
      <c r="A21" s="83"/>
      <c r="B21" s="23" t="s">
        <v>37</v>
      </c>
      <c r="C21" s="234">
        <v>9620</v>
      </c>
      <c r="D21" s="234">
        <v>9123</v>
      </c>
      <c r="E21" s="222">
        <v>11626</v>
      </c>
      <c r="F21" s="222">
        <v>9382</v>
      </c>
      <c r="G21" s="222">
        <v>7198</v>
      </c>
      <c r="H21" s="222">
        <v>5668</v>
      </c>
      <c r="I21" s="222">
        <v>5295</v>
      </c>
      <c r="J21" s="222">
        <v>5597</v>
      </c>
      <c r="K21" s="222">
        <v>7157</v>
      </c>
      <c r="L21" s="222">
        <v>8161</v>
      </c>
      <c r="M21" s="174">
        <v>8951</v>
      </c>
      <c r="N21" s="174">
        <v>15265</v>
      </c>
      <c r="O21" s="174">
        <v>15642</v>
      </c>
      <c r="P21" s="174">
        <v>13680</v>
      </c>
      <c r="Q21" s="174">
        <v>10335</v>
      </c>
      <c r="R21" s="174">
        <v>9386</v>
      </c>
      <c r="S21" s="174">
        <v>10325</v>
      </c>
      <c r="T21" s="174">
        <v>10885</v>
      </c>
      <c r="U21" s="90"/>
    </row>
    <row r="22" spans="1:21" ht="13.25" customHeight="1">
      <c r="A22" s="83"/>
      <c r="B22" s="23" t="s">
        <v>38</v>
      </c>
      <c r="C22" s="234">
        <v>1660</v>
      </c>
      <c r="D22" s="234">
        <v>1469</v>
      </c>
      <c r="E22" s="222">
        <v>1718</v>
      </c>
      <c r="F22" s="222">
        <v>1387</v>
      </c>
      <c r="G22" s="222">
        <v>1494</v>
      </c>
      <c r="H22" s="222">
        <v>1329</v>
      </c>
      <c r="I22" s="222">
        <v>1018</v>
      </c>
      <c r="J22" s="222">
        <v>779</v>
      </c>
      <c r="K22" s="222">
        <v>848</v>
      </c>
      <c r="L22" s="222">
        <v>703</v>
      </c>
      <c r="M22" s="174">
        <v>710</v>
      </c>
      <c r="N22" s="174">
        <v>706</v>
      </c>
      <c r="O22" s="174">
        <v>861</v>
      </c>
      <c r="P22" s="174">
        <v>647</v>
      </c>
      <c r="Q22" s="174">
        <v>689</v>
      </c>
      <c r="R22" s="174">
        <v>759</v>
      </c>
      <c r="S22" s="174">
        <v>847</v>
      </c>
      <c r="T22" s="174">
        <v>847</v>
      </c>
      <c r="U22" s="90"/>
    </row>
    <row r="23" spans="1:21" ht="13.25" customHeight="1">
      <c r="A23" s="83"/>
      <c r="B23" s="23" t="s">
        <v>39</v>
      </c>
      <c r="C23" s="234">
        <v>5288</v>
      </c>
      <c r="D23" s="234">
        <v>5591</v>
      </c>
      <c r="E23" s="222">
        <v>5403</v>
      </c>
      <c r="F23" s="222">
        <v>4772</v>
      </c>
      <c r="G23" s="222">
        <v>4794</v>
      </c>
      <c r="H23" s="222">
        <v>5060</v>
      </c>
      <c r="I23" s="222">
        <v>4954</v>
      </c>
      <c r="J23" s="222">
        <v>5369</v>
      </c>
      <c r="K23" s="222">
        <v>5322</v>
      </c>
      <c r="L23" s="222">
        <v>5201</v>
      </c>
      <c r="M23" s="174">
        <v>4994</v>
      </c>
      <c r="N23" s="174">
        <v>5031</v>
      </c>
      <c r="O23" s="174">
        <v>5022</v>
      </c>
      <c r="P23" s="174">
        <v>5170</v>
      </c>
      <c r="Q23" s="174">
        <v>5343</v>
      </c>
      <c r="R23" s="174">
        <v>5507</v>
      </c>
      <c r="S23" s="174">
        <v>5682</v>
      </c>
      <c r="T23" s="174">
        <v>5850</v>
      </c>
      <c r="U23" s="90"/>
    </row>
    <row r="24" spans="1:21" ht="13.25" customHeight="1">
      <c r="A24" s="83"/>
      <c r="B24" s="23" t="s">
        <v>40</v>
      </c>
      <c r="C24" s="234">
        <v>47054</v>
      </c>
      <c r="D24" s="234">
        <v>45061</v>
      </c>
      <c r="E24" s="222">
        <v>44279</v>
      </c>
      <c r="F24" s="222">
        <v>43408</v>
      </c>
      <c r="G24" s="222">
        <v>43673</v>
      </c>
      <c r="H24" s="222">
        <v>46079</v>
      </c>
      <c r="I24" s="222">
        <v>47883</v>
      </c>
      <c r="J24" s="222">
        <v>50162</v>
      </c>
      <c r="K24" s="222">
        <v>53248</v>
      </c>
      <c r="L24" s="222">
        <v>31848</v>
      </c>
      <c r="M24" s="174">
        <v>31730</v>
      </c>
      <c r="N24" s="174">
        <v>32986</v>
      </c>
      <c r="O24" s="174">
        <v>28342</v>
      </c>
      <c r="P24" s="174">
        <v>27672</v>
      </c>
      <c r="Q24" s="174">
        <v>28248</v>
      </c>
      <c r="R24" s="174">
        <v>25403</v>
      </c>
      <c r="S24" s="174">
        <v>25825</v>
      </c>
      <c r="T24" s="174">
        <v>25058</v>
      </c>
      <c r="U24" s="90"/>
    </row>
    <row r="25" spans="1:21" ht="13.25" customHeight="1">
      <c r="A25" s="83"/>
      <c r="B25" s="23" t="s">
        <v>41</v>
      </c>
      <c r="C25" s="234">
        <v>13635</v>
      </c>
      <c r="D25" s="234">
        <v>13355</v>
      </c>
      <c r="E25" s="222">
        <v>15390</v>
      </c>
      <c r="F25" s="222">
        <v>15324</v>
      </c>
      <c r="G25" s="222">
        <v>16928</v>
      </c>
      <c r="H25" s="222">
        <v>16685</v>
      </c>
      <c r="I25" s="222">
        <v>18161</v>
      </c>
      <c r="J25" s="222">
        <v>18141</v>
      </c>
      <c r="K25" s="222">
        <v>18383</v>
      </c>
      <c r="L25" s="222">
        <v>18234</v>
      </c>
      <c r="M25" s="174">
        <v>18313</v>
      </c>
      <c r="N25" s="174">
        <v>18280</v>
      </c>
      <c r="O25" s="174">
        <v>18043</v>
      </c>
      <c r="P25" s="174">
        <v>17431</v>
      </c>
      <c r="Q25" s="174">
        <v>18390</v>
      </c>
      <c r="R25" s="174">
        <v>18028.519999999997</v>
      </c>
      <c r="S25" s="174">
        <v>16519.3</v>
      </c>
      <c r="T25" s="174">
        <v>16083</v>
      </c>
      <c r="U25" s="90"/>
    </row>
    <row r="26" spans="1:21" ht="13.25" customHeight="1">
      <c r="A26" s="83"/>
      <c r="B26" s="23" t="s">
        <v>44</v>
      </c>
      <c r="C26" s="234">
        <v>7005</v>
      </c>
      <c r="D26" s="234">
        <v>6646</v>
      </c>
      <c r="E26" s="222">
        <v>7157</v>
      </c>
      <c r="F26" s="222">
        <v>6796</v>
      </c>
      <c r="G26" s="222">
        <v>7481</v>
      </c>
      <c r="H26" s="222">
        <v>7708</v>
      </c>
      <c r="I26" s="222">
        <v>8927</v>
      </c>
      <c r="J26" s="222">
        <v>8965</v>
      </c>
      <c r="K26" s="222">
        <v>7009</v>
      </c>
      <c r="L26" s="222">
        <v>6361</v>
      </c>
      <c r="M26" s="174">
        <v>5435</v>
      </c>
      <c r="N26" s="174">
        <v>3776</v>
      </c>
      <c r="O26" s="174">
        <v>3693</v>
      </c>
      <c r="P26" s="174">
        <v>3524</v>
      </c>
      <c r="Q26" s="174">
        <v>3901</v>
      </c>
      <c r="R26" s="174">
        <v>4023</v>
      </c>
      <c r="S26" s="174">
        <v>4169</v>
      </c>
      <c r="T26" s="174">
        <v>4175</v>
      </c>
      <c r="U26" s="90"/>
    </row>
    <row r="27" spans="1:21" ht="13.25" customHeight="1">
      <c r="A27" s="83"/>
      <c r="B27" s="23" t="s">
        <v>45</v>
      </c>
      <c r="C27" s="234">
        <v>0</v>
      </c>
      <c r="D27" s="234">
        <v>0</v>
      </c>
      <c r="E27" s="222">
        <v>0</v>
      </c>
      <c r="F27" s="222">
        <v>0</v>
      </c>
      <c r="G27" s="222">
        <v>0</v>
      </c>
      <c r="H27" s="222">
        <v>0</v>
      </c>
      <c r="I27" s="222">
        <v>0</v>
      </c>
      <c r="J27" s="222">
        <v>0</v>
      </c>
      <c r="K27" s="222">
        <v>0</v>
      </c>
      <c r="L27" s="222">
        <v>0</v>
      </c>
      <c r="M27" s="174">
        <v>0</v>
      </c>
      <c r="N27" s="174">
        <v>0</v>
      </c>
      <c r="O27" s="174">
        <v>0</v>
      </c>
      <c r="P27" s="174">
        <v>0</v>
      </c>
      <c r="Q27" s="174">
        <v>0</v>
      </c>
      <c r="R27" s="174">
        <v>0</v>
      </c>
      <c r="S27" s="174">
        <v>0</v>
      </c>
      <c r="T27" s="174">
        <v>0</v>
      </c>
      <c r="U27" s="90"/>
    </row>
    <row r="28" spans="1:21" ht="13.25" customHeight="1">
      <c r="A28" s="83"/>
      <c r="B28" s="82" t="s">
        <v>46</v>
      </c>
      <c r="C28" s="234">
        <v>0</v>
      </c>
      <c r="D28" s="234">
        <v>0</v>
      </c>
      <c r="E28" s="222">
        <v>0</v>
      </c>
      <c r="F28" s="222">
        <v>0</v>
      </c>
      <c r="G28" s="222">
        <v>0</v>
      </c>
      <c r="H28" s="222">
        <v>0</v>
      </c>
      <c r="I28" s="222">
        <v>0</v>
      </c>
      <c r="J28" s="222">
        <v>0</v>
      </c>
      <c r="K28" s="222">
        <v>0</v>
      </c>
      <c r="L28" s="222">
        <v>0</v>
      </c>
      <c r="M28" s="174">
        <v>0</v>
      </c>
      <c r="N28" s="174">
        <v>0</v>
      </c>
      <c r="O28" s="174">
        <v>0</v>
      </c>
      <c r="P28" s="174">
        <v>0</v>
      </c>
      <c r="Q28" s="174">
        <v>0</v>
      </c>
      <c r="R28" s="174">
        <v>0</v>
      </c>
      <c r="S28" s="174">
        <v>0</v>
      </c>
      <c r="T28" s="174">
        <v>0</v>
      </c>
      <c r="U28" s="90"/>
    </row>
    <row r="29" spans="1:21" ht="13.25" customHeight="1">
      <c r="A29" s="83"/>
      <c r="B29" s="23" t="s">
        <v>47</v>
      </c>
      <c r="C29" s="234">
        <v>0</v>
      </c>
      <c r="D29" s="234">
        <v>0</v>
      </c>
      <c r="E29" s="222">
        <v>0</v>
      </c>
      <c r="F29" s="222">
        <v>0</v>
      </c>
      <c r="G29" s="222">
        <v>0</v>
      </c>
      <c r="H29" s="222">
        <v>0</v>
      </c>
      <c r="I29" s="222">
        <v>0</v>
      </c>
      <c r="J29" s="222">
        <v>0</v>
      </c>
      <c r="K29" s="222">
        <v>0</v>
      </c>
      <c r="L29" s="222">
        <v>0</v>
      </c>
      <c r="M29" s="174">
        <v>0</v>
      </c>
      <c r="N29" s="174">
        <v>17</v>
      </c>
      <c r="O29" s="174">
        <v>10</v>
      </c>
      <c r="P29" s="174">
        <v>88</v>
      </c>
      <c r="Q29" s="174">
        <v>35</v>
      </c>
      <c r="R29" s="174">
        <v>34</v>
      </c>
      <c r="S29" s="174">
        <v>29</v>
      </c>
      <c r="T29" s="174">
        <v>30.125599999999999</v>
      </c>
      <c r="U29" s="90"/>
    </row>
    <row r="30" spans="1:21" ht="13.25" customHeight="1">
      <c r="A30" s="83"/>
      <c r="B30" s="23" t="s">
        <v>48</v>
      </c>
      <c r="C30" s="234">
        <v>0</v>
      </c>
      <c r="D30" s="234">
        <v>0</v>
      </c>
      <c r="E30" s="222">
        <v>0</v>
      </c>
      <c r="F30" s="222">
        <v>0</v>
      </c>
      <c r="G30" s="222">
        <v>0</v>
      </c>
      <c r="H30" s="222">
        <v>0</v>
      </c>
      <c r="I30" s="222">
        <v>0</v>
      </c>
      <c r="J30" s="222">
        <v>0</v>
      </c>
      <c r="K30" s="222">
        <v>0</v>
      </c>
      <c r="L30" s="222">
        <v>0</v>
      </c>
      <c r="M30" s="174">
        <v>0</v>
      </c>
      <c r="N30" s="174">
        <v>0</v>
      </c>
      <c r="O30" s="174">
        <v>0</v>
      </c>
      <c r="P30" s="174">
        <v>0</v>
      </c>
      <c r="Q30" s="174">
        <v>0</v>
      </c>
      <c r="R30" s="174">
        <v>0</v>
      </c>
      <c r="S30" s="174">
        <v>0</v>
      </c>
      <c r="T30" s="174">
        <v>0</v>
      </c>
      <c r="U30" s="90"/>
    </row>
    <row r="31" spans="1:21" ht="13.25" customHeight="1" thickBot="1">
      <c r="A31" s="88"/>
      <c r="B31" s="577" t="s">
        <v>49</v>
      </c>
      <c r="C31" s="583">
        <v>0</v>
      </c>
      <c r="D31" s="583">
        <v>0</v>
      </c>
      <c r="E31" s="581">
        <v>0</v>
      </c>
      <c r="F31" s="581">
        <v>0</v>
      </c>
      <c r="G31" s="581">
        <v>0</v>
      </c>
      <c r="H31" s="581">
        <v>0</v>
      </c>
      <c r="I31" s="581">
        <v>0</v>
      </c>
      <c r="J31" s="581">
        <v>0</v>
      </c>
      <c r="K31" s="581">
        <v>0</v>
      </c>
      <c r="L31" s="581">
        <v>0</v>
      </c>
      <c r="M31" s="584">
        <v>0</v>
      </c>
      <c r="N31" s="584">
        <v>0</v>
      </c>
      <c r="O31" s="584">
        <v>0</v>
      </c>
      <c r="P31" s="584">
        <v>0</v>
      </c>
      <c r="Q31" s="584">
        <v>0</v>
      </c>
      <c r="R31" s="584">
        <v>0</v>
      </c>
      <c r="S31" s="584">
        <v>0</v>
      </c>
      <c r="T31" s="584">
        <v>0</v>
      </c>
      <c r="U31" s="90"/>
    </row>
    <row r="32" spans="1:21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19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</row>
    <row r="34" spans="1:19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</row>
    <row r="35" spans="1:19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4">
    <tabColor theme="9" tint="0.59999389629810485"/>
  </sheetPr>
  <dimension ref="A2:X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16384" width="7" style="82"/>
  </cols>
  <sheetData>
    <row r="2" spans="1:24" ht="13.25" customHeight="1">
      <c r="A2" s="230" t="s">
        <v>497</v>
      </c>
      <c r="B2" s="231"/>
    </row>
    <row r="3" spans="1:24" ht="13.25" customHeight="1">
      <c r="A3" s="232" t="s">
        <v>236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349</v>
      </c>
      <c r="R5" s="569">
        <v>2020</v>
      </c>
      <c r="S5" s="569">
        <v>2021</v>
      </c>
      <c r="T5" s="569" t="s">
        <v>477</v>
      </c>
    </row>
    <row r="6" spans="1:24" ht="15" customHeight="1">
      <c r="A6" s="963" t="s">
        <v>96</v>
      </c>
      <c r="B6" s="963"/>
      <c r="C6" s="572">
        <f t="shared" ref="C6:N6" si="0">(C8+C9+C10+C11+C12+C13+C14+C15+C16+C17+C18+C19+C20+C21+C22+C23+C24+C25+C26+C27+C28+C29+C30+C31)</f>
        <v>6617</v>
      </c>
      <c r="D6" s="572">
        <f t="shared" si="0"/>
        <v>6771</v>
      </c>
      <c r="E6" s="574">
        <f t="shared" si="0"/>
        <v>6684</v>
      </c>
      <c r="F6" s="574">
        <f t="shared" si="0"/>
        <v>6420</v>
      </c>
      <c r="G6" s="574">
        <f t="shared" si="0"/>
        <v>6152</v>
      </c>
      <c r="H6" s="574">
        <f t="shared" si="0"/>
        <v>6133</v>
      </c>
      <c r="I6" s="574">
        <f t="shared" si="0"/>
        <v>6151</v>
      </c>
      <c r="J6" s="574">
        <f t="shared" si="0"/>
        <v>6245</v>
      </c>
      <c r="K6" s="574">
        <f t="shared" si="0"/>
        <v>6439</v>
      </c>
      <c r="L6" s="574">
        <f t="shared" si="0"/>
        <v>6167</v>
      </c>
      <c r="M6" s="574">
        <f t="shared" si="0"/>
        <v>5900</v>
      </c>
      <c r="N6" s="574">
        <f t="shared" si="0"/>
        <v>5827</v>
      </c>
      <c r="O6" s="574">
        <f t="shared" ref="O6:T6" si="1">(O8+O9+O10+O11+O12+O13+O14+O15+O16+O17+O18+O19+O20+O21+O22+O23+O24+O25+O26+O27+O28+O29+O30+O31)</f>
        <v>5494</v>
      </c>
      <c r="P6" s="574">
        <f t="shared" si="1"/>
        <v>4966</v>
      </c>
      <c r="Q6" s="574">
        <f t="shared" si="1"/>
        <v>5100</v>
      </c>
      <c r="R6" s="574">
        <f t="shared" si="1"/>
        <v>4957.4344300000012</v>
      </c>
      <c r="S6" s="574">
        <f t="shared" si="1"/>
        <v>4948.0020000000004</v>
      </c>
      <c r="T6" s="574">
        <f t="shared" si="1"/>
        <v>4929.125634</v>
      </c>
    </row>
    <row r="7" spans="1:24" ht="3" customHeight="1">
      <c r="A7" s="83"/>
      <c r="B7" s="84"/>
      <c r="C7" s="235"/>
      <c r="D7" s="235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4" ht="13.25" customHeight="1">
      <c r="A8" s="83"/>
      <c r="B8" s="23" t="s">
        <v>21</v>
      </c>
      <c r="C8" s="236">
        <v>274</v>
      </c>
      <c r="D8" s="236">
        <v>261</v>
      </c>
      <c r="E8" s="222">
        <v>226</v>
      </c>
      <c r="F8" s="222">
        <v>215</v>
      </c>
      <c r="G8" s="222">
        <v>260</v>
      </c>
      <c r="H8" s="222">
        <v>283</v>
      </c>
      <c r="I8" s="222">
        <v>256</v>
      </c>
      <c r="J8" s="222">
        <v>266</v>
      </c>
      <c r="K8" s="222">
        <v>258</v>
      </c>
      <c r="L8" s="222">
        <v>292</v>
      </c>
      <c r="M8" s="174">
        <v>252</v>
      </c>
      <c r="N8" s="174">
        <v>205</v>
      </c>
      <c r="O8" s="174">
        <v>378</v>
      </c>
      <c r="P8" s="174">
        <v>273</v>
      </c>
      <c r="Q8" s="174">
        <v>220</v>
      </c>
      <c r="R8" s="174">
        <v>203.9</v>
      </c>
      <c r="S8" s="174">
        <v>189</v>
      </c>
      <c r="T8" s="174">
        <v>191.5</v>
      </c>
      <c r="V8" s="931"/>
      <c r="W8" s="931"/>
      <c r="X8" s="931"/>
    </row>
    <row r="9" spans="1:24" ht="13.25" customHeight="1">
      <c r="A9" s="83"/>
      <c r="B9" s="23" t="s">
        <v>22</v>
      </c>
      <c r="C9" s="236">
        <v>1970</v>
      </c>
      <c r="D9" s="236">
        <v>2250</v>
      </c>
      <c r="E9" s="222">
        <v>2114</v>
      </c>
      <c r="F9" s="222">
        <v>2190</v>
      </c>
      <c r="G9" s="222">
        <v>1819</v>
      </c>
      <c r="H9" s="222">
        <v>1854</v>
      </c>
      <c r="I9" s="222">
        <v>1833</v>
      </c>
      <c r="J9" s="222">
        <v>1923</v>
      </c>
      <c r="K9" s="222">
        <v>1990</v>
      </c>
      <c r="L9" s="222">
        <v>1895</v>
      </c>
      <c r="M9" s="174">
        <v>1781</v>
      </c>
      <c r="N9" s="174">
        <v>1666</v>
      </c>
      <c r="O9" s="174">
        <v>1377</v>
      </c>
      <c r="P9" s="174">
        <v>1128</v>
      </c>
      <c r="Q9" s="174">
        <v>1283</v>
      </c>
      <c r="R9" s="174">
        <v>1306.8</v>
      </c>
      <c r="S9" s="174">
        <v>1330.4</v>
      </c>
      <c r="T9" s="174">
        <v>1350.5</v>
      </c>
      <c r="V9" s="931"/>
      <c r="W9" s="931"/>
      <c r="X9" s="931"/>
    </row>
    <row r="10" spans="1:24" ht="13.25" customHeight="1">
      <c r="A10" s="83"/>
      <c r="B10" s="23" t="s">
        <v>23</v>
      </c>
      <c r="C10" s="236">
        <v>569</v>
      </c>
      <c r="D10" s="236">
        <v>536</v>
      </c>
      <c r="E10" s="222">
        <v>564</v>
      </c>
      <c r="F10" s="222">
        <v>473</v>
      </c>
      <c r="G10" s="222">
        <v>481</v>
      </c>
      <c r="H10" s="222">
        <v>434</v>
      </c>
      <c r="I10" s="222">
        <v>491</v>
      </c>
      <c r="J10" s="222">
        <v>384</v>
      </c>
      <c r="K10" s="222">
        <v>353</v>
      </c>
      <c r="L10" s="222">
        <v>365</v>
      </c>
      <c r="M10" s="222">
        <v>310</v>
      </c>
      <c r="N10" s="222">
        <v>385</v>
      </c>
      <c r="O10" s="222">
        <v>456</v>
      </c>
      <c r="P10" s="222">
        <v>416</v>
      </c>
      <c r="Q10" s="222">
        <v>375</v>
      </c>
      <c r="R10" s="222">
        <v>344.7</v>
      </c>
      <c r="S10" s="222">
        <v>312.39999999999998</v>
      </c>
      <c r="T10" s="222">
        <v>295.10000000000002</v>
      </c>
      <c r="U10" s="90"/>
      <c r="V10" s="931"/>
      <c r="W10" s="931"/>
      <c r="X10" s="931"/>
    </row>
    <row r="11" spans="1:24" ht="13.25" customHeight="1">
      <c r="A11" s="83"/>
      <c r="B11" s="23" t="s">
        <v>24</v>
      </c>
      <c r="C11" s="236">
        <v>496</v>
      </c>
      <c r="D11" s="236">
        <v>516</v>
      </c>
      <c r="E11" s="222">
        <v>519</v>
      </c>
      <c r="F11" s="222">
        <v>531</v>
      </c>
      <c r="G11" s="222">
        <v>538</v>
      </c>
      <c r="H11" s="222">
        <v>543</v>
      </c>
      <c r="I11" s="222">
        <v>546</v>
      </c>
      <c r="J11" s="222">
        <v>548</v>
      </c>
      <c r="K11" s="222">
        <v>554</v>
      </c>
      <c r="L11" s="222">
        <v>560</v>
      </c>
      <c r="M11" s="174">
        <v>573</v>
      </c>
      <c r="N11" s="174">
        <v>579</v>
      </c>
      <c r="O11" s="174">
        <v>453</v>
      </c>
      <c r="P11" s="174">
        <v>451</v>
      </c>
      <c r="Q11" s="174">
        <v>437</v>
      </c>
      <c r="R11" s="174">
        <v>455.7</v>
      </c>
      <c r="S11" s="174">
        <v>472.1</v>
      </c>
      <c r="T11" s="174">
        <v>460.1</v>
      </c>
      <c r="U11" s="90"/>
      <c r="V11" s="931"/>
      <c r="W11" s="931"/>
      <c r="X11" s="931"/>
    </row>
    <row r="12" spans="1:24" ht="13.25" customHeight="1">
      <c r="A12" s="83"/>
      <c r="B12" s="23" t="s">
        <v>25</v>
      </c>
      <c r="C12" s="236">
        <v>339</v>
      </c>
      <c r="D12" s="236">
        <v>359</v>
      </c>
      <c r="E12" s="222">
        <v>366</v>
      </c>
      <c r="F12" s="222">
        <v>333</v>
      </c>
      <c r="G12" s="222">
        <v>333</v>
      </c>
      <c r="H12" s="222">
        <v>329</v>
      </c>
      <c r="I12" s="222">
        <v>324</v>
      </c>
      <c r="J12" s="222">
        <v>305</v>
      </c>
      <c r="K12" s="222">
        <v>323</v>
      </c>
      <c r="L12" s="222">
        <v>308</v>
      </c>
      <c r="M12" s="174">
        <v>299</v>
      </c>
      <c r="N12" s="174">
        <v>328</v>
      </c>
      <c r="O12" s="174">
        <v>234</v>
      </c>
      <c r="P12" s="174">
        <v>250</v>
      </c>
      <c r="Q12" s="174">
        <v>296</v>
      </c>
      <c r="R12" s="174">
        <v>256.89999999999998</v>
      </c>
      <c r="S12" s="174">
        <v>248.7</v>
      </c>
      <c r="T12" s="174">
        <v>250</v>
      </c>
      <c r="U12" s="90"/>
      <c r="V12" s="931"/>
      <c r="W12" s="931"/>
      <c r="X12" s="931"/>
    </row>
    <row r="13" spans="1:24" ht="13.25" customHeight="1">
      <c r="A13" s="83"/>
      <c r="B13" s="23" t="s">
        <v>29</v>
      </c>
      <c r="C13" s="236">
        <v>27</v>
      </c>
      <c r="D13" s="236">
        <v>27</v>
      </c>
      <c r="E13" s="222">
        <v>32</v>
      </c>
      <c r="F13" s="222">
        <v>25</v>
      </c>
      <c r="G13" s="222">
        <v>29</v>
      </c>
      <c r="H13" s="222">
        <v>39</v>
      </c>
      <c r="I13" s="222">
        <v>40</v>
      </c>
      <c r="J13" s="222">
        <v>46</v>
      </c>
      <c r="K13" s="222">
        <v>45</v>
      </c>
      <c r="L13" s="222">
        <v>54</v>
      </c>
      <c r="M13" s="222">
        <v>59</v>
      </c>
      <c r="N13" s="222">
        <v>58</v>
      </c>
      <c r="O13" s="222">
        <v>57</v>
      </c>
      <c r="P13" s="222">
        <v>57</v>
      </c>
      <c r="Q13" s="222">
        <v>60</v>
      </c>
      <c r="R13" s="222">
        <v>52.9</v>
      </c>
      <c r="S13" s="222">
        <v>54.1</v>
      </c>
      <c r="T13" s="222">
        <v>57.7</v>
      </c>
      <c r="U13" s="90"/>
      <c r="V13" s="931"/>
      <c r="W13" s="931"/>
      <c r="X13" s="931"/>
    </row>
    <row r="14" spans="1:24" ht="13.25" customHeight="1">
      <c r="A14" s="83"/>
      <c r="B14" s="23" t="s">
        <v>30</v>
      </c>
      <c r="C14" s="236">
        <v>198</v>
      </c>
      <c r="D14" s="236">
        <v>207</v>
      </c>
      <c r="E14" s="222">
        <v>171</v>
      </c>
      <c r="F14" s="222">
        <v>174</v>
      </c>
      <c r="G14" s="222">
        <v>140</v>
      </c>
      <c r="H14" s="222">
        <v>155</v>
      </c>
      <c r="I14" s="222">
        <v>144</v>
      </c>
      <c r="J14" s="222">
        <v>145</v>
      </c>
      <c r="K14" s="222">
        <v>153</v>
      </c>
      <c r="L14" s="222">
        <v>154</v>
      </c>
      <c r="M14" s="174">
        <v>174</v>
      </c>
      <c r="N14" s="174">
        <v>210</v>
      </c>
      <c r="O14" s="174">
        <v>214</v>
      </c>
      <c r="P14" s="174">
        <v>218</v>
      </c>
      <c r="Q14" s="174">
        <v>219</v>
      </c>
      <c r="R14" s="174">
        <v>214</v>
      </c>
      <c r="S14" s="174">
        <v>205.3</v>
      </c>
      <c r="T14" s="174">
        <v>205.7</v>
      </c>
      <c r="U14" s="90"/>
      <c r="V14" s="931"/>
      <c r="W14" s="931"/>
      <c r="X14" s="931"/>
    </row>
    <row r="15" spans="1:24" ht="13.25" customHeight="1">
      <c r="A15" s="83"/>
      <c r="B15" s="23" t="s">
        <v>31</v>
      </c>
      <c r="C15" s="236">
        <v>785</v>
      </c>
      <c r="D15" s="236">
        <v>769</v>
      </c>
      <c r="E15" s="222">
        <v>755</v>
      </c>
      <c r="F15" s="222">
        <v>743</v>
      </c>
      <c r="G15" s="222">
        <v>751</v>
      </c>
      <c r="H15" s="222">
        <v>709</v>
      </c>
      <c r="I15" s="222">
        <v>731</v>
      </c>
      <c r="J15" s="222">
        <v>719</v>
      </c>
      <c r="K15" s="222">
        <v>747</v>
      </c>
      <c r="L15" s="222">
        <v>758</v>
      </c>
      <c r="M15" s="174">
        <v>725</v>
      </c>
      <c r="N15" s="174">
        <v>659</v>
      </c>
      <c r="O15" s="174">
        <v>603</v>
      </c>
      <c r="P15" s="174">
        <v>533</v>
      </c>
      <c r="Q15" s="174">
        <v>533</v>
      </c>
      <c r="R15" s="174">
        <v>498.6</v>
      </c>
      <c r="S15" s="174">
        <v>473</v>
      </c>
      <c r="T15" s="174">
        <v>457.3</v>
      </c>
      <c r="U15" s="90"/>
      <c r="V15" s="931"/>
      <c r="W15" s="931"/>
      <c r="X15" s="931"/>
    </row>
    <row r="16" spans="1:24" ht="13.25" customHeight="1">
      <c r="A16" s="83"/>
      <c r="B16" s="23" t="s">
        <v>32</v>
      </c>
      <c r="C16" s="236">
        <v>229</v>
      </c>
      <c r="D16" s="236">
        <v>235</v>
      </c>
      <c r="E16" s="222">
        <v>231</v>
      </c>
      <c r="F16" s="222">
        <v>203</v>
      </c>
      <c r="G16" s="222">
        <v>186</v>
      </c>
      <c r="H16" s="222">
        <v>189</v>
      </c>
      <c r="I16" s="222">
        <v>196</v>
      </c>
      <c r="J16" s="222">
        <v>216</v>
      </c>
      <c r="K16" s="222">
        <v>231</v>
      </c>
      <c r="L16" s="222">
        <v>228</v>
      </c>
      <c r="M16" s="222">
        <v>223</v>
      </c>
      <c r="N16" s="222">
        <v>228</v>
      </c>
      <c r="O16" s="222">
        <v>211</v>
      </c>
      <c r="P16" s="222">
        <v>198</v>
      </c>
      <c r="Q16" s="222">
        <v>247</v>
      </c>
      <c r="R16" s="222">
        <v>280.39999999999998</v>
      </c>
      <c r="S16" s="222">
        <v>294.10000000000002</v>
      </c>
      <c r="T16" s="222">
        <v>306.5</v>
      </c>
      <c r="U16" s="90"/>
      <c r="V16" s="931"/>
      <c r="W16" s="931"/>
      <c r="X16" s="931"/>
    </row>
    <row r="17" spans="1:24" ht="13.25" customHeight="1">
      <c r="A17" s="83"/>
      <c r="B17" s="23" t="s">
        <v>33</v>
      </c>
      <c r="C17" s="236">
        <v>214</v>
      </c>
      <c r="D17" s="236">
        <v>233</v>
      </c>
      <c r="E17" s="222">
        <v>267</v>
      </c>
      <c r="F17" s="222">
        <v>246</v>
      </c>
      <c r="G17" s="222">
        <v>250</v>
      </c>
      <c r="H17" s="222">
        <v>240</v>
      </c>
      <c r="I17" s="222">
        <v>221</v>
      </c>
      <c r="J17" s="222">
        <v>211</v>
      </c>
      <c r="K17" s="222">
        <v>213</v>
      </c>
      <c r="L17" s="222">
        <v>232</v>
      </c>
      <c r="M17" s="174">
        <v>218</v>
      </c>
      <c r="N17" s="174">
        <v>222</v>
      </c>
      <c r="O17" s="174">
        <v>242</v>
      </c>
      <c r="P17" s="174">
        <v>251</v>
      </c>
      <c r="Q17" s="174">
        <v>237</v>
      </c>
      <c r="R17" s="174">
        <v>239.2</v>
      </c>
      <c r="S17" s="174">
        <v>248.2</v>
      </c>
      <c r="T17" s="174">
        <v>244</v>
      </c>
      <c r="U17" s="90"/>
      <c r="V17" s="931"/>
      <c r="W17" s="931"/>
      <c r="X17" s="931"/>
    </row>
    <row r="18" spans="1:24" ht="13.25" customHeight="1">
      <c r="A18" s="83"/>
      <c r="B18" s="23" t="s">
        <v>34</v>
      </c>
      <c r="C18" s="236">
        <v>11</v>
      </c>
      <c r="D18" s="236">
        <v>15</v>
      </c>
      <c r="E18" s="222">
        <v>30</v>
      </c>
      <c r="F18" s="222">
        <v>25</v>
      </c>
      <c r="G18" s="222">
        <v>21</v>
      </c>
      <c r="H18" s="222">
        <v>23</v>
      </c>
      <c r="I18" s="222">
        <v>27</v>
      </c>
      <c r="J18" s="222">
        <v>33</v>
      </c>
      <c r="K18" s="222">
        <v>21</v>
      </c>
      <c r="L18" s="222">
        <v>20</v>
      </c>
      <c r="M18" s="174">
        <v>18</v>
      </c>
      <c r="N18" s="174">
        <v>14</v>
      </c>
      <c r="O18" s="174">
        <v>14</v>
      </c>
      <c r="P18" s="174">
        <v>13</v>
      </c>
      <c r="Q18" s="174">
        <v>12</v>
      </c>
      <c r="R18" s="174">
        <v>11</v>
      </c>
      <c r="S18" s="174">
        <v>11.9</v>
      </c>
      <c r="T18" s="174">
        <v>12.3</v>
      </c>
      <c r="U18" s="90"/>
      <c r="V18" s="931"/>
      <c r="W18" s="931"/>
      <c r="X18" s="931"/>
    </row>
    <row r="19" spans="1:24" ht="13.25" customHeight="1">
      <c r="A19" s="83"/>
      <c r="B19" s="23" t="s">
        <v>35</v>
      </c>
      <c r="C19" s="236">
        <v>14</v>
      </c>
      <c r="D19" s="236">
        <v>13</v>
      </c>
      <c r="E19" s="222">
        <v>14</v>
      </c>
      <c r="F19" s="222">
        <v>15</v>
      </c>
      <c r="G19" s="222">
        <v>14</v>
      </c>
      <c r="H19" s="222">
        <v>18</v>
      </c>
      <c r="I19" s="222">
        <v>21</v>
      </c>
      <c r="J19" s="222">
        <v>26</v>
      </c>
      <c r="K19" s="222">
        <v>27</v>
      </c>
      <c r="L19" s="222">
        <v>33</v>
      </c>
      <c r="M19" s="174">
        <v>42</v>
      </c>
      <c r="N19" s="174">
        <v>41</v>
      </c>
      <c r="O19" s="174">
        <v>48</v>
      </c>
      <c r="P19" s="174">
        <v>56</v>
      </c>
      <c r="Q19" s="174">
        <v>44</v>
      </c>
      <c r="R19" s="174">
        <v>35.799999999999997</v>
      </c>
      <c r="S19" s="174">
        <v>38.1</v>
      </c>
      <c r="T19" s="174">
        <v>41.9</v>
      </c>
      <c r="U19" s="90"/>
      <c r="V19" s="931"/>
      <c r="W19" s="931"/>
      <c r="X19" s="931"/>
    </row>
    <row r="20" spans="1:24" ht="13.25" customHeight="1">
      <c r="A20" s="83"/>
      <c r="B20" s="23" t="s">
        <v>36</v>
      </c>
      <c r="C20" s="236">
        <v>532</v>
      </c>
      <c r="D20" s="236">
        <v>400</v>
      </c>
      <c r="E20" s="222">
        <v>395</v>
      </c>
      <c r="F20" s="222">
        <v>381</v>
      </c>
      <c r="G20" s="222">
        <v>450</v>
      </c>
      <c r="H20" s="222">
        <v>420</v>
      </c>
      <c r="I20" s="222">
        <v>393</v>
      </c>
      <c r="J20" s="222">
        <v>436</v>
      </c>
      <c r="K20" s="222">
        <v>499</v>
      </c>
      <c r="L20" s="222">
        <v>460</v>
      </c>
      <c r="M20" s="174">
        <v>420</v>
      </c>
      <c r="N20" s="174">
        <v>345</v>
      </c>
      <c r="O20" s="174">
        <v>369</v>
      </c>
      <c r="P20" s="174">
        <v>309</v>
      </c>
      <c r="Q20" s="174">
        <v>335</v>
      </c>
      <c r="R20" s="174">
        <v>308.60000000000002</v>
      </c>
      <c r="S20" s="174">
        <v>294.89999999999998</v>
      </c>
      <c r="T20" s="174">
        <v>286.7</v>
      </c>
      <c r="U20" s="90"/>
      <c r="V20" s="931"/>
      <c r="W20" s="931"/>
      <c r="X20" s="931"/>
    </row>
    <row r="21" spans="1:24" ht="13.25" customHeight="1">
      <c r="A21" s="83"/>
      <c r="B21" s="23" t="s">
        <v>37</v>
      </c>
      <c r="C21" s="236">
        <v>113</v>
      </c>
      <c r="D21" s="236">
        <v>115</v>
      </c>
      <c r="E21" s="222">
        <v>138</v>
      </c>
      <c r="F21" s="222">
        <v>111</v>
      </c>
      <c r="G21" s="222">
        <v>83</v>
      </c>
      <c r="H21" s="222">
        <v>67</v>
      </c>
      <c r="I21" s="222">
        <v>63</v>
      </c>
      <c r="J21" s="222">
        <v>68</v>
      </c>
      <c r="K21" s="222">
        <v>80</v>
      </c>
      <c r="L21" s="222">
        <v>86</v>
      </c>
      <c r="M21" s="174">
        <v>93</v>
      </c>
      <c r="N21" s="174">
        <v>181</v>
      </c>
      <c r="O21" s="174">
        <v>178</v>
      </c>
      <c r="P21" s="174">
        <v>169</v>
      </c>
      <c r="Q21" s="174">
        <v>130</v>
      </c>
      <c r="R21" s="174">
        <v>114.6</v>
      </c>
      <c r="S21" s="174">
        <v>122</v>
      </c>
      <c r="T21" s="174">
        <v>127.9</v>
      </c>
      <c r="U21" s="90"/>
      <c r="V21" s="931"/>
      <c r="W21" s="931"/>
      <c r="X21" s="931"/>
    </row>
    <row r="22" spans="1:24" ht="13.25" customHeight="1">
      <c r="A22" s="83"/>
      <c r="B22" s="23" t="s">
        <v>38</v>
      </c>
      <c r="C22" s="236">
        <v>28</v>
      </c>
      <c r="D22" s="236">
        <v>25</v>
      </c>
      <c r="E22" s="222">
        <v>27</v>
      </c>
      <c r="F22" s="222">
        <v>22</v>
      </c>
      <c r="G22" s="222">
        <v>25</v>
      </c>
      <c r="H22" s="222">
        <v>23</v>
      </c>
      <c r="I22" s="222">
        <v>20</v>
      </c>
      <c r="J22" s="222">
        <v>15</v>
      </c>
      <c r="K22" s="222">
        <v>17</v>
      </c>
      <c r="L22" s="222">
        <v>14</v>
      </c>
      <c r="M22" s="174">
        <v>14</v>
      </c>
      <c r="N22" s="174">
        <v>13</v>
      </c>
      <c r="O22" s="174">
        <v>13</v>
      </c>
      <c r="P22" s="174">
        <v>10</v>
      </c>
      <c r="Q22" s="174">
        <v>10</v>
      </c>
      <c r="R22" s="174">
        <v>12.6</v>
      </c>
      <c r="S22" s="174">
        <v>14.3</v>
      </c>
      <c r="T22" s="174">
        <v>14.2</v>
      </c>
      <c r="U22" s="90"/>
      <c r="V22" s="931"/>
      <c r="W22" s="931"/>
      <c r="X22" s="931"/>
    </row>
    <row r="23" spans="1:24" ht="13.25" customHeight="1">
      <c r="A23" s="83"/>
      <c r="B23" s="23" t="s">
        <v>39</v>
      </c>
      <c r="C23" s="236">
        <v>69</v>
      </c>
      <c r="D23" s="236">
        <v>71</v>
      </c>
      <c r="E23" s="222">
        <v>68</v>
      </c>
      <c r="F23" s="222">
        <v>60</v>
      </c>
      <c r="G23" s="222">
        <v>59</v>
      </c>
      <c r="H23" s="222">
        <v>60</v>
      </c>
      <c r="I23" s="222">
        <v>60</v>
      </c>
      <c r="J23" s="222">
        <v>67</v>
      </c>
      <c r="K23" s="222">
        <v>71</v>
      </c>
      <c r="L23" s="222">
        <v>73</v>
      </c>
      <c r="M23" s="174">
        <v>71</v>
      </c>
      <c r="N23" s="174">
        <v>71</v>
      </c>
      <c r="O23" s="174">
        <v>72</v>
      </c>
      <c r="P23" s="174">
        <v>74</v>
      </c>
      <c r="Q23" s="174">
        <v>76</v>
      </c>
      <c r="R23" s="174">
        <v>82</v>
      </c>
      <c r="S23" s="174">
        <v>82.8</v>
      </c>
      <c r="T23" s="174">
        <v>85.2</v>
      </c>
      <c r="U23" s="90"/>
      <c r="V23" s="931"/>
      <c r="W23" s="931"/>
      <c r="X23" s="931"/>
    </row>
    <row r="24" spans="1:24" ht="13.25" customHeight="1">
      <c r="A24" s="83"/>
      <c r="B24" s="23" t="s">
        <v>40</v>
      </c>
      <c r="C24" s="236">
        <v>525</v>
      </c>
      <c r="D24" s="236">
        <v>506</v>
      </c>
      <c r="E24" s="222">
        <v>503</v>
      </c>
      <c r="F24" s="222">
        <v>421</v>
      </c>
      <c r="G24" s="222">
        <v>443</v>
      </c>
      <c r="H24" s="222">
        <v>489</v>
      </c>
      <c r="I24" s="222">
        <v>510</v>
      </c>
      <c r="J24" s="222">
        <v>547</v>
      </c>
      <c r="K24" s="222">
        <v>586</v>
      </c>
      <c r="L24" s="222">
        <v>368</v>
      </c>
      <c r="M24" s="174">
        <v>365</v>
      </c>
      <c r="N24" s="174">
        <v>379</v>
      </c>
      <c r="O24" s="174">
        <v>336</v>
      </c>
      <c r="P24" s="174">
        <v>324</v>
      </c>
      <c r="Q24" s="174">
        <v>341</v>
      </c>
      <c r="R24" s="174">
        <v>297.7</v>
      </c>
      <c r="S24" s="174">
        <v>317.7</v>
      </c>
      <c r="T24" s="174">
        <v>305.8</v>
      </c>
      <c r="U24" s="90"/>
      <c r="V24" s="931"/>
      <c r="W24" s="931"/>
      <c r="X24" s="931"/>
    </row>
    <row r="25" spans="1:24" ht="13.25" customHeight="1">
      <c r="A25" s="83"/>
      <c r="B25" s="23" t="s">
        <v>41</v>
      </c>
      <c r="C25" s="236">
        <v>140</v>
      </c>
      <c r="D25" s="236">
        <v>155</v>
      </c>
      <c r="E25" s="222">
        <v>184</v>
      </c>
      <c r="F25" s="222">
        <v>176</v>
      </c>
      <c r="G25" s="222">
        <v>192</v>
      </c>
      <c r="H25" s="222">
        <v>181</v>
      </c>
      <c r="I25" s="222">
        <v>183</v>
      </c>
      <c r="J25" s="222">
        <v>192</v>
      </c>
      <c r="K25" s="222">
        <v>195</v>
      </c>
      <c r="L25" s="222">
        <v>196</v>
      </c>
      <c r="M25" s="174">
        <v>198</v>
      </c>
      <c r="N25" s="174">
        <v>196</v>
      </c>
      <c r="O25" s="174">
        <v>194</v>
      </c>
      <c r="P25" s="174">
        <v>191</v>
      </c>
      <c r="Q25" s="174">
        <v>195</v>
      </c>
      <c r="R25" s="174">
        <v>190.1</v>
      </c>
      <c r="S25" s="174">
        <v>185.1</v>
      </c>
      <c r="T25" s="174">
        <v>182.6</v>
      </c>
      <c r="U25" s="90"/>
      <c r="V25" s="931"/>
      <c r="W25" s="931"/>
      <c r="X25" s="931"/>
    </row>
    <row r="26" spans="1:24" ht="13.25" customHeight="1">
      <c r="A26" s="83"/>
      <c r="B26" s="23" t="s">
        <v>44</v>
      </c>
      <c r="C26" s="236">
        <v>84</v>
      </c>
      <c r="D26" s="236">
        <v>78</v>
      </c>
      <c r="E26" s="222">
        <v>80</v>
      </c>
      <c r="F26" s="222">
        <v>76</v>
      </c>
      <c r="G26" s="222">
        <v>78</v>
      </c>
      <c r="H26" s="222">
        <v>77</v>
      </c>
      <c r="I26" s="222">
        <v>92</v>
      </c>
      <c r="J26" s="222">
        <v>98</v>
      </c>
      <c r="K26" s="222">
        <v>76</v>
      </c>
      <c r="L26" s="222">
        <v>71</v>
      </c>
      <c r="M26" s="174">
        <v>65</v>
      </c>
      <c r="N26" s="174">
        <v>47</v>
      </c>
      <c r="O26" s="174">
        <v>45</v>
      </c>
      <c r="P26" s="174">
        <v>44</v>
      </c>
      <c r="Q26" s="174">
        <v>50</v>
      </c>
      <c r="R26" s="174">
        <v>51.6</v>
      </c>
      <c r="S26" s="174">
        <v>53.8</v>
      </c>
      <c r="T26" s="174">
        <v>53.8</v>
      </c>
      <c r="U26" s="90"/>
      <c r="V26" s="931"/>
      <c r="W26" s="931"/>
      <c r="X26" s="931"/>
    </row>
    <row r="27" spans="1:24" ht="13.25" customHeight="1">
      <c r="A27" s="83"/>
      <c r="B27" s="23" t="s">
        <v>45</v>
      </c>
      <c r="C27" s="236">
        <v>0</v>
      </c>
      <c r="D27" s="236">
        <v>0</v>
      </c>
      <c r="E27" s="222">
        <v>0</v>
      </c>
      <c r="F27" s="222">
        <v>0</v>
      </c>
      <c r="G27" s="222">
        <v>0</v>
      </c>
      <c r="H27" s="222">
        <v>0</v>
      </c>
      <c r="I27" s="222">
        <v>0</v>
      </c>
      <c r="J27" s="222">
        <v>0</v>
      </c>
      <c r="K27" s="222">
        <v>0</v>
      </c>
      <c r="L27" s="222">
        <v>0</v>
      </c>
      <c r="M27" s="174">
        <v>0</v>
      </c>
      <c r="N27" s="174">
        <v>0</v>
      </c>
      <c r="O27" s="174">
        <v>0</v>
      </c>
      <c r="P27" s="174">
        <v>0</v>
      </c>
      <c r="Q27" s="174">
        <v>0</v>
      </c>
      <c r="R27" s="174">
        <v>0</v>
      </c>
      <c r="S27" s="174">
        <v>0</v>
      </c>
      <c r="T27" s="174">
        <v>0</v>
      </c>
      <c r="U27" s="90"/>
      <c r="V27" s="931"/>
      <c r="W27" s="931"/>
      <c r="X27" s="931"/>
    </row>
    <row r="28" spans="1:24" ht="13.25" customHeight="1">
      <c r="A28" s="83"/>
      <c r="B28" s="82" t="s">
        <v>46</v>
      </c>
      <c r="C28" s="236">
        <v>0</v>
      </c>
      <c r="D28" s="236">
        <v>0</v>
      </c>
      <c r="E28" s="222">
        <v>0</v>
      </c>
      <c r="F28" s="222">
        <v>0</v>
      </c>
      <c r="G28" s="222">
        <v>0</v>
      </c>
      <c r="H28" s="222">
        <v>0</v>
      </c>
      <c r="I28" s="222">
        <v>0</v>
      </c>
      <c r="J28" s="222">
        <v>0</v>
      </c>
      <c r="K28" s="222">
        <v>0</v>
      </c>
      <c r="L28" s="222">
        <v>0</v>
      </c>
      <c r="M28" s="174">
        <v>0</v>
      </c>
      <c r="N28" s="174">
        <v>0</v>
      </c>
      <c r="O28" s="174">
        <v>0</v>
      </c>
      <c r="P28" s="174">
        <v>0</v>
      </c>
      <c r="Q28" s="174">
        <v>0</v>
      </c>
      <c r="R28" s="174">
        <v>0</v>
      </c>
      <c r="S28" s="174">
        <v>0</v>
      </c>
      <c r="T28" s="174">
        <v>0</v>
      </c>
      <c r="U28" s="90"/>
      <c r="V28" s="931"/>
      <c r="W28" s="931"/>
      <c r="X28" s="931"/>
    </row>
    <row r="29" spans="1:24" ht="13.25" customHeight="1">
      <c r="A29" s="83"/>
      <c r="B29" s="23" t="s">
        <v>47</v>
      </c>
      <c r="C29" s="236">
        <v>0</v>
      </c>
      <c r="D29" s="236">
        <v>0</v>
      </c>
      <c r="E29" s="222">
        <v>0</v>
      </c>
      <c r="F29" s="222">
        <v>0</v>
      </c>
      <c r="G29" s="222">
        <v>0</v>
      </c>
      <c r="H29" s="222">
        <v>0</v>
      </c>
      <c r="I29" s="222">
        <v>0</v>
      </c>
      <c r="J29" s="222">
        <v>0</v>
      </c>
      <c r="K29" s="222">
        <v>0</v>
      </c>
      <c r="L29" s="222">
        <v>0</v>
      </c>
      <c r="M29" s="174">
        <v>0</v>
      </c>
      <c r="N29" s="174">
        <v>0</v>
      </c>
      <c r="O29" s="174">
        <v>0</v>
      </c>
      <c r="P29" s="174">
        <v>1</v>
      </c>
      <c r="Q29" s="174">
        <v>0</v>
      </c>
      <c r="R29" s="174">
        <v>0.33442999999999995</v>
      </c>
      <c r="S29" s="174">
        <v>0.10200000000000001</v>
      </c>
      <c r="T29" s="174">
        <v>0.32563399999999998</v>
      </c>
      <c r="U29" s="90"/>
      <c r="V29" s="931"/>
      <c r="W29" s="931"/>
      <c r="X29" s="931"/>
    </row>
    <row r="30" spans="1:24" ht="13.25" customHeight="1">
      <c r="A30" s="83"/>
      <c r="B30" s="23" t="s">
        <v>48</v>
      </c>
      <c r="C30" s="236">
        <v>0</v>
      </c>
      <c r="D30" s="236">
        <v>0</v>
      </c>
      <c r="E30" s="222">
        <v>0</v>
      </c>
      <c r="F30" s="222">
        <v>0</v>
      </c>
      <c r="G30" s="222">
        <v>0</v>
      </c>
      <c r="H30" s="222">
        <v>0</v>
      </c>
      <c r="I30" s="222">
        <v>0</v>
      </c>
      <c r="J30" s="222">
        <v>0</v>
      </c>
      <c r="K30" s="222">
        <v>0</v>
      </c>
      <c r="L30" s="222">
        <v>0</v>
      </c>
      <c r="M30" s="174">
        <v>0</v>
      </c>
      <c r="N30" s="174">
        <v>0</v>
      </c>
      <c r="O30" s="174">
        <v>0</v>
      </c>
      <c r="P30" s="174">
        <v>0</v>
      </c>
      <c r="Q30" s="174">
        <v>0</v>
      </c>
      <c r="R30" s="174">
        <v>0</v>
      </c>
      <c r="S30" s="174">
        <v>0</v>
      </c>
      <c r="T30" s="174">
        <v>0</v>
      </c>
      <c r="U30" s="90"/>
      <c r="V30" s="931"/>
      <c r="W30" s="931"/>
      <c r="X30" s="931"/>
    </row>
    <row r="31" spans="1:24" ht="13.25" customHeight="1" thickBot="1">
      <c r="A31" s="88"/>
      <c r="B31" s="577" t="s">
        <v>49</v>
      </c>
      <c r="C31" s="585">
        <v>0</v>
      </c>
      <c r="D31" s="585">
        <v>0</v>
      </c>
      <c r="E31" s="581">
        <v>0</v>
      </c>
      <c r="F31" s="581">
        <v>0</v>
      </c>
      <c r="G31" s="581">
        <v>0</v>
      </c>
      <c r="H31" s="581">
        <v>0</v>
      </c>
      <c r="I31" s="581">
        <v>0</v>
      </c>
      <c r="J31" s="581">
        <v>0</v>
      </c>
      <c r="K31" s="581">
        <v>0</v>
      </c>
      <c r="L31" s="581">
        <v>0</v>
      </c>
      <c r="M31" s="584">
        <v>0</v>
      </c>
      <c r="N31" s="584">
        <v>0</v>
      </c>
      <c r="O31" s="584">
        <v>0</v>
      </c>
      <c r="P31" s="584">
        <v>0</v>
      </c>
      <c r="Q31" s="584">
        <v>0</v>
      </c>
      <c r="R31" s="584">
        <v>0</v>
      </c>
      <c r="S31" s="584">
        <v>0</v>
      </c>
      <c r="T31" s="584">
        <v>0</v>
      </c>
      <c r="U31" s="90"/>
      <c r="V31" s="931"/>
      <c r="W31" s="931"/>
      <c r="X31" s="931"/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90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5">
    <tabColor theme="9" tint="0.59999389629810485"/>
  </sheetPr>
  <dimension ref="A2:X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19921875" style="82" customWidth="1"/>
    <col min="22" max="16384" width="7" style="82"/>
  </cols>
  <sheetData>
    <row r="2" spans="1:24" ht="13.25" customHeight="1">
      <c r="A2" s="230" t="s">
        <v>498</v>
      </c>
      <c r="B2" s="231"/>
    </row>
    <row r="3" spans="1:24" ht="13.25" customHeight="1">
      <c r="A3" s="232" t="s">
        <v>420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349</v>
      </c>
      <c r="R5" s="569">
        <v>2020</v>
      </c>
      <c r="S5" s="569">
        <v>2021</v>
      </c>
      <c r="T5" s="569" t="s">
        <v>477</v>
      </c>
    </row>
    <row r="6" spans="1:24" ht="15" customHeight="1">
      <c r="A6" s="963" t="s">
        <v>103</v>
      </c>
      <c r="B6" s="963"/>
      <c r="C6" s="570">
        <v>3.05</v>
      </c>
      <c r="D6" s="570">
        <v>3.01</v>
      </c>
      <c r="E6" s="570">
        <v>3.17</v>
      </c>
      <c r="F6" s="570">
        <v>3.41</v>
      </c>
      <c r="G6" s="570">
        <v>3.61</v>
      </c>
      <c r="H6" s="570">
        <v>3.38</v>
      </c>
      <c r="I6" s="570">
        <v>3.53</v>
      </c>
      <c r="J6" s="570">
        <v>3.68</v>
      </c>
      <c r="K6" s="570">
        <v>3.93</v>
      </c>
      <c r="L6" s="570">
        <v>4.04</v>
      </c>
      <c r="M6" s="570">
        <v>4.28</v>
      </c>
      <c r="N6" s="570">
        <v>4.66</v>
      </c>
      <c r="O6" s="570">
        <v>4.74</v>
      </c>
      <c r="P6" s="570">
        <v>4.79</v>
      </c>
      <c r="Q6" s="570">
        <v>4.8099999999999996</v>
      </c>
      <c r="R6" s="570">
        <v>4.8</v>
      </c>
      <c r="S6" s="570">
        <v>4.79</v>
      </c>
      <c r="T6" s="570">
        <v>4.8099999999999996</v>
      </c>
    </row>
    <row r="7" spans="1:24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4" ht="13.25" customHeight="1">
      <c r="A8" s="83"/>
      <c r="B8" s="23" t="s">
        <v>21</v>
      </c>
      <c r="C8" s="238">
        <v>3.01</v>
      </c>
      <c r="D8" s="238">
        <v>3.25</v>
      </c>
      <c r="E8" s="238">
        <v>3.2</v>
      </c>
      <c r="F8" s="238">
        <v>3.22</v>
      </c>
      <c r="G8" s="238">
        <v>3.35</v>
      </c>
      <c r="H8" s="238">
        <v>3.42</v>
      </c>
      <c r="I8" s="238">
        <v>3.43</v>
      </c>
      <c r="J8" s="238">
        <v>3.38</v>
      </c>
      <c r="K8" s="238">
        <v>3.6</v>
      </c>
      <c r="L8" s="238">
        <v>3.63</v>
      </c>
      <c r="M8" s="238">
        <v>4.45</v>
      </c>
      <c r="N8" s="238">
        <v>4.45</v>
      </c>
      <c r="O8" s="238">
        <v>4.47</v>
      </c>
      <c r="P8" s="238">
        <v>4.5999999999999996</v>
      </c>
      <c r="Q8" s="238">
        <v>4.58</v>
      </c>
      <c r="R8" s="238">
        <v>4.57</v>
      </c>
      <c r="S8" s="238">
        <v>4.54</v>
      </c>
      <c r="T8" s="238">
        <v>4.57</v>
      </c>
      <c r="V8" s="161"/>
      <c r="W8" s="161"/>
      <c r="X8" s="161"/>
    </row>
    <row r="9" spans="1:24" ht="13.25" customHeight="1">
      <c r="A9" s="83"/>
      <c r="B9" s="23" t="s">
        <v>22</v>
      </c>
      <c r="C9" s="238">
        <v>2.91</v>
      </c>
      <c r="D9" s="238">
        <v>2.95</v>
      </c>
      <c r="E9" s="238">
        <v>3.22</v>
      </c>
      <c r="F9" s="238">
        <v>3.3</v>
      </c>
      <c r="G9" s="238">
        <v>3.46</v>
      </c>
      <c r="H9" s="238">
        <v>3.27</v>
      </c>
      <c r="I9" s="238">
        <v>3.49</v>
      </c>
      <c r="J9" s="238">
        <v>3.52</v>
      </c>
      <c r="K9" s="238">
        <v>3.68</v>
      </c>
      <c r="L9" s="238">
        <v>3.73</v>
      </c>
      <c r="M9" s="238">
        <v>3.93</v>
      </c>
      <c r="N9" s="238">
        <v>4.53</v>
      </c>
      <c r="O9" s="238">
        <v>4.7699999999999996</v>
      </c>
      <c r="P9" s="238">
        <v>4.88</v>
      </c>
      <c r="Q9" s="238">
        <v>4.8499999999999996</v>
      </c>
      <c r="R9" s="238">
        <v>4.84</v>
      </c>
      <c r="S9" s="238">
        <v>4.82</v>
      </c>
      <c r="T9" s="238">
        <v>4.8600000000000003</v>
      </c>
      <c r="V9" s="161"/>
      <c r="W9" s="161"/>
      <c r="X9" s="161"/>
    </row>
    <row r="10" spans="1:24" ht="13.25" customHeight="1">
      <c r="A10" s="83"/>
      <c r="B10" s="23" t="s">
        <v>23</v>
      </c>
      <c r="C10" s="238">
        <v>3.7</v>
      </c>
      <c r="D10" s="238">
        <v>3.49</v>
      </c>
      <c r="E10" s="238">
        <v>3.73</v>
      </c>
      <c r="F10" s="238">
        <v>3.77</v>
      </c>
      <c r="G10" s="238">
        <v>3.69</v>
      </c>
      <c r="H10" s="238">
        <v>3.47</v>
      </c>
      <c r="I10" s="238">
        <v>3.46</v>
      </c>
      <c r="J10" s="238">
        <v>3.55</v>
      </c>
      <c r="K10" s="238">
        <v>3.74</v>
      </c>
      <c r="L10" s="238">
        <v>3.9</v>
      </c>
      <c r="M10" s="238">
        <v>3.94</v>
      </c>
      <c r="N10" s="238">
        <v>4.66</v>
      </c>
      <c r="O10" s="238">
        <v>4.83</v>
      </c>
      <c r="P10" s="238">
        <v>4.63</v>
      </c>
      <c r="Q10" s="238">
        <v>4.5999999999999996</v>
      </c>
      <c r="R10" s="238">
        <v>4.66</v>
      </c>
      <c r="S10" s="238">
        <v>4.7</v>
      </c>
      <c r="T10" s="238">
        <v>4.76</v>
      </c>
      <c r="V10" s="161"/>
      <c r="W10" s="161"/>
      <c r="X10" s="161"/>
    </row>
    <row r="11" spans="1:24" ht="13.25" customHeight="1">
      <c r="A11" s="83"/>
      <c r="B11" s="23" t="s">
        <v>24</v>
      </c>
      <c r="C11" s="238">
        <v>3.1</v>
      </c>
      <c r="D11" s="238">
        <v>2.95</v>
      </c>
      <c r="E11" s="238">
        <v>3.23</v>
      </c>
      <c r="F11" s="238">
        <v>3.56</v>
      </c>
      <c r="G11" s="238">
        <v>3.68</v>
      </c>
      <c r="H11" s="238">
        <v>3.16</v>
      </c>
      <c r="I11" s="238">
        <v>3.16</v>
      </c>
      <c r="J11" s="238">
        <v>3.67</v>
      </c>
      <c r="K11" s="238">
        <v>5.1100000000000003</v>
      </c>
      <c r="L11" s="238">
        <v>5.1100000000000003</v>
      </c>
      <c r="M11" s="238">
        <v>5.59</v>
      </c>
      <c r="N11" s="238">
        <v>5.42</v>
      </c>
      <c r="O11" s="238">
        <v>5.43</v>
      </c>
      <c r="P11" s="238">
        <v>5.62</v>
      </c>
      <c r="Q11" s="238">
        <v>5.72</v>
      </c>
      <c r="R11" s="238">
        <v>5.49</v>
      </c>
      <c r="S11" s="238">
        <v>5.49</v>
      </c>
      <c r="T11" s="238">
        <v>5.58</v>
      </c>
      <c r="V11" s="161"/>
      <c r="W11" s="161"/>
      <c r="X11" s="161"/>
    </row>
    <row r="12" spans="1:24" ht="13.25" customHeight="1">
      <c r="A12" s="83"/>
      <c r="B12" s="23" t="s">
        <v>25</v>
      </c>
      <c r="C12" s="238">
        <v>3.64</v>
      </c>
      <c r="D12" s="238">
        <v>3.59</v>
      </c>
      <c r="E12" s="238">
        <v>3.33</v>
      </c>
      <c r="F12" s="238">
        <v>3.58</v>
      </c>
      <c r="G12" s="238">
        <v>3.84</v>
      </c>
      <c r="H12" s="238">
        <v>3.21</v>
      </c>
      <c r="I12" s="238">
        <v>3.46</v>
      </c>
      <c r="J12" s="238">
        <v>3.51</v>
      </c>
      <c r="K12" s="238">
        <v>3.55</v>
      </c>
      <c r="L12" s="238">
        <v>4.3099999999999996</v>
      </c>
      <c r="M12" s="238">
        <v>3.91</v>
      </c>
      <c r="N12" s="238">
        <v>3.99</v>
      </c>
      <c r="O12" s="238">
        <v>4.25</v>
      </c>
      <c r="P12" s="238">
        <v>4.42</v>
      </c>
      <c r="Q12" s="238">
        <v>4.45</v>
      </c>
      <c r="R12" s="238">
        <v>4.4400000000000004</v>
      </c>
      <c r="S12" s="238">
        <v>4.3899999999999997</v>
      </c>
      <c r="T12" s="238">
        <v>4.38</v>
      </c>
      <c r="V12" s="161"/>
      <c r="W12" s="161"/>
      <c r="X12" s="161"/>
    </row>
    <row r="13" spans="1:24" ht="13.25" customHeight="1">
      <c r="A13" s="83"/>
      <c r="B13" s="23" t="s">
        <v>29</v>
      </c>
      <c r="C13" s="238">
        <v>3.34</v>
      </c>
      <c r="D13" s="238">
        <v>3.39</v>
      </c>
      <c r="E13" s="238">
        <v>3.66</v>
      </c>
      <c r="F13" s="238">
        <v>3.77</v>
      </c>
      <c r="G13" s="238">
        <v>3.81</v>
      </c>
      <c r="H13" s="238">
        <v>3.55</v>
      </c>
      <c r="I13" s="238">
        <v>3.25</v>
      </c>
      <c r="J13" s="238">
        <v>3.18</v>
      </c>
      <c r="K13" s="238">
        <v>3.34</v>
      </c>
      <c r="L13" s="238">
        <v>3.92</v>
      </c>
      <c r="M13" s="238">
        <v>4.09</v>
      </c>
      <c r="N13" s="238">
        <v>4.46</v>
      </c>
      <c r="O13" s="238">
        <v>4.55</v>
      </c>
      <c r="P13" s="238">
        <v>4.68</v>
      </c>
      <c r="Q13" s="238">
        <v>4.71</v>
      </c>
      <c r="R13" s="238">
        <v>4.67</v>
      </c>
      <c r="S13" s="238">
        <v>4.6100000000000003</v>
      </c>
      <c r="T13" s="238">
        <v>4.58</v>
      </c>
      <c r="V13" s="161"/>
      <c r="W13" s="161"/>
      <c r="X13" s="161"/>
    </row>
    <row r="14" spans="1:24" ht="13.25" customHeight="1">
      <c r="A14" s="83"/>
      <c r="B14" s="23" t="s">
        <v>30</v>
      </c>
      <c r="C14" s="238">
        <v>3.49</v>
      </c>
      <c r="D14" s="238">
        <v>3.33</v>
      </c>
      <c r="E14" s="238">
        <v>3.15</v>
      </c>
      <c r="F14" s="238">
        <v>3.78</v>
      </c>
      <c r="G14" s="238">
        <v>4.01</v>
      </c>
      <c r="H14" s="238">
        <v>3.13</v>
      </c>
      <c r="I14" s="238">
        <v>3.96</v>
      </c>
      <c r="J14" s="238">
        <v>3.65</v>
      </c>
      <c r="K14" s="238">
        <v>3.97</v>
      </c>
      <c r="L14" s="238">
        <v>4.0199999999999996</v>
      </c>
      <c r="M14" s="238">
        <v>4.18</v>
      </c>
      <c r="N14" s="238">
        <v>4.46</v>
      </c>
      <c r="O14" s="238">
        <v>4.2300000000000004</v>
      </c>
      <c r="P14" s="238">
        <v>4.3</v>
      </c>
      <c r="Q14" s="238">
        <v>4.54</v>
      </c>
      <c r="R14" s="238">
        <v>4.47</v>
      </c>
      <c r="S14" s="238">
        <v>4.45</v>
      </c>
      <c r="T14" s="238">
        <v>4.4400000000000004</v>
      </c>
      <c r="V14" s="161"/>
      <c r="W14" s="161"/>
      <c r="X14" s="161"/>
    </row>
    <row r="15" spans="1:24" ht="13.25" customHeight="1">
      <c r="A15" s="83"/>
      <c r="B15" s="23" t="s">
        <v>31</v>
      </c>
      <c r="C15" s="238">
        <v>3.05</v>
      </c>
      <c r="D15" s="238">
        <v>3.14</v>
      </c>
      <c r="E15" s="238">
        <v>3.24</v>
      </c>
      <c r="F15" s="238">
        <v>3.88</v>
      </c>
      <c r="G15" s="238">
        <v>4.07</v>
      </c>
      <c r="H15" s="238">
        <v>3.34</v>
      </c>
      <c r="I15" s="238">
        <v>3.42</v>
      </c>
      <c r="J15" s="238">
        <v>3.54</v>
      </c>
      <c r="K15" s="238">
        <v>3.64</v>
      </c>
      <c r="L15" s="238">
        <v>3.82</v>
      </c>
      <c r="M15" s="238">
        <v>4.37</v>
      </c>
      <c r="N15" s="238">
        <v>5.2</v>
      </c>
      <c r="O15" s="238">
        <v>5.32</v>
      </c>
      <c r="P15" s="238">
        <v>5.12</v>
      </c>
      <c r="Q15" s="238">
        <v>5.26</v>
      </c>
      <c r="R15" s="238">
        <v>5.35</v>
      </c>
      <c r="S15" s="238">
        <v>5.5</v>
      </c>
      <c r="T15" s="238">
        <v>5.62</v>
      </c>
      <c r="V15" s="161"/>
      <c r="W15" s="161"/>
      <c r="X15" s="161"/>
    </row>
    <row r="16" spans="1:24" ht="13.25" customHeight="1">
      <c r="A16" s="83"/>
      <c r="B16" s="23" t="s">
        <v>32</v>
      </c>
      <c r="C16" s="238">
        <v>2.37</v>
      </c>
      <c r="D16" s="238">
        <v>2.5499999999999998</v>
      </c>
      <c r="E16" s="238">
        <v>2.98</v>
      </c>
      <c r="F16" s="238">
        <v>3.12</v>
      </c>
      <c r="G16" s="238">
        <v>3.68</v>
      </c>
      <c r="H16" s="238">
        <v>3.79</v>
      </c>
      <c r="I16" s="238">
        <v>3.96</v>
      </c>
      <c r="J16" s="238">
        <v>4.49</v>
      </c>
      <c r="K16" s="238">
        <v>3.62</v>
      </c>
      <c r="L16" s="238">
        <v>4.62</v>
      </c>
      <c r="M16" s="238">
        <v>4.37</v>
      </c>
      <c r="N16" s="238">
        <v>4.76</v>
      </c>
      <c r="O16" s="238">
        <v>5.08</v>
      </c>
      <c r="P16" s="238">
        <v>5.22</v>
      </c>
      <c r="Q16" s="238">
        <v>5.15</v>
      </c>
      <c r="R16" s="238">
        <v>5.19</v>
      </c>
      <c r="S16" s="238">
        <v>5.22</v>
      </c>
      <c r="T16" s="238">
        <v>5.23</v>
      </c>
      <c r="V16" s="161"/>
      <c r="W16" s="161"/>
      <c r="X16" s="161"/>
    </row>
    <row r="17" spans="1:24" ht="13.25" customHeight="1">
      <c r="A17" s="83"/>
      <c r="B17" s="23" t="s">
        <v>33</v>
      </c>
      <c r="C17" s="238">
        <v>2.89</v>
      </c>
      <c r="D17" s="238">
        <v>2.9</v>
      </c>
      <c r="E17" s="238">
        <v>2.99</v>
      </c>
      <c r="F17" s="238">
        <v>3.07</v>
      </c>
      <c r="G17" s="238">
        <v>3.78</v>
      </c>
      <c r="H17" s="238">
        <v>3.88</v>
      </c>
      <c r="I17" s="238">
        <v>4.09</v>
      </c>
      <c r="J17" s="238">
        <v>4.2300000000000004</v>
      </c>
      <c r="K17" s="238">
        <v>5.12</v>
      </c>
      <c r="L17" s="238">
        <v>4.5999999999999996</v>
      </c>
      <c r="M17" s="238">
        <v>4.8499999999999996</v>
      </c>
      <c r="N17" s="238">
        <v>5.08</v>
      </c>
      <c r="O17" s="238">
        <v>4.78</v>
      </c>
      <c r="P17" s="238">
        <v>4.88</v>
      </c>
      <c r="Q17" s="238">
        <v>4.9400000000000004</v>
      </c>
      <c r="R17" s="238">
        <v>4.9400000000000004</v>
      </c>
      <c r="S17" s="238">
        <v>4.9400000000000004</v>
      </c>
      <c r="T17" s="238">
        <v>4.9000000000000004</v>
      </c>
      <c r="V17" s="161"/>
      <c r="W17" s="161"/>
      <c r="X17" s="161"/>
    </row>
    <row r="18" spans="1:24" ht="13.25" customHeight="1">
      <c r="A18" s="83"/>
      <c r="B18" s="23" t="s">
        <v>34</v>
      </c>
      <c r="C18" s="238">
        <v>2.19</v>
      </c>
      <c r="D18" s="238">
        <v>2.5</v>
      </c>
      <c r="E18" s="238">
        <v>2.81</v>
      </c>
      <c r="F18" s="238">
        <v>3.14</v>
      </c>
      <c r="G18" s="238">
        <v>3.7</v>
      </c>
      <c r="H18" s="238">
        <v>3.5</v>
      </c>
      <c r="I18" s="238">
        <v>3.59</v>
      </c>
      <c r="J18" s="238">
        <v>4.08</v>
      </c>
      <c r="K18" s="238">
        <v>4.25</v>
      </c>
      <c r="L18" s="238">
        <v>4.18</v>
      </c>
      <c r="M18" s="238">
        <v>4.12</v>
      </c>
      <c r="N18" s="238">
        <v>3.98</v>
      </c>
      <c r="O18" s="238">
        <v>4.0199999999999996</v>
      </c>
      <c r="P18" s="238">
        <v>4.12</v>
      </c>
      <c r="Q18" s="238">
        <v>4.03</v>
      </c>
      <c r="R18" s="238">
        <v>4.0199999999999996</v>
      </c>
      <c r="S18" s="238">
        <v>4.01</v>
      </c>
      <c r="T18" s="238">
        <v>4.0199999999999996</v>
      </c>
      <c r="V18" s="161"/>
      <c r="W18" s="161"/>
      <c r="X18" s="161"/>
    </row>
    <row r="19" spans="1:24" ht="13.25" customHeight="1">
      <c r="A19" s="83"/>
      <c r="B19" s="23" t="s">
        <v>35</v>
      </c>
      <c r="C19" s="238">
        <v>3.13</v>
      </c>
      <c r="D19" s="238">
        <v>3.1</v>
      </c>
      <c r="E19" s="238">
        <v>3.07</v>
      </c>
      <c r="F19" s="238">
        <v>3.35</v>
      </c>
      <c r="G19" s="238">
        <v>3.74</v>
      </c>
      <c r="H19" s="238">
        <v>4.03</v>
      </c>
      <c r="I19" s="238">
        <v>3.86</v>
      </c>
      <c r="J19" s="238">
        <v>4.4400000000000004</v>
      </c>
      <c r="K19" s="238">
        <v>4.3600000000000003</v>
      </c>
      <c r="L19" s="238">
        <v>4.3499999999999996</v>
      </c>
      <c r="M19" s="238">
        <v>4.7</v>
      </c>
      <c r="N19" s="238">
        <v>4.99</v>
      </c>
      <c r="O19" s="238">
        <v>4.82</v>
      </c>
      <c r="P19" s="238">
        <v>4.9800000000000004</v>
      </c>
      <c r="Q19" s="238">
        <v>4.95</v>
      </c>
      <c r="R19" s="238">
        <v>4.92</v>
      </c>
      <c r="S19" s="238">
        <v>4.79</v>
      </c>
      <c r="T19" s="238">
        <v>4.7300000000000004</v>
      </c>
      <c r="V19" s="161"/>
      <c r="W19" s="161"/>
      <c r="X19" s="161"/>
    </row>
    <row r="20" spans="1:24" ht="13.25" customHeight="1">
      <c r="A20" s="83"/>
      <c r="B20" s="23" t="s">
        <v>36</v>
      </c>
      <c r="C20" s="238">
        <v>3.43</v>
      </c>
      <c r="D20" s="238">
        <v>2.76</v>
      </c>
      <c r="E20" s="238">
        <v>3.04</v>
      </c>
      <c r="F20" s="238">
        <v>3.66</v>
      </c>
      <c r="G20" s="238">
        <v>3.62</v>
      </c>
      <c r="H20" s="238">
        <v>3.55</v>
      </c>
      <c r="I20" s="238">
        <v>3.75</v>
      </c>
      <c r="J20" s="238">
        <v>3.89</v>
      </c>
      <c r="K20" s="238">
        <v>4.1399999999999997</v>
      </c>
      <c r="L20" s="238">
        <v>4.13</v>
      </c>
      <c r="M20" s="238">
        <v>4.3099999999999996</v>
      </c>
      <c r="N20" s="238">
        <v>4.5599999999999996</v>
      </c>
      <c r="O20" s="238">
        <v>4.46</v>
      </c>
      <c r="P20" s="238">
        <v>4.5</v>
      </c>
      <c r="Q20" s="238">
        <v>4.4400000000000004</v>
      </c>
      <c r="R20" s="238">
        <v>4.3499999999999996</v>
      </c>
      <c r="S20" s="238">
        <v>4.21</v>
      </c>
      <c r="T20" s="238">
        <v>4.16</v>
      </c>
      <c r="V20" s="161"/>
      <c r="W20" s="161"/>
      <c r="X20" s="161"/>
    </row>
    <row r="21" spans="1:24" ht="13.25" customHeight="1">
      <c r="A21" s="83"/>
      <c r="B21" s="23" t="s">
        <v>37</v>
      </c>
      <c r="C21" s="238">
        <v>2.23</v>
      </c>
      <c r="D21" s="238">
        <v>2.2200000000000002</v>
      </c>
      <c r="E21" s="238">
        <v>2.36</v>
      </c>
      <c r="F21" s="238">
        <v>2.75</v>
      </c>
      <c r="G21" s="238">
        <v>3.06</v>
      </c>
      <c r="H21" s="238">
        <v>2.7</v>
      </c>
      <c r="I21" s="238">
        <v>3.25</v>
      </c>
      <c r="J21" s="238">
        <v>3.78</v>
      </c>
      <c r="K21" s="238">
        <v>4.2300000000000004</v>
      </c>
      <c r="L21" s="238">
        <v>4.18</v>
      </c>
      <c r="M21" s="238">
        <v>4.6399999999999997</v>
      </c>
      <c r="N21" s="238">
        <v>4.6900000000000004</v>
      </c>
      <c r="O21" s="238">
        <v>4.54</v>
      </c>
      <c r="P21" s="238">
        <v>4.71</v>
      </c>
      <c r="Q21" s="238">
        <v>4.8</v>
      </c>
      <c r="R21" s="238">
        <v>4.78</v>
      </c>
      <c r="S21" s="238">
        <v>4.75</v>
      </c>
      <c r="T21" s="238">
        <v>4.75</v>
      </c>
      <c r="V21" s="161"/>
      <c r="W21" s="161"/>
      <c r="X21" s="161"/>
    </row>
    <row r="22" spans="1:24" ht="13.25" customHeight="1">
      <c r="A22" s="83"/>
      <c r="B22" s="23" t="s">
        <v>38</v>
      </c>
      <c r="C22" s="238">
        <v>3.1</v>
      </c>
      <c r="D22" s="238">
        <v>3.4</v>
      </c>
      <c r="E22" s="238">
        <v>3.05</v>
      </c>
      <c r="F22" s="238">
        <v>3.06</v>
      </c>
      <c r="G22" s="238">
        <v>3.03</v>
      </c>
      <c r="H22" s="238">
        <v>3.07</v>
      </c>
      <c r="I22" s="238">
        <v>3.07</v>
      </c>
      <c r="J22" s="238">
        <v>3.39</v>
      </c>
      <c r="K22" s="238">
        <v>3.54</v>
      </c>
      <c r="L22" s="238">
        <v>3.68</v>
      </c>
      <c r="M22" s="238">
        <v>3.94</v>
      </c>
      <c r="N22" s="238">
        <v>4.16</v>
      </c>
      <c r="O22" s="238">
        <v>4.1500000000000004</v>
      </c>
      <c r="P22" s="238">
        <v>4.29</v>
      </c>
      <c r="Q22" s="238">
        <v>4.34</v>
      </c>
      <c r="R22" s="238">
        <v>4.29</v>
      </c>
      <c r="S22" s="238">
        <v>4.22</v>
      </c>
      <c r="T22" s="238">
        <v>4.21</v>
      </c>
      <c r="V22" s="161"/>
      <c r="W22" s="161"/>
      <c r="X22" s="161"/>
    </row>
    <row r="23" spans="1:24" ht="13.25" customHeight="1">
      <c r="A23" s="83"/>
      <c r="B23" s="23" t="s">
        <v>39</v>
      </c>
      <c r="C23" s="238">
        <v>3.31</v>
      </c>
      <c r="D23" s="238">
        <v>3.23</v>
      </c>
      <c r="E23" s="238">
        <v>3.14</v>
      </c>
      <c r="F23" s="238">
        <v>3.36</v>
      </c>
      <c r="G23" s="238">
        <v>3.39</v>
      </c>
      <c r="H23" s="238">
        <v>3.11</v>
      </c>
      <c r="I23" s="238">
        <v>3.18</v>
      </c>
      <c r="J23" s="238">
        <v>3.54</v>
      </c>
      <c r="K23" s="238">
        <v>3.63</v>
      </c>
      <c r="L23" s="238">
        <v>4.03</v>
      </c>
      <c r="M23" s="238">
        <v>4.17</v>
      </c>
      <c r="N23" s="238">
        <v>4.45</v>
      </c>
      <c r="O23" s="238">
        <v>4.33</v>
      </c>
      <c r="P23" s="238">
        <v>4.32</v>
      </c>
      <c r="Q23" s="238">
        <v>4.51</v>
      </c>
      <c r="R23" s="238">
        <v>4.5599999999999996</v>
      </c>
      <c r="S23" s="238">
        <v>4.5599999999999996</v>
      </c>
      <c r="T23" s="238">
        <v>4.53</v>
      </c>
      <c r="V23" s="161"/>
      <c r="W23" s="161"/>
      <c r="X23" s="161"/>
    </row>
    <row r="24" spans="1:24" ht="13.25" customHeight="1">
      <c r="A24" s="83"/>
      <c r="B24" s="23" t="s">
        <v>40</v>
      </c>
      <c r="C24" s="238">
        <v>2.77</v>
      </c>
      <c r="D24" s="238">
        <v>2.77</v>
      </c>
      <c r="E24" s="238">
        <v>2.77</v>
      </c>
      <c r="F24" s="238">
        <v>2.97</v>
      </c>
      <c r="G24" s="238">
        <v>3.47</v>
      </c>
      <c r="H24" s="238">
        <v>3.65</v>
      </c>
      <c r="I24" s="238">
        <v>3.63</v>
      </c>
      <c r="J24" s="238">
        <v>3.92</v>
      </c>
      <c r="K24" s="238">
        <v>4.03</v>
      </c>
      <c r="L24" s="238">
        <v>3.9</v>
      </c>
      <c r="M24" s="238">
        <v>4.04</v>
      </c>
      <c r="N24" s="238">
        <v>4.16</v>
      </c>
      <c r="O24" s="238">
        <v>4.29</v>
      </c>
      <c r="P24" s="238">
        <v>4.3</v>
      </c>
      <c r="Q24" s="238">
        <v>4.3499999999999996</v>
      </c>
      <c r="R24" s="238">
        <v>4.3099999999999996</v>
      </c>
      <c r="S24" s="238">
        <v>4.16</v>
      </c>
      <c r="T24" s="238">
        <v>4.1100000000000003</v>
      </c>
      <c r="V24" s="161"/>
      <c r="W24" s="161"/>
      <c r="X24" s="161"/>
    </row>
    <row r="25" spans="1:24" ht="13.25" customHeight="1">
      <c r="A25" s="83"/>
      <c r="B25" s="23" t="s">
        <v>41</v>
      </c>
      <c r="C25" s="238">
        <v>2.67</v>
      </c>
      <c r="D25" s="238">
        <v>2.72</v>
      </c>
      <c r="E25" s="238">
        <v>2.74</v>
      </c>
      <c r="F25" s="238">
        <v>2.73</v>
      </c>
      <c r="G25" s="238">
        <v>2.87</v>
      </c>
      <c r="H25" s="238">
        <v>3.55</v>
      </c>
      <c r="I25" s="238">
        <v>3.77</v>
      </c>
      <c r="J25" s="238">
        <v>3.83</v>
      </c>
      <c r="K25" s="238">
        <v>3.76</v>
      </c>
      <c r="L25" s="238">
        <v>3.75</v>
      </c>
      <c r="M25" s="238">
        <v>3.72</v>
      </c>
      <c r="N25" s="238">
        <v>3.82</v>
      </c>
      <c r="O25" s="238">
        <v>3.91</v>
      </c>
      <c r="P25" s="238">
        <v>3.97</v>
      </c>
      <c r="Q25" s="238">
        <v>3.93</v>
      </c>
      <c r="R25" s="238">
        <v>3.78</v>
      </c>
      <c r="S25" s="238">
        <v>3.62</v>
      </c>
      <c r="T25" s="238">
        <v>3.54</v>
      </c>
      <c r="V25" s="161"/>
      <c r="W25" s="161"/>
      <c r="X25" s="161"/>
    </row>
    <row r="26" spans="1:24" ht="13.25" customHeight="1">
      <c r="A26" s="83"/>
      <c r="B26" s="23" t="s">
        <v>44</v>
      </c>
      <c r="C26" s="238">
        <v>2.84</v>
      </c>
      <c r="D26" s="238">
        <v>2.71</v>
      </c>
      <c r="E26" s="238">
        <v>3.1</v>
      </c>
      <c r="F26" s="238">
        <v>3.72</v>
      </c>
      <c r="G26" s="238">
        <v>3.84</v>
      </c>
      <c r="H26" s="238">
        <v>3.51</v>
      </c>
      <c r="I26" s="238">
        <v>4.1100000000000003</v>
      </c>
      <c r="J26" s="238">
        <v>4.29</v>
      </c>
      <c r="K26" s="238">
        <v>4.55</v>
      </c>
      <c r="L26" s="238">
        <v>4.0999999999999996</v>
      </c>
      <c r="M26" s="238">
        <v>3.99</v>
      </c>
      <c r="N26" s="238">
        <v>4.99</v>
      </c>
      <c r="O26" s="238">
        <v>4.95</v>
      </c>
      <c r="P26" s="238">
        <v>4.95</v>
      </c>
      <c r="Q26" s="238">
        <v>4.9800000000000004</v>
      </c>
      <c r="R26" s="238">
        <v>4.92</v>
      </c>
      <c r="S26" s="238">
        <v>4.96</v>
      </c>
      <c r="T26" s="238">
        <v>4.9400000000000004</v>
      </c>
      <c r="V26" s="161"/>
      <c r="W26" s="161"/>
      <c r="X26" s="161"/>
    </row>
    <row r="27" spans="1:24" ht="13.25" customHeight="1">
      <c r="A27" s="83"/>
      <c r="B27" s="23" t="s">
        <v>45</v>
      </c>
      <c r="C27" s="238" t="s">
        <v>75</v>
      </c>
      <c r="D27" s="238" t="s">
        <v>75</v>
      </c>
      <c r="E27" s="238" t="s">
        <v>75</v>
      </c>
      <c r="F27" s="238" t="s">
        <v>75</v>
      </c>
      <c r="G27" s="238" t="s">
        <v>75</v>
      </c>
      <c r="H27" s="238" t="s">
        <v>75</v>
      </c>
      <c r="I27" s="238" t="s">
        <v>75</v>
      </c>
      <c r="J27" s="238" t="s">
        <v>75</v>
      </c>
      <c r="K27" s="238" t="s">
        <v>75</v>
      </c>
      <c r="L27" s="238" t="s">
        <v>75</v>
      </c>
      <c r="M27" s="238" t="s">
        <v>75</v>
      </c>
      <c r="N27" s="238" t="s">
        <v>75</v>
      </c>
      <c r="O27" s="238" t="s">
        <v>75</v>
      </c>
      <c r="P27" s="238" t="s">
        <v>75</v>
      </c>
      <c r="Q27" s="238" t="s">
        <v>75</v>
      </c>
      <c r="R27" s="238" t="s">
        <v>75</v>
      </c>
      <c r="S27" s="238" t="s">
        <v>75</v>
      </c>
      <c r="T27" s="238" t="s">
        <v>75</v>
      </c>
    </row>
    <row r="28" spans="1:24" ht="13.25" customHeight="1">
      <c r="A28" s="83"/>
      <c r="B28" s="82" t="s">
        <v>46</v>
      </c>
      <c r="C28" s="238" t="s">
        <v>75</v>
      </c>
      <c r="D28" s="238" t="s">
        <v>75</v>
      </c>
      <c r="E28" s="238" t="s">
        <v>75</v>
      </c>
      <c r="F28" s="238" t="s">
        <v>75</v>
      </c>
      <c r="G28" s="238" t="s">
        <v>75</v>
      </c>
      <c r="H28" s="238" t="s">
        <v>75</v>
      </c>
      <c r="I28" s="238" t="s">
        <v>75</v>
      </c>
      <c r="J28" s="238" t="s">
        <v>75</v>
      </c>
      <c r="K28" s="238" t="s">
        <v>75</v>
      </c>
      <c r="L28" s="238" t="s">
        <v>75</v>
      </c>
      <c r="M28" s="238" t="s">
        <v>75</v>
      </c>
      <c r="N28" s="238" t="s">
        <v>75</v>
      </c>
      <c r="O28" s="238" t="s">
        <v>75</v>
      </c>
      <c r="P28" s="238" t="s">
        <v>75</v>
      </c>
      <c r="Q28" s="238" t="s">
        <v>75</v>
      </c>
      <c r="R28" s="238" t="s">
        <v>75</v>
      </c>
      <c r="S28" s="238" t="s">
        <v>75</v>
      </c>
      <c r="T28" s="238" t="s">
        <v>75</v>
      </c>
    </row>
    <row r="29" spans="1:24" ht="13.25" customHeight="1">
      <c r="A29" s="83"/>
      <c r="B29" s="23" t="s">
        <v>47</v>
      </c>
      <c r="C29" s="238" t="s">
        <v>75</v>
      </c>
      <c r="D29" s="238" t="s">
        <v>75</v>
      </c>
      <c r="E29" s="238" t="s">
        <v>75</v>
      </c>
      <c r="F29" s="238" t="s">
        <v>75</v>
      </c>
      <c r="G29" s="238" t="s">
        <v>75</v>
      </c>
      <c r="H29" s="238" t="s">
        <v>75</v>
      </c>
      <c r="I29" s="238" t="s">
        <v>75</v>
      </c>
      <c r="J29" s="238" t="s">
        <v>75</v>
      </c>
      <c r="K29" s="238" t="s">
        <v>75</v>
      </c>
      <c r="L29" s="238" t="s">
        <v>75</v>
      </c>
      <c r="M29" s="238" t="s">
        <v>75</v>
      </c>
      <c r="N29" s="238" t="s">
        <v>75</v>
      </c>
      <c r="O29" s="238" t="s">
        <v>75</v>
      </c>
      <c r="P29" s="238" t="s">
        <v>75</v>
      </c>
      <c r="Q29" s="238" t="s">
        <v>75</v>
      </c>
      <c r="R29" s="238">
        <v>4.9400000000000004</v>
      </c>
      <c r="S29" s="238">
        <v>4.91</v>
      </c>
      <c r="T29" s="238">
        <v>4.84</v>
      </c>
      <c r="V29" s="161"/>
      <c r="W29" s="161"/>
      <c r="X29" s="161"/>
    </row>
    <row r="30" spans="1:24" ht="13.25" customHeight="1">
      <c r="A30" s="83"/>
      <c r="B30" s="23" t="s">
        <v>48</v>
      </c>
      <c r="C30" s="238" t="s">
        <v>75</v>
      </c>
      <c r="D30" s="238" t="s">
        <v>75</v>
      </c>
      <c r="E30" s="238" t="s">
        <v>75</v>
      </c>
      <c r="F30" s="238" t="s">
        <v>75</v>
      </c>
      <c r="G30" s="238" t="s">
        <v>75</v>
      </c>
      <c r="H30" s="238" t="s">
        <v>75</v>
      </c>
      <c r="I30" s="238" t="s">
        <v>75</v>
      </c>
      <c r="J30" s="238" t="s">
        <v>75</v>
      </c>
      <c r="K30" s="238" t="s">
        <v>75</v>
      </c>
      <c r="L30" s="238" t="s">
        <v>75</v>
      </c>
      <c r="M30" s="238" t="s">
        <v>75</v>
      </c>
      <c r="N30" s="238" t="s">
        <v>75</v>
      </c>
      <c r="O30" s="238" t="s">
        <v>75</v>
      </c>
      <c r="P30" s="238" t="s">
        <v>75</v>
      </c>
      <c r="Q30" s="238" t="s">
        <v>75</v>
      </c>
      <c r="R30" s="238" t="s">
        <v>75</v>
      </c>
      <c r="S30" s="238" t="s">
        <v>75</v>
      </c>
      <c r="T30" s="238" t="s">
        <v>75</v>
      </c>
    </row>
    <row r="31" spans="1:24" ht="13.25" customHeight="1" thickBot="1">
      <c r="A31" s="88"/>
      <c r="B31" s="577" t="s">
        <v>49</v>
      </c>
      <c r="C31" s="576" t="s">
        <v>75</v>
      </c>
      <c r="D31" s="576" t="s">
        <v>75</v>
      </c>
      <c r="E31" s="576" t="s">
        <v>75</v>
      </c>
      <c r="F31" s="576" t="s">
        <v>75</v>
      </c>
      <c r="G31" s="576" t="s">
        <v>75</v>
      </c>
      <c r="H31" s="576" t="s">
        <v>75</v>
      </c>
      <c r="I31" s="576" t="s">
        <v>75</v>
      </c>
      <c r="J31" s="576" t="s">
        <v>75</v>
      </c>
      <c r="K31" s="576" t="s">
        <v>75</v>
      </c>
      <c r="L31" s="576" t="s">
        <v>75</v>
      </c>
      <c r="M31" s="576" t="s">
        <v>75</v>
      </c>
      <c r="N31" s="576" t="s">
        <v>75</v>
      </c>
      <c r="O31" s="576" t="s">
        <v>75</v>
      </c>
      <c r="P31" s="576" t="s">
        <v>75</v>
      </c>
      <c r="Q31" s="576" t="s">
        <v>75</v>
      </c>
      <c r="R31" s="576" t="s">
        <v>75</v>
      </c>
      <c r="S31" s="576" t="s">
        <v>75</v>
      </c>
      <c r="T31" s="576" t="s">
        <v>75</v>
      </c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882" t="s">
        <v>425</v>
      </c>
      <c r="I32" s="803"/>
      <c r="J32" s="218"/>
      <c r="K32" s="218"/>
      <c r="L32" s="218"/>
      <c r="M32" s="218"/>
      <c r="N32" s="218"/>
      <c r="O32" s="229"/>
      <c r="P32" s="229"/>
      <c r="Q32" s="229"/>
      <c r="R32" s="229"/>
      <c r="S32" s="229"/>
      <c r="T32" s="229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9"/>
      <c r="Q33" s="229"/>
      <c r="R33" s="229"/>
      <c r="S33" s="229"/>
      <c r="T33" s="229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9"/>
      <c r="Q34" s="229"/>
      <c r="R34" s="229"/>
      <c r="S34" s="229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P35" s="161"/>
      <c r="Q35" s="161"/>
      <c r="R35" s="161"/>
      <c r="S35" s="161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161"/>
      <c r="Q36" s="161"/>
      <c r="R36" s="161"/>
      <c r="S36" s="161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6">
    <tabColor theme="9" tint="0.59999389629810485"/>
  </sheetPr>
  <dimension ref="A2:T62"/>
  <sheetViews>
    <sheetView showGridLines="0" topLeftCell="A4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8.19921875" style="82" customWidth="1"/>
    <col min="22" max="16384" width="7" style="82"/>
  </cols>
  <sheetData>
    <row r="2" spans="1:20" ht="13.25" customHeight="1">
      <c r="A2" s="230" t="s">
        <v>499</v>
      </c>
      <c r="B2" s="231"/>
    </row>
    <row r="3" spans="1:20" ht="13.25" customHeight="1">
      <c r="A3" s="232" t="s">
        <v>238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96</v>
      </c>
      <c r="B6" s="963"/>
      <c r="C6" s="574">
        <f t="shared" ref="C6:M6" si="0">(C8+C9+C10+C11+C12+C13+C14+C15+C16+C17+C18+C19+C20+C21+C22+C23+C24+C25+C26+C27+C28+C29+C30+C31)</f>
        <v>14813786</v>
      </c>
      <c r="D6" s="574">
        <f t="shared" si="0"/>
        <v>14675255</v>
      </c>
      <c r="E6" s="806">
        <f t="shared" si="0"/>
        <v>14580166</v>
      </c>
      <c r="F6" s="806">
        <f t="shared" si="0"/>
        <v>14509628</v>
      </c>
      <c r="G6" s="806">
        <f t="shared" si="0"/>
        <v>14137690</v>
      </c>
      <c r="H6" s="806">
        <f t="shared" si="0"/>
        <v>14159719</v>
      </c>
      <c r="I6" s="806">
        <f t="shared" si="0"/>
        <v>14050173</v>
      </c>
      <c r="J6" s="806">
        <f t="shared" si="0"/>
        <v>12184143</v>
      </c>
      <c r="K6" s="806">
        <f t="shared" si="0"/>
        <v>11830977</v>
      </c>
      <c r="L6" s="806">
        <f t="shared" si="0"/>
        <v>11652272</v>
      </c>
      <c r="M6" s="806">
        <f t="shared" si="0"/>
        <v>11982580</v>
      </c>
      <c r="N6" s="806">
        <f t="shared" ref="N6:T6" si="1">(N8+N9+N10+N11+N12+N13+N14+N15+N16+N17+N18+N19+N20+N21+N22+N23+N24+N25+N26+N27+N28+N29+N30+N31)</f>
        <v>11450659</v>
      </c>
      <c r="O6" s="806">
        <f t="shared" si="1"/>
        <v>11338424</v>
      </c>
      <c r="P6" s="806">
        <f t="shared" si="1"/>
        <v>11330908</v>
      </c>
      <c r="Q6" s="806">
        <f t="shared" si="1"/>
        <v>11371637.228475509</v>
      </c>
      <c r="R6" s="806">
        <f t="shared" si="1"/>
        <v>11071699</v>
      </c>
      <c r="S6" s="806">
        <f t="shared" ref="S6" si="2">(S8+S9+S10+S11+S12+S13+S14+S15+S16+S17+S18+S19+S20+S21+S22+S23+S24+S25+S26+S27+S28+S29+S30+S31)</f>
        <v>10942309.400219999</v>
      </c>
      <c r="T6" s="806">
        <f t="shared" si="1"/>
        <v>11201722.699999999</v>
      </c>
    </row>
    <row r="7" spans="1:20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0" ht="13.25" customHeight="1">
      <c r="A8" s="83"/>
      <c r="B8" s="23" t="s">
        <v>21</v>
      </c>
      <c r="C8" s="222">
        <v>10010</v>
      </c>
      <c r="D8" s="222">
        <v>8700</v>
      </c>
      <c r="E8" s="93">
        <v>8750</v>
      </c>
      <c r="F8" s="93">
        <v>7352</v>
      </c>
      <c r="G8" s="93">
        <v>7460</v>
      </c>
      <c r="H8" s="93">
        <v>8230</v>
      </c>
      <c r="I8" s="93">
        <v>9430</v>
      </c>
      <c r="J8" s="93">
        <v>8950</v>
      </c>
      <c r="K8" s="93">
        <v>8700</v>
      </c>
      <c r="L8" s="93">
        <v>7410</v>
      </c>
      <c r="M8" s="808">
        <v>8468</v>
      </c>
      <c r="N8" s="808">
        <v>6290</v>
      </c>
      <c r="O8" s="808">
        <v>7580</v>
      </c>
      <c r="P8" s="808">
        <v>7450</v>
      </c>
      <c r="Q8" s="808">
        <v>7515</v>
      </c>
      <c r="R8" s="808">
        <v>10210</v>
      </c>
      <c r="S8" s="808">
        <v>9063</v>
      </c>
      <c r="T8" s="808">
        <v>9636.5</v>
      </c>
    </row>
    <row r="9" spans="1:20" ht="13.25" customHeight="1">
      <c r="A9" s="83"/>
      <c r="B9" s="23" t="s">
        <v>22</v>
      </c>
      <c r="C9" s="222">
        <v>278876</v>
      </c>
      <c r="D9" s="222">
        <v>275000</v>
      </c>
      <c r="E9" s="93">
        <v>263896</v>
      </c>
      <c r="F9" s="93">
        <v>248203</v>
      </c>
      <c r="G9" s="93">
        <v>256830</v>
      </c>
      <c r="H9" s="93">
        <v>338970</v>
      </c>
      <c r="I9" s="93">
        <v>338702</v>
      </c>
      <c r="J9" s="93">
        <v>344798</v>
      </c>
      <c r="K9" s="93">
        <v>313119</v>
      </c>
      <c r="L9" s="93">
        <v>292109</v>
      </c>
      <c r="M9" s="808">
        <v>309339</v>
      </c>
      <c r="N9" s="808">
        <v>302540</v>
      </c>
      <c r="O9" s="808">
        <v>341213</v>
      </c>
      <c r="P9" s="808">
        <v>293119</v>
      </c>
      <c r="Q9" s="808">
        <v>274350</v>
      </c>
      <c r="R9" s="808">
        <v>243119</v>
      </c>
      <c r="S9" s="808">
        <v>266289.40022000001</v>
      </c>
      <c r="T9" s="808">
        <v>254704.2</v>
      </c>
    </row>
    <row r="10" spans="1:20" ht="13.25" customHeight="1">
      <c r="A10" s="83"/>
      <c r="B10" s="23" t="s">
        <v>23</v>
      </c>
      <c r="C10" s="222">
        <v>72000</v>
      </c>
      <c r="D10" s="222">
        <v>70100</v>
      </c>
      <c r="E10" s="93">
        <v>77846</v>
      </c>
      <c r="F10" s="93">
        <v>95249</v>
      </c>
      <c r="G10" s="93">
        <v>93100</v>
      </c>
      <c r="H10" s="93">
        <v>87659</v>
      </c>
      <c r="I10" s="93">
        <v>86180</v>
      </c>
      <c r="J10" s="93">
        <v>77386</v>
      </c>
      <c r="K10" s="93">
        <v>85246</v>
      </c>
      <c r="L10" s="93">
        <v>84377</v>
      </c>
      <c r="M10" s="93">
        <v>84240</v>
      </c>
      <c r="N10" s="93">
        <v>82685</v>
      </c>
      <c r="O10" s="93">
        <v>68810</v>
      </c>
      <c r="P10" s="93">
        <v>67840</v>
      </c>
      <c r="Q10" s="93">
        <v>68325</v>
      </c>
      <c r="R10" s="93">
        <v>72859</v>
      </c>
      <c r="S10" s="93">
        <v>73368</v>
      </c>
      <c r="T10" s="93">
        <v>74798</v>
      </c>
    </row>
    <row r="11" spans="1:20" ht="13.25" customHeight="1">
      <c r="A11" s="83"/>
      <c r="B11" s="23" t="s">
        <v>24</v>
      </c>
      <c r="C11" s="222">
        <v>402413</v>
      </c>
      <c r="D11" s="222">
        <v>420429</v>
      </c>
      <c r="E11" s="93">
        <v>413495</v>
      </c>
      <c r="F11" s="93">
        <v>412886</v>
      </c>
      <c r="G11" s="93">
        <v>412338</v>
      </c>
      <c r="H11" s="93">
        <v>412672</v>
      </c>
      <c r="I11" s="93">
        <v>412407</v>
      </c>
      <c r="J11" s="93">
        <v>402621</v>
      </c>
      <c r="K11" s="93">
        <v>356517</v>
      </c>
      <c r="L11" s="93">
        <v>365201</v>
      </c>
      <c r="M11" s="808">
        <v>356682</v>
      </c>
      <c r="N11" s="808">
        <v>357814</v>
      </c>
      <c r="O11" s="808">
        <v>356486</v>
      </c>
      <c r="P11" s="808">
        <v>333412</v>
      </c>
      <c r="Q11" s="808">
        <v>360982</v>
      </c>
      <c r="R11" s="808">
        <v>360882</v>
      </c>
      <c r="S11" s="808">
        <v>36171</v>
      </c>
      <c r="T11" s="808">
        <v>361175</v>
      </c>
    </row>
    <row r="12" spans="1:20" ht="13.25" customHeight="1">
      <c r="A12" s="83"/>
      <c r="B12" s="23" t="s">
        <v>25</v>
      </c>
      <c r="C12" s="222">
        <v>375069</v>
      </c>
      <c r="D12" s="222">
        <v>391715</v>
      </c>
      <c r="E12" s="93">
        <v>426561</v>
      </c>
      <c r="F12" s="93">
        <v>434653</v>
      </c>
      <c r="G12" s="93">
        <v>441100</v>
      </c>
      <c r="H12" s="93">
        <v>413819</v>
      </c>
      <c r="I12" s="93">
        <v>434278</v>
      </c>
      <c r="J12" s="93">
        <v>421175</v>
      </c>
      <c r="K12" s="93">
        <v>417560</v>
      </c>
      <c r="L12" s="93">
        <v>411297</v>
      </c>
      <c r="M12" s="808">
        <v>409942</v>
      </c>
      <c r="N12" s="808">
        <v>465641</v>
      </c>
      <c r="O12" s="808">
        <v>455567</v>
      </c>
      <c r="P12" s="808">
        <v>484116</v>
      </c>
      <c r="Q12" s="808">
        <v>480071.519922445</v>
      </c>
      <c r="R12" s="808">
        <v>484440</v>
      </c>
      <c r="S12" s="808">
        <v>484087</v>
      </c>
      <c r="T12" s="808">
        <v>469462</v>
      </c>
    </row>
    <row r="13" spans="1:20" ht="13.25" customHeight="1">
      <c r="A13" s="83"/>
      <c r="B13" s="23" t="s">
        <v>29</v>
      </c>
      <c r="C13" s="222">
        <v>37993</v>
      </c>
      <c r="D13" s="222">
        <v>38000</v>
      </c>
      <c r="E13" s="93">
        <v>39571</v>
      </c>
      <c r="F13" s="93">
        <v>39215</v>
      </c>
      <c r="G13" s="93">
        <v>40120</v>
      </c>
      <c r="H13" s="93">
        <v>41072</v>
      </c>
      <c r="I13" s="93">
        <v>42510</v>
      </c>
      <c r="J13" s="93">
        <v>31131</v>
      </c>
      <c r="K13" s="93">
        <v>40939</v>
      </c>
      <c r="L13" s="93">
        <v>40606</v>
      </c>
      <c r="M13" s="93">
        <v>38822</v>
      </c>
      <c r="N13" s="93">
        <v>29054</v>
      </c>
      <c r="O13" s="93">
        <v>21744</v>
      </c>
      <c r="P13" s="93">
        <v>24350</v>
      </c>
      <c r="Q13" s="93">
        <v>23046.86280974705</v>
      </c>
      <c r="R13" s="93">
        <v>27519</v>
      </c>
      <c r="S13" s="93">
        <v>27990</v>
      </c>
      <c r="T13" s="93">
        <v>28229</v>
      </c>
    </row>
    <row r="14" spans="1:20" ht="13.25" customHeight="1">
      <c r="A14" s="83"/>
      <c r="B14" s="23" t="s">
        <v>30</v>
      </c>
      <c r="C14" s="222">
        <v>847298</v>
      </c>
      <c r="D14" s="222">
        <v>807840</v>
      </c>
      <c r="E14" s="93">
        <v>793399</v>
      </c>
      <c r="F14" s="93">
        <v>814814</v>
      </c>
      <c r="G14" s="93">
        <v>806982</v>
      </c>
      <c r="H14" s="93">
        <v>814067</v>
      </c>
      <c r="I14" s="93">
        <v>808502</v>
      </c>
      <c r="J14" s="93">
        <v>650284</v>
      </c>
      <c r="K14" s="93">
        <v>640242</v>
      </c>
      <c r="L14" s="93">
        <v>602944</v>
      </c>
      <c r="M14" s="808">
        <v>694111</v>
      </c>
      <c r="N14" s="808">
        <v>672817</v>
      </c>
      <c r="O14" s="808">
        <v>672175</v>
      </c>
      <c r="P14" s="808">
        <v>671482</v>
      </c>
      <c r="Q14" s="808">
        <v>671828.69343368895</v>
      </c>
      <c r="R14" s="808">
        <v>670125</v>
      </c>
      <c r="S14" s="808">
        <v>672384</v>
      </c>
      <c r="T14" s="808">
        <v>671254.5</v>
      </c>
    </row>
    <row r="15" spans="1:20" ht="13.25" customHeight="1">
      <c r="A15" s="83"/>
      <c r="B15" s="23" t="s">
        <v>31</v>
      </c>
      <c r="C15" s="222">
        <v>352067</v>
      </c>
      <c r="D15" s="222">
        <v>340000</v>
      </c>
      <c r="E15" s="93">
        <v>324238</v>
      </c>
      <c r="F15" s="93">
        <v>310789</v>
      </c>
      <c r="G15" s="93">
        <v>309200</v>
      </c>
      <c r="H15" s="93">
        <v>312259</v>
      </c>
      <c r="I15" s="93">
        <v>330004</v>
      </c>
      <c r="J15" s="93">
        <v>321131</v>
      </c>
      <c r="K15" s="93">
        <v>319450</v>
      </c>
      <c r="L15" s="93">
        <v>327436</v>
      </c>
      <c r="M15" s="808">
        <v>342802</v>
      </c>
      <c r="N15" s="808">
        <v>319535</v>
      </c>
      <c r="O15" s="808">
        <v>305462</v>
      </c>
      <c r="P15" s="808">
        <v>326462</v>
      </c>
      <c r="Q15" s="808">
        <v>315962</v>
      </c>
      <c r="R15" s="808">
        <v>312547</v>
      </c>
      <c r="S15" s="808">
        <v>294505</v>
      </c>
      <c r="T15" s="808">
        <v>303526</v>
      </c>
    </row>
    <row r="16" spans="1:20" ht="13.25" customHeight="1">
      <c r="A16" s="83"/>
      <c r="B16" s="23" t="s">
        <v>32</v>
      </c>
      <c r="C16" s="222">
        <v>20606</v>
      </c>
      <c r="D16" s="222">
        <v>21051</v>
      </c>
      <c r="E16" s="93">
        <v>21815</v>
      </c>
      <c r="F16" s="93">
        <v>23124</v>
      </c>
      <c r="G16" s="93">
        <v>22680</v>
      </c>
      <c r="H16" s="93">
        <v>21855</v>
      </c>
      <c r="I16" s="93">
        <v>23226</v>
      </c>
      <c r="J16" s="93">
        <v>27078</v>
      </c>
      <c r="K16" s="93">
        <v>28397</v>
      </c>
      <c r="L16" s="93">
        <v>25990</v>
      </c>
      <c r="M16" s="93">
        <v>26132</v>
      </c>
      <c r="N16" s="93">
        <v>28131</v>
      </c>
      <c r="O16" s="93">
        <v>29996</v>
      </c>
      <c r="P16" s="93">
        <v>27535</v>
      </c>
      <c r="Q16" s="93">
        <v>26695</v>
      </c>
      <c r="R16" s="93">
        <v>26771</v>
      </c>
      <c r="S16" s="93">
        <v>26813</v>
      </c>
      <c r="T16" s="93">
        <v>28666</v>
      </c>
    </row>
    <row r="17" spans="1:20" ht="13.25" customHeight="1">
      <c r="A17" s="83"/>
      <c r="B17" s="23" t="s">
        <v>33</v>
      </c>
      <c r="C17" s="222">
        <v>1147657</v>
      </c>
      <c r="D17" s="222">
        <v>1170866</v>
      </c>
      <c r="E17" s="93">
        <v>1054504</v>
      </c>
      <c r="F17" s="93">
        <v>1021725</v>
      </c>
      <c r="G17" s="93">
        <v>998000</v>
      </c>
      <c r="H17" s="93">
        <v>987550</v>
      </c>
      <c r="I17" s="93">
        <v>839260</v>
      </c>
      <c r="J17" s="93">
        <v>702282</v>
      </c>
      <c r="K17" s="93">
        <v>760617</v>
      </c>
      <c r="L17" s="93">
        <v>761384</v>
      </c>
      <c r="M17" s="808">
        <v>759953</v>
      </c>
      <c r="N17" s="808">
        <v>634318</v>
      </c>
      <c r="O17" s="808">
        <v>529453</v>
      </c>
      <c r="P17" s="808">
        <v>530212</v>
      </c>
      <c r="Q17" s="808">
        <v>529832.45355962799</v>
      </c>
      <c r="R17" s="808">
        <v>526457</v>
      </c>
      <c r="S17" s="808">
        <v>527633</v>
      </c>
      <c r="T17" s="808">
        <v>527045</v>
      </c>
    </row>
    <row r="18" spans="1:20" ht="13.25" customHeight="1">
      <c r="A18" s="83"/>
      <c r="B18" s="23" t="s">
        <v>34</v>
      </c>
      <c r="C18" s="222">
        <v>947800</v>
      </c>
      <c r="D18" s="222">
        <v>934944</v>
      </c>
      <c r="E18" s="93">
        <v>950105</v>
      </c>
      <c r="F18" s="93">
        <v>955224</v>
      </c>
      <c r="G18" s="93">
        <v>957700</v>
      </c>
      <c r="H18" s="93">
        <v>964060</v>
      </c>
      <c r="I18" s="93">
        <v>969245</v>
      </c>
      <c r="J18" s="93">
        <v>726314</v>
      </c>
      <c r="K18" s="93">
        <v>662425</v>
      </c>
      <c r="L18" s="93">
        <v>669260</v>
      </c>
      <c r="M18" s="808">
        <v>675939</v>
      </c>
      <c r="N18" s="808">
        <v>682688</v>
      </c>
      <c r="O18" s="808">
        <v>698536</v>
      </c>
      <c r="P18" s="808">
        <v>685310</v>
      </c>
      <c r="Q18" s="808">
        <v>691923</v>
      </c>
      <c r="R18" s="808">
        <v>680129</v>
      </c>
      <c r="S18" s="808">
        <v>684682</v>
      </c>
      <c r="T18" s="808">
        <v>682405.5</v>
      </c>
    </row>
    <row r="19" spans="1:20" ht="13.25" customHeight="1">
      <c r="A19" s="83"/>
      <c r="B19" s="23" t="s">
        <v>35</v>
      </c>
      <c r="C19" s="222">
        <v>1214210</v>
      </c>
      <c r="D19" s="222">
        <v>1216000</v>
      </c>
      <c r="E19" s="93">
        <v>1214210</v>
      </c>
      <c r="F19" s="93">
        <v>1151903</v>
      </c>
      <c r="G19" s="93">
        <v>1160000</v>
      </c>
      <c r="H19" s="93">
        <v>1080265</v>
      </c>
      <c r="I19" s="93">
        <v>1020168</v>
      </c>
      <c r="J19" s="93">
        <v>1304933</v>
      </c>
      <c r="K19" s="93">
        <v>1358604</v>
      </c>
      <c r="L19" s="93">
        <v>1345874</v>
      </c>
      <c r="M19" s="808">
        <v>1416083</v>
      </c>
      <c r="N19" s="808">
        <v>1234318</v>
      </c>
      <c r="O19" s="808">
        <v>1478438</v>
      </c>
      <c r="P19" s="808">
        <v>1554849</v>
      </c>
      <c r="Q19" s="808">
        <v>1614094</v>
      </c>
      <c r="R19" s="808">
        <v>1547309</v>
      </c>
      <c r="S19" s="808">
        <v>1611208</v>
      </c>
      <c r="T19" s="808">
        <v>1579258.5</v>
      </c>
    </row>
    <row r="20" spans="1:20" ht="13.25" customHeight="1">
      <c r="A20" s="83"/>
      <c r="B20" s="23" t="s">
        <v>36</v>
      </c>
      <c r="C20" s="222">
        <v>993165</v>
      </c>
      <c r="D20" s="222">
        <v>976712</v>
      </c>
      <c r="E20" s="93">
        <v>975777</v>
      </c>
      <c r="F20" s="93">
        <v>971559</v>
      </c>
      <c r="G20" s="93">
        <v>968714</v>
      </c>
      <c r="H20" s="93">
        <v>977185</v>
      </c>
      <c r="I20" s="93">
        <v>984244</v>
      </c>
      <c r="J20" s="93">
        <v>770715</v>
      </c>
      <c r="K20" s="93">
        <v>698498</v>
      </c>
      <c r="L20" s="93">
        <v>685380</v>
      </c>
      <c r="M20" s="808">
        <v>708224</v>
      </c>
      <c r="N20" s="808">
        <v>704935</v>
      </c>
      <c r="O20" s="808">
        <v>620737</v>
      </c>
      <c r="P20" s="808">
        <v>630410</v>
      </c>
      <c r="Q20" s="808">
        <v>625573.5</v>
      </c>
      <c r="R20" s="808">
        <v>622124</v>
      </c>
      <c r="S20" s="808">
        <v>623587</v>
      </c>
      <c r="T20" s="808">
        <v>622855.5</v>
      </c>
    </row>
    <row r="21" spans="1:20" ht="13.25" customHeight="1">
      <c r="A21" s="83"/>
      <c r="B21" s="23" t="s">
        <v>37</v>
      </c>
      <c r="C21" s="222">
        <v>286680</v>
      </c>
      <c r="D21" s="222">
        <v>269022</v>
      </c>
      <c r="E21" s="93">
        <v>266519</v>
      </c>
      <c r="F21" s="93">
        <v>263499</v>
      </c>
      <c r="G21" s="93">
        <v>253541</v>
      </c>
      <c r="H21" s="93">
        <v>249945</v>
      </c>
      <c r="I21" s="93">
        <v>207954</v>
      </c>
      <c r="J21" s="93">
        <v>220707</v>
      </c>
      <c r="K21" s="93">
        <v>223009</v>
      </c>
      <c r="L21" s="93">
        <v>222508</v>
      </c>
      <c r="M21" s="808">
        <v>221114</v>
      </c>
      <c r="N21" s="808">
        <v>209159</v>
      </c>
      <c r="O21" s="808">
        <v>187138</v>
      </c>
      <c r="P21" s="808">
        <v>188490</v>
      </c>
      <c r="Q21" s="808">
        <v>188221</v>
      </c>
      <c r="R21" s="808">
        <v>188120</v>
      </c>
      <c r="S21" s="808">
        <v>217639</v>
      </c>
      <c r="T21" s="808">
        <v>202792</v>
      </c>
    </row>
    <row r="22" spans="1:20" ht="13.25" customHeight="1">
      <c r="A22" s="83"/>
      <c r="B22" s="23" t="s">
        <v>38</v>
      </c>
      <c r="C22" s="222">
        <v>48614</v>
      </c>
      <c r="D22" s="222">
        <v>67273</v>
      </c>
      <c r="E22" s="93">
        <v>80662</v>
      </c>
      <c r="F22" s="93">
        <v>78146</v>
      </c>
      <c r="G22" s="93">
        <v>79120</v>
      </c>
      <c r="H22" s="93">
        <v>78763</v>
      </c>
      <c r="I22" s="93">
        <v>72046</v>
      </c>
      <c r="J22" s="93">
        <v>70405</v>
      </c>
      <c r="K22" s="93">
        <v>71410</v>
      </c>
      <c r="L22" s="93">
        <v>44276</v>
      </c>
      <c r="M22" s="808">
        <v>44999</v>
      </c>
      <c r="N22" s="808">
        <v>47249</v>
      </c>
      <c r="O22" s="808">
        <v>49611</v>
      </c>
      <c r="P22" s="808">
        <v>48970</v>
      </c>
      <c r="Q22" s="808">
        <v>49290.698750000003</v>
      </c>
      <c r="R22" s="808">
        <v>47899</v>
      </c>
      <c r="S22" s="808">
        <v>48127</v>
      </c>
      <c r="T22" s="808">
        <v>48013</v>
      </c>
    </row>
    <row r="23" spans="1:20" ht="13.25" customHeight="1">
      <c r="A23" s="83"/>
      <c r="B23" s="23" t="s">
        <v>39</v>
      </c>
      <c r="C23" s="222">
        <v>42345</v>
      </c>
      <c r="D23" s="222">
        <v>41480</v>
      </c>
      <c r="E23" s="93">
        <v>41334</v>
      </c>
      <c r="F23" s="93">
        <v>40944</v>
      </c>
      <c r="G23" s="93">
        <v>39815</v>
      </c>
      <c r="H23" s="93">
        <v>39981</v>
      </c>
      <c r="I23" s="93">
        <v>39095</v>
      </c>
      <c r="J23" s="93">
        <v>38786</v>
      </c>
      <c r="K23" s="93">
        <v>31595</v>
      </c>
      <c r="L23" s="93">
        <v>35978</v>
      </c>
      <c r="M23" s="808">
        <v>36096</v>
      </c>
      <c r="N23" s="808">
        <v>37901</v>
      </c>
      <c r="O23" s="808">
        <v>36005</v>
      </c>
      <c r="P23" s="808">
        <v>36005</v>
      </c>
      <c r="Q23" s="808">
        <v>36005</v>
      </c>
      <c r="R23" s="808">
        <v>35782</v>
      </c>
      <c r="S23" s="808">
        <v>35897</v>
      </c>
      <c r="T23" s="808">
        <v>35839.5</v>
      </c>
    </row>
    <row r="24" spans="1:20" ht="13.25" customHeight="1">
      <c r="A24" s="83"/>
      <c r="B24" s="23" t="s">
        <v>40</v>
      </c>
      <c r="C24" s="222">
        <v>905080</v>
      </c>
      <c r="D24" s="222">
        <v>820966</v>
      </c>
      <c r="E24" s="93">
        <v>846254</v>
      </c>
      <c r="F24" s="93">
        <v>849515</v>
      </c>
      <c r="G24" s="93">
        <v>839240</v>
      </c>
      <c r="H24" s="93">
        <v>870713</v>
      </c>
      <c r="I24" s="93">
        <v>931253</v>
      </c>
      <c r="J24" s="93">
        <v>967114</v>
      </c>
      <c r="K24" s="93">
        <v>951671</v>
      </c>
      <c r="L24" s="93">
        <v>937646</v>
      </c>
      <c r="M24" s="808">
        <v>822428</v>
      </c>
      <c r="N24" s="808">
        <v>798698</v>
      </c>
      <c r="O24" s="808">
        <v>611215</v>
      </c>
      <c r="P24" s="808">
        <v>616828</v>
      </c>
      <c r="Q24" s="808">
        <v>617461</v>
      </c>
      <c r="R24" s="808">
        <v>602326</v>
      </c>
      <c r="S24" s="808">
        <v>609447</v>
      </c>
      <c r="T24" s="808">
        <v>647200</v>
      </c>
    </row>
    <row r="25" spans="1:20" ht="13.25" customHeight="1">
      <c r="A25" s="83"/>
      <c r="B25" s="23" t="s">
        <v>41</v>
      </c>
      <c r="C25" s="222">
        <v>467210</v>
      </c>
      <c r="D25" s="222">
        <v>504320</v>
      </c>
      <c r="E25" s="93">
        <v>518531</v>
      </c>
      <c r="F25" s="93">
        <v>515394</v>
      </c>
      <c r="G25" s="93">
        <v>512560</v>
      </c>
      <c r="H25" s="93">
        <v>503603</v>
      </c>
      <c r="I25" s="93">
        <v>504434</v>
      </c>
      <c r="J25" s="93">
        <v>481850</v>
      </c>
      <c r="K25" s="93">
        <v>497860</v>
      </c>
      <c r="L25" s="93">
        <v>470307</v>
      </c>
      <c r="M25" s="808">
        <v>468530</v>
      </c>
      <c r="N25" s="808">
        <v>461957</v>
      </c>
      <c r="O25" s="808">
        <v>455479</v>
      </c>
      <c r="P25" s="808">
        <v>457330</v>
      </c>
      <c r="Q25" s="808">
        <v>456404.5</v>
      </c>
      <c r="R25" s="808">
        <v>454242</v>
      </c>
      <c r="S25" s="808">
        <v>454797</v>
      </c>
      <c r="T25" s="808">
        <v>454519.5</v>
      </c>
    </row>
    <row r="26" spans="1:20" ht="13.25" customHeight="1">
      <c r="A26" s="83"/>
      <c r="B26" s="23" t="s">
        <v>44</v>
      </c>
      <c r="C26" s="222">
        <v>2388882</v>
      </c>
      <c r="D26" s="222">
        <v>2385000</v>
      </c>
      <c r="E26" s="93">
        <v>2300000</v>
      </c>
      <c r="F26" s="93">
        <v>2295231</v>
      </c>
      <c r="G26" s="93">
        <v>1923603</v>
      </c>
      <c r="H26" s="93">
        <v>1928174</v>
      </c>
      <c r="I26" s="93">
        <v>1937742</v>
      </c>
      <c r="J26" s="93">
        <v>1563618</v>
      </c>
      <c r="K26" s="93">
        <v>1306368</v>
      </c>
      <c r="L26" s="93">
        <v>1303959</v>
      </c>
      <c r="M26" s="808">
        <v>1420079</v>
      </c>
      <c r="N26" s="808">
        <v>1419506</v>
      </c>
      <c r="O26" s="808">
        <v>1422140</v>
      </c>
      <c r="P26" s="808">
        <v>1428736</v>
      </c>
      <c r="Q26" s="808">
        <v>1443471</v>
      </c>
      <c r="R26" s="808">
        <v>1425497</v>
      </c>
      <c r="S26" s="808">
        <v>1417593</v>
      </c>
      <c r="T26" s="808">
        <v>1394173</v>
      </c>
    </row>
    <row r="27" spans="1:20" ht="13.25" customHeight="1">
      <c r="A27" s="83"/>
      <c r="B27" s="23" t="s">
        <v>45</v>
      </c>
      <c r="C27" s="222">
        <v>3932070</v>
      </c>
      <c r="D27" s="222">
        <v>3870220</v>
      </c>
      <c r="E27" s="93">
        <v>3917920</v>
      </c>
      <c r="F27" s="93">
        <v>3931520</v>
      </c>
      <c r="G27" s="93">
        <v>3966940</v>
      </c>
      <c r="H27" s="93">
        <v>3979420</v>
      </c>
      <c r="I27" s="93">
        <v>4006330</v>
      </c>
      <c r="J27" s="93">
        <v>3011220</v>
      </c>
      <c r="K27" s="93">
        <v>3018210</v>
      </c>
      <c r="L27" s="93">
        <v>2978720</v>
      </c>
      <c r="M27" s="808">
        <v>3099180</v>
      </c>
      <c r="N27" s="808">
        <v>2919060</v>
      </c>
      <c r="O27" s="808">
        <v>2950630</v>
      </c>
      <c r="P27" s="808">
        <v>2876615</v>
      </c>
      <c r="Q27" s="808">
        <v>2852165</v>
      </c>
      <c r="R27" s="808">
        <v>2699105</v>
      </c>
      <c r="S27" s="808">
        <v>2787942</v>
      </c>
      <c r="T27" s="808">
        <v>2772245</v>
      </c>
    </row>
    <row r="28" spans="1:20" ht="13.25" customHeight="1">
      <c r="A28" s="83"/>
      <c r="B28" s="82" t="s">
        <v>46</v>
      </c>
      <c r="C28" s="222">
        <v>19468</v>
      </c>
      <c r="D28" s="222">
        <v>24235</v>
      </c>
      <c r="E28" s="93">
        <v>20491</v>
      </c>
      <c r="F28" s="93">
        <v>23788</v>
      </c>
      <c r="G28" s="93">
        <v>22450</v>
      </c>
      <c r="H28" s="93">
        <v>22086</v>
      </c>
      <c r="I28" s="93">
        <v>24294</v>
      </c>
      <c r="J28" s="93">
        <v>13190</v>
      </c>
      <c r="K28" s="93">
        <v>10450</v>
      </c>
      <c r="L28" s="93">
        <v>10711</v>
      </c>
      <c r="M28" s="808">
        <v>9950</v>
      </c>
      <c r="N28" s="808">
        <v>5422</v>
      </c>
      <c r="O28" s="808">
        <v>7521</v>
      </c>
      <c r="P28" s="808">
        <v>11017</v>
      </c>
      <c r="Q28" s="808">
        <v>9269</v>
      </c>
      <c r="R28" s="808">
        <v>9080</v>
      </c>
      <c r="S28" s="808">
        <v>9188</v>
      </c>
      <c r="T28" s="808">
        <v>9134</v>
      </c>
    </row>
    <row r="29" spans="1:20" ht="13.25" customHeight="1">
      <c r="A29" s="83"/>
      <c r="B29" s="23" t="s">
        <v>47</v>
      </c>
      <c r="C29" s="222">
        <v>3881</v>
      </c>
      <c r="D29" s="222">
        <v>3881</v>
      </c>
      <c r="E29" s="93">
        <v>3724</v>
      </c>
      <c r="F29" s="93">
        <v>6305</v>
      </c>
      <c r="G29" s="93">
        <v>6630</v>
      </c>
      <c r="H29" s="93">
        <v>7199</v>
      </c>
      <c r="I29" s="93">
        <v>8199</v>
      </c>
      <c r="J29" s="93">
        <v>7985</v>
      </c>
      <c r="K29" s="93">
        <v>9745</v>
      </c>
      <c r="L29" s="93">
        <v>9310</v>
      </c>
      <c r="M29" s="808">
        <v>11610</v>
      </c>
      <c r="N29" s="808">
        <v>12191</v>
      </c>
      <c r="O29" s="808">
        <v>12800</v>
      </c>
      <c r="P29" s="808">
        <v>11970</v>
      </c>
      <c r="Q29" s="808">
        <v>11303</v>
      </c>
      <c r="R29" s="808">
        <v>11309</v>
      </c>
      <c r="S29" s="808">
        <v>10791</v>
      </c>
      <c r="T29" s="808">
        <v>11112</v>
      </c>
    </row>
    <row r="30" spans="1:20" ht="13.25" customHeight="1">
      <c r="A30" s="83"/>
      <c r="B30" s="23" t="s">
        <v>48</v>
      </c>
      <c r="C30" s="222">
        <v>14280</v>
      </c>
      <c r="D30" s="222">
        <v>11600</v>
      </c>
      <c r="E30" s="93">
        <v>14319</v>
      </c>
      <c r="F30" s="93">
        <v>12005</v>
      </c>
      <c r="G30" s="93">
        <v>12500</v>
      </c>
      <c r="H30" s="93">
        <v>12941</v>
      </c>
      <c r="I30" s="93">
        <v>12920</v>
      </c>
      <c r="J30" s="93">
        <v>11980</v>
      </c>
      <c r="K30" s="93">
        <v>11580</v>
      </c>
      <c r="L30" s="93">
        <v>10847</v>
      </c>
      <c r="M30" s="808">
        <v>9187</v>
      </c>
      <c r="N30" s="808">
        <v>9646</v>
      </c>
      <c r="O30" s="808">
        <v>10129</v>
      </c>
      <c r="P30" s="808">
        <v>9970</v>
      </c>
      <c r="Q30" s="808">
        <v>9561</v>
      </c>
      <c r="R30" s="808">
        <v>8561</v>
      </c>
      <c r="S30" s="808">
        <v>8439</v>
      </c>
      <c r="T30" s="808">
        <v>8531</v>
      </c>
    </row>
    <row r="31" spans="1:20" ht="13.25" customHeight="1" thickBot="1">
      <c r="A31" s="88"/>
      <c r="B31" s="577" t="s">
        <v>49</v>
      </c>
      <c r="C31" s="581">
        <v>6112</v>
      </c>
      <c r="D31" s="581">
        <v>5901</v>
      </c>
      <c r="E31" s="809">
        <v>6245</v>
      </c>
      <c r="F31" s="809">
        <v>6585</v>
      </c>
      <c r="G31" s="809">
        <v>7067</v>
      </c>
      <c r="H31" s="809">
        <v>7231</v>
      </c>
      <c r="I31" s="809">
        <v>7750</v>
      </c>
      <c r="J31" s="809">
        <v>8490</v>
      </c>
      <c r="K31" s="809">
        <v>8765</v>
      </c>
      <c r="L31" s="809">
        <v>8742</v>
      </c>
      <c r="M31" s="810">
        <v>8670</v>
      </c>
      <c r="N31" s="810">
        <v>9104</v>
      </c>
      <c r="O31" s="810">
        <v>9559</v>
      </c>
      <c r="P31" s="810">
        <v>8430</v>
      </c>
      <c r="Q31" s="810">
        <v>8287</v>
      </c>
      <c r="R31" s="810">
        <v>5287</v>
      </c>
      <c r="S31" s="810">
        <v>4669</v>
      </c>
      <c r="T31" s="810">
        <v>5148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Q35" s="84"/>
      <c r="R35" s="84"/>
      <c r="S35" s="84"/>
      <c r="T35" s="84"/>
    </row>
    <row r="36" spans="1:20" ht="13.25" customHeight="1">
      <c r="Q36" s="84"/>
      <c r="R36" s="84"/>
      <c r="S36" s="84"/>
      <c r="T36" s="84"/>
    </row>
    <row r="37" spans="1:20" ht="13.25" customHeight="1">
      <c r="Q37" s="84"/>
      <c r="R37" s="84"/>
      <c r="S37" s="84"/>
      <c r="T37" s="84"/>
    </row>
    <row r="38" spans="1:20" ht="13.25" customHeight="1">
      <c r="Q38" s="84"/>
      <c r="R38" s="84"/>
      <c r="S38" s="84"/>
    </row>
    <row r="39" spans="1:20" ht="13.25" customHeight="1">
      <c r="Q39" s="84"/>
      <c r="R39" s="84"/>
      <c r="S39" s="84"/>
    </row>
    <row r="40" spans="1:20" ht="13.25" customHeight="1">
      <c r="Q40" s="84"/>
      <c r="R40" s="84"/>
      <c r="S40" s="84"/>
    </row>
    <row r="41" spans="1:20" ht="13.25" customHeight="1">
      <c r="Q41" s="84"/>
      <c r="R41" s="84"/>
      <c r="S41" s="84"/>
    </row>
    <row r="42" spans="1:20" ht="13.25" customHeight="1">
      <c r="Q42" s="84"/>
      <c r="R42" s="84"/>
      <c r="S42" s="84"/>
    </row>
    <row r="43" spans="1:20" ht="13.25" customHeight="1">
      <c r="Q43" s="84"/>
      <c r="R43" s="84"/>
      <c r="S43" s="84"/>
    </row>
    <row r="44" spans="1:20" ht="13.25" customHeight="1">
      <c r="R44" s="84"/>
      <c r="S44" s="84"/>
    </row>
    <row r="45" spans="1:20" ht="13.25" customHeight="1">
      <c r="R45" s="84"/>
      <c r="S45" s="84"/>
    </row>
    <row r="46" spans="1:20" ht="13.25" customHeight="1">
      <c r="R46" s="84"/>
      <c r="S46" s="84"/>
    </row>
    <row r="47" spans="1:20" ht="13.25" customHeight="1">
      <c r="R47" s="84"/>
      <c r="S47" s="84"/>
    </row>
    <row r="48" spans="1:20" ht="13.25" customHeight="1">
      <c r="R48" s="84"/>
      <c r="S48" s="84"/>
    </row>
    <row r="49" spans="18:19" ht="13.25" customHeight="1">
      <c r="R49" s="84"/>
      <c r="S49" s="84"/>
    </row>
    <row r="50" spans="18:19" ht="13.25" customHeight="1">
      <c r="R50" s="84"/>
      <c r="S50" s="84"/>
    </row>
    <row r="51" spans="18:19" ht="13.25" customHeight="1">
      <c r="R51" s="84"/>
      <c r="S51" s="84"/>
    </row>
    <row r="52" spans="18:19" ht="13.25" customHeight="1">
      <c r="R52" s="84"/>
      <c r="S52" s="84"/>
    </row>
    <row r="53" spans="18:19" ht="13.25" customHeight="1">
      <c r="R53" s="84"/>
      <c r="S53" s="84"/>
    </row>
    <row r="54" spans="18:19" ht="13.25" customHeight="1">
      <c r="R54" s="84"/>
      <c r="S54" s="84"/>
    </row>
    <row r="55" spans="18:19" ht="13.25" customHeight="1">
      <c r="R55" s="84"/>
      <c r="S55" s="84"/>
    </row>
    <row r="56" spans="18:19" ht="13.25" customHeight="1">
      <c r="R56" s="84"/>
      <c r="S56" s="84"/>
    </row>
    <row r="57" spans="18:19" ht="13.25" customHeight="1">
      <c r="R57" s="84"/>
      <c r="S57" s="84"/>
    </row>
    <row r="58" spans="18:19" ht="13.25" customHeight="1">
      <c r="R58" s="84"/>
      <c r="S58" s="84"/>
    </row>
    <row r="59" spans="18:19" ht="13.25" customHeight="1">
      <c r="R59" s="84"/>
      <c r="S59" s="84"/>
    </row>
    <row r="60" spans="18:19" ht="13.25" customHeight="1">
      <c r="R60" s="84"/>
      <c r="S60" s="84"/>
    </row>
    <row r="61" spans="18:19" ht="13.25" customHeight="1">
      <c r="R61" s="84"/>
      <c r="S61" s="84"/>
    </row>
    <row r="62" spans="18:19" ht="13.25" customHeight="1">
      <c r="R62" s="84"/>
      <c r="S62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7">
    <tabColor theme="9" tint="0.59999389629810485"/>
  </sheetPr>
  <dimension ref="A2:U35"/>
  <sheetViews>
    <sheetView showGridLines="0" topLeftCell="B1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1" width="7.796875" style="82" customWidth="1"/>
    <col min="22" max="16384" width="7" style="82"/>
  </cols>
  <sheetData>
    <row r="2" spans="1:21" ht="13.25" customHeight="1">
      <c r="A2" s="230" t="s">
        <v>500</v>
      </c>
      <c r="B2" s="231"/>
    </row>
    <row r="3" spans="1:21" ht="13.25" customHeight="1">
      <c r="A3" s="232" t="s">
        <v>238</v>
      </c>
      <c r="B3" s="232"/>
    </row>
    <row r="4" spans="1:21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1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1" ht="15" customHeight="1">
      <c r="A6" s="963" t="s">
        <v>96</v>
      </c>
      <c r="B6" s="963"/>
      <c r="C6" s="574">
        <f t="shared" ref="C6:N6" si="0">(C8+C9+C10+C11+C12+C13+C14+C15+C16+C17+C18+C19+C20+C21+C22+C23+C24+C25+C26+C27+C28+C29+C30+C31)</f>
        <v>2685627</v>
      </c>
      <c r="D6" s="574">
        <f t="shared" si="0"/>
        <v>2692776</v>
      </c>
      <c r="E6" s="806">
        <f t="shared" si="0"/>
        <v>2681208</v>
      </c>
      <c r="F6" s="806">
        <f t="shared" si="0"/>
        <v>2678241</v>
      </c>
      <c r="G6" s="806">
        <f t="shared" si="0"/>
        <v>2753681</v>
      </c>
      <c r="H6" s="806">
        <f t="shared" si="0"/>
        <v>2788507</v>
      </c>
      <c r="I6" s="806">
        <f t="shared" si="0"/>
        <v>2844229</v>
      </c>
      <c r="J6" s="806">
        <f t="shared" si="0"/>
        <v>2910166</v>
      </c>
      <c r="K6" s="806">
        <f t="shared" si="0"/>
        <v>2832371</v>
      </c>
      <c r="L6" s="806">
        <f t="shared" si="0"/>
        <v>2788554</v>
      </c>
      <c r="M6" s="806">
        <f t="shared" si="0"/>
        <v>2698887</v>
      </c>
      <c r="N6" s="806">
        <f t="shared" si="0"/>
        <v>2745951</v>
      </c>
      <c r="O6" s="806">
        <f t="shared" ref="O6:T6" si="1">(O8+O9+O10+O11+O12+O13+O14+O15+O16+O17+O18+O19+O20+O21+O22+O23+O24+O25+O26+O27+O28+O29+O30+O31)</f>
        <v>2699282</v>
      </c>
      <c r="P6" s="806">
        <f t="shared" si="1"/>
        <v>2687624</v>
      </c>
      <c r="Q6" s="806">
        <f t="shared" si="1"/>
        <v>2682837</v>
      </c>
      <c r="R6" s="806">
        <f t="shared" si="1"/>
        <v>2544650.65</v>
      </c>
      <c r="S6" s="806">
        <f t="shared" si="1"/>
        <v>2576571.6</v>
      </c>
      <c r="T6" s="806">
        <f t="shared" si="1"/>
        <v>2592724.5999999996</v>
      </c>
    </row>
    <row r="7" spans="1:21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1" ht="13.25" customHeight="1">
      <c r="A8" s="83"/>
      <c r="B8" s="23" t="s">
        <v>21</v>
      </c>
      <c r="C8" s="222">
        <v>2703</v>
      </c>
      <c r="D8" s="222">
        <v>3076</v>
      </c>
      <c r="E8" s="93">
        <v>3433</v>
      </c>
      <c r="F8" s="93">
        <v>4421</v>
      </c>
      <c r="G8" s="93">
        <v>6291</v>
      </c>
      <c r="H8" s="93">
        <v>6996</v>
      </c>
      <c r="I8" s="93">
        <v>7361</v>
      </c>
      <c r="J8" s="93">
        <v>7432</v>
      </c>
      <c r="K8" s="93">
        <v>7725</v>
      </c>
      <c r="L8" s="93">
        <v>8875</v>
      </c>
      <c r="M8" s="808">
        <v>7991</v>
      </c>
      <c r="N8" s="808">
        <v>1879</v>
      </c>
      <c r="O8" s="808">
        <v>3096</v>
      </c>
      <c r="P8" s="808">
        <v>2975</v>
      </c>
      <c r="Q8" s="808">
        <v>2941</v>
      </c>
      <c r="R8" s="808">
        <v>2585</v>
      </c>
      <c r="S8" s="808">
        <v>2324</v>
      </c>
      <c r="T8" s="808">
        <v>2156</v>
      </c>
    </row>
    <row r="9" spans="1:21" ht="13.25" customHeight="1">
      <c r="A9" s="83"/>
      <c r="B9" s="23" t="s">
        <v>22</v>
      </c>
      <c r="C9" s="222">
        <v>52122</v>
      </c>
      <c r="D9" s="222">
        <v>43913</v>
      </c>
      <c r="E9" s="93">
        <v>44550</v>
      </c>
      <c r="F9" s="93">
        <v>46959</v>
      </c>
      <c r="G9" s="93">
        <v>54726</v>
      </c>
      <c r="H9" s="93">
        <v>65733</v>
      </c>
      <c r="I9" s="93">
        <v>79684</v>
      </c>
      <c r="J9" s="93">
        <v>95356</v>
      </c>
      <c r="K9" s="93">
        <v>72692</v>
      </c>
      <c r="L9" s="93">
        <v>72390</v>
      </c>
      <c r="M9" s="808">
        <v>85817</v>
      </c>
      <c r="N9" s="808">
        <v>99029</v>
      </c>
      <c r="O9" s="808">
        <v>115853</v>
      </c>
      <c r="P9" s="808">
        <v>129317</v>
      </c>
      <c r="Q9" s="808">
        <v>120555</v>
      </c>
      <c r="R9" s="808">
        <v>115546.3</v>
      </c>
      <c r="S9" s="808">
        <v>110536.1</v>
      </c>
      <c r="T9" s="808">
        <v>112641.2</v>
      </c>
      <c r="U9" s="90"/>
    </row>
    <row r="10" spans="1:21" ht="13.25" customHeight="1">
      <c r="A10" s="83"/>
      <c r="B10" s="23" t="s">
        <v>23</v>
      </c>
      <c r="C10" s="222">
        <v>26905</v>
      </c>
      <c r="D10" s="222">
        <v>29137</v>
      </c>
      <c r="E10" s="93">
        <v>31065</v>
      </c>
      <c r="F10" s="93">
        <v>25846</v>
      </c>
      <c r="G10" s="93">
        <v>35149</v>
      </c>
      <c r="H10" s="93">
        <v>32645</v>
      </c>
      <c r="I10" s="93">
        <v>36796</v>
      </c>
      <c r="J10" s="93">
        <v>35311</v>
      </c>
      <c r="K10" s="93">
        <v>35422</v>
      </c>
      <c r="L10" s="93">
        <v>35542</v>
      </c>
      <c r="M10" s="93">
        <v>35260</v>
      </c>
      <c r="N10" s="93">
        <v>32775</v>
      </c>
      <c r="O10" s="93">
        <v>28880</v>
      </c>
      <c r="P10" s="93">
        <v>30784</v>
      </c>
      <c r="Q10" s="93">
        <v>31831</v>
      </c>
      <c r="R10" s="93">
        <v>29877.520000000004</v>
      </c>
      <c r="S10" s="93">
        <v>27955.200000000001</v>
      </c>
      <c r="T10" s="93">
        <v>26248</v>
      </c>
      <c r="U10" s="90"/>
    </row>
    <row r="11" spans="1:21" ht="13.25" customHeight="1">
      <c r="A11" s="83"/>
      <c r="B11" s="23" t="s">
        <v>24</v>
      </c>
      <c r="C11" s="222">
        <v>137393</v>
      </c>
      <c r="D11" s="222">
        <v>141565</v>
      </c>
      <c r="E11" s="93">
        <v>152225</v>
      </c>
      <c r="F11" s="93">
        <v>154640</v>
      </c>
      <c r="G11" s="93">
        <v>158275</v>
      </c>
      <c r="H11" s="93">
        <v>161162</v>
      </c>
      <c r="I11" s="93">
        <v>162672</v>
      </c>
      <c r="J11" s="93">
        <v>162879</v>
      </c>
      <c r="K11" s="93">
        <v>170126</v>
      </c>
      <c r="L11" s="93">
        <v>176679</v>
      </c>
      <c r="M11" s="808">
        <v>181041</v>
      </c>
      <c r="N11" s="808">
        <v>183692</v>
      </c>
      <c r="O11" s="808">
        <v>184042</v>
      </c>
      <c r="P11" s="808">
        <v>185193</v>
      </c>
      <c r="Q11" s="808">
        <v>188941</v>
      </c>
      <c r="R11" s="808">
        <v>192047</v>
      </c>
      <c r="S11" s="808">
        <v>196709</v>
      </c>
      <c r="T11" s="808">
        <v>210806</v>
      </c>
      <c r="U11" s="90"/>
    </row>
    <row r="12" spans="1:21" ht="13.25" customHeight="1">
      <c r="A12" s="83"/>
      <c r="B12" s="23" t="s">
        <v>25</v>
      </c>
      <c r="C12" s="222">
        <v>108972</v>
      </c>
      <c r="D12" s="222">
        <v>113573</v>
      </c>
      <c r="E12" s="93">
        <v>121021</v>
      </c>
      <c r="F12" s="93">
        <v>112691</v>
      </c>
      <c r="G12" s="93">
        <v>117786</v>
      </c>
      <c r="H12" s="93">
        <v>125077</v>
      </c>
      <c r="I12" s="93">
        <v>124019</v>
      </c>
      <c r="J12" s="93">
        <v>119968</v>
      </c>
      <c r="K12" s="93">
        <v>135140</v>
      </c>
      <c r="L12" s="93">
        <v>135958</v>
      </c>
      <c r="M12" s="808">
        <v>125572</v>
      </c>
      <c r="N12" s="808">
        <v>114756</v>
      </c>
      <c r="O12" s="808">
        <v>102957</v>
      </c>
      <c r="P12" s="808">
        <v>100940</v>
      </c>
      <c r="Q12" s="808">
        <v>99840</v>
      </c>
      <c r="R12" s="808">
        <v>79719</v>
      </c>
      <c r="S12" s="808">
        <v>83113.3</v>
      </c>
      <c r="T12" s="808">
        <v>84819</v>
      </c>
      <c r="U12" s="90"/>
    </row>
    <row r="13" spans="1:21" ht="13.25" customHeight="1">
      <c r="A13" s="83"/>
      <c r="B13" s="23" t="s">
        <v>29</v>
      </c>
      <c r="C13" s="222">
        <v>5246</v>
      </c>
      <c r="D13" s="222">
        <v>5085</v>
      </c>
      <c r="E13" s="93">
        <v>4657</v>
      </c>
      <c r="F13" s="93">
        <v>4766</v>
      </c>
      <c r="G13" s="93">
        <v>5695</v>
      </c>
      <c r="H13" s="93">
        <v>6359</v>
      </c>
      <c r="I13" s="93">
        <v>5956</v>
      </c>
      <c r="J13" s="93">
        <v>5867</v>
      </c>
      <c r="K13" s="93">
        <v>5781</v>
      </c>
      <c r="L13" s="93">
        <v>5379</v>
      </c>
      <c r="M13" s="93">
        <v>4964</v>
      </c>
      <c r="N13" s="93">
        <v>3787</v>
      </c>
      <c r="O13" s="93">
        <v>3305</v>
      </c>
      <c r="P13" s="93">
        <v>3378</v>
      </c>
      <c r="Q13" s="93">
        <v>3532</v>
      </c>
      <c r="R13" s="93">
        <v>2948</v>
      </c>
      <c r="S13" s="93">
        <v>3190</v>
      </c>
      <c r="T13" s="93">
        <v>3395</v>
      </c>
      <c r="U13" s="90"/>
    </row>
    <row r="14" spans="1:21" ht="13.25" customHeight="1">
      <c r="A14" s="83"/>
      <c r="B14" s="23" t="s">
        <v>30</v>
      </c>
      <c r="C14" s="222">
        <v>90154</v>
      </c>
      <c r="D14" s="222">
        <v>94659</v>
      </c>
      <c r="E14" s="93">
        <v>94586</v>
      </c>
      <c r="F14" s="93">
        <v>100636</v>
      </c>
      <c r="G14" s="93">
        <v>110962</v>
      </c>
      <c r="H14" s="93">
        <v>111240</v>
      </c>
      <c r="I14" s="93">
        <v>114956</v>
      </c>
      <c r="J14" s="93">
        <v>116068</v>
      </c>
      <c r="K14" s="93">
        <v>118809</v>
      </c>
      <c r="L14" s="93">
        <v>119287</v>
      </c>
      <c r="M14" s="808">
        <v>123464</v>
      </c>
      <c r="N14" s="808">
        <v>131065</v>
      </c>
      <c r="O14" s="808">
        <v>132419</v>
      </c>
      <c r="P14" s="808">
        <v>132674</v>
      </c>
      <c r="Q14" s="808">
        <v>132633</v>
      </c>
      <c r="R14" s="808">
        <v>132083</v>
      </c>
      <c r="S14" s="808">
        <v>131663</v>
      </c>
      <c r="T14" s="808">
        <v>132582</v>
      </c>
      <c r="U14" s="90"/>
    </row>
    <row r="15" spans="1:21" ht="13.25" customHeight="1">
      <c r="A15" s="83"/>
      <c r="B15" s="23" t="s">
        <v>31</v>
      </c>
      <c r="C15" s="222">
        <v>87092</v>
      </c>
      <c r="D15" s="222">
        <v>95279</v>
      </c>
      <c r="E15" s="93">
        <v>94118</v>
      </c>
      <c r="F15" s="93">
        <v>94240</v>
      </c>
      <c r="G15" s="93">
        <v>97188</v>
      </c>
      <c r="H15" s="93">
        <v>101604</v>
      </c>
      <c r="I15" s="93">
        <v>101333</v>
      </c>
      <c r="J15" s="93">
        <v>105155</v>
      </c>
      <c r="K15" s="93">
        <v>103765</v>
      </c>
      <c r="L15" s="93">
        <v>104922</v>
      </c>
      <c r="M15" s="808">
        <v>90814</v>
      </c>
      <c r="N15" s="808">
        <v>85474</v>
      </c>
      <c r="O15" s="808">
        <v>80867</v>
      </c>
      <c r="P15" s="808">
        <v>67076</v>
      </c>
      <c r="Q15" s="808">
        <v>64093</v>
      </c>
      <c r="R15" s="808">
        <v>57495</v>
      </c>
      <c r="S15" s="808">
        <v>57729</v>
      </c>
      <c r="T15" s="808">
        <v>54211</v>
      </c>
      <c r="U15" s="90"/>
    </row>
    <row r="16" spans="1:21" ht="13.25" customHeight="1">
      <c r="A16" s="83"/>
      <c r="B16" s="23" t="s">
        <v>32</v>
      </c>
      <c r="C16" s="222">
        <v>5864</v>
      </c>
      <c r="D16" s="222">
        <v>6126</v>
      </c>
      <c r="E16" s="93">
        <v>6424</v>
      </c>
      <c r="F16" s="93">
        <v>6911</v>
      </c>
      <c r="G16" s="93">
        <v>7141</v>
      </c>
      <c r="H16" s="93">
        <v>7031</v>
      </c>
      <c r="I16" s="93">
        <v>7376</v>
      </c>
      <c r="J16" s="93">
        <v>6206</v>
      </c>
      <c r="K16" s="93">
        <v>6540</v>
      </c>
      <c r="L16" s="93">
        <v>8272</v>
      </c>
      <c r="M16" s="93">
        <v>7686</v>
      </c>
      <c r="N16" s="93">
        <v>6486</v>
      </c>
      <c r="O16" s="93">
        <v>5024</v>
      </c>
      <c r="P16" s="93">
        <v>5913</v>
      </c>
      <c r="Q16" s="93">
        <v>9044</v>
      </c>
      <c r="R16" s="93">
        <v>10985</v>
      </c>
      <c r="S16" s="93">
        <v>13489</v>
      </c>
      <c r="T16" s="93">
        <v>13345</v>
      </c>
      <c r="U16" s="90"/>
    </row>
    <row r="17" spans="1:21" ht="13.25" customHeight="1">
      <c r="A17" s="83"/>
      <c r="B17" s="23" t="s">
        <v>33</v>
      </c>
      <c r="C17" s="222">
        <v>194639</v>
      </c>
      <c r="D17" s="222">
        <v>179809</v>
      </c>
      <c r="E17" s="93">
        <v>162884</v>
      </c>
      <c r="F17" s="93">
        <v>159205</v>
      </c>
      <c r="G17" s="93">
        <v>160629</v>
      </c>
      <c r="H17" s="93">
        <v>158801</v>
      </c>
      <c r="I17" s="93">
        <v>152512</v>
      </c>
      <c r="J17" s="93">
        <v>151092</v>
      </c>
      <c r="K17" s="93">
        <v>152415</v>
      </c>
      <c r="L17" s="93">
        <v>148519</v>
      </c>
      <c r="M17" s="808">
        <v>156605</v>
      </c>
      <c r="N17" s="808">
        <v>160596</v>
      </c>
      <c r="O17" s="808">
        <v>163418</v>
      </c>
      <c r="P17" s="808">
        <v>165231</v>
      </c>
      <c r="Q17" s="808">
        <v>157449</v>
      </c>
      <c r="R17" s="808">
        <v>154904</v>
      </c>
      <c r="S17" s="808">
        <v>154407</v>
      </c>
      <c r="T17" s="808">
        <v>158066</v>
      </c>
      <c r="U17" s="90"/>
    </row>
    <row r="18" spans="1:21" ht="13.25" customHeight="1">
      <c r="A18" s="83"/>
      <c r="B18" s="23" t="s">
        <v>34</v>
      </c>
      <c r="C18" s="222">
        <v>135889</v>
      </c>
      <c r="D18" s="222">
        <v>136366</v>
      </c>
      <c r="E18" s="93">
        <v>150422</v>
      </c>
      <c r="F18" s="93">
        <v>177084</v>
      </c>
      <c r="G18" s="93">
        <v>170768</v>
      </c>
      <c r="H18" s="93">
        <v>157791</v>
      </c>
      <c r="I18" s="93">
        <v>165574</v>
      </c>
      <c r="J18" s="93">
        <v>149715</v>
      </c>
      <c r="K18" s="93">
        <v>150456</v>
      </c>
      <c r="L18" s="93">
        <v>125549</v>
      </c>
      <c r="M18" s="808">
        <v>117367</v>
      </c>
      <c r="N18" s="808">
        <v>97275</v>
      </c>
      <c r="O18" s="808">
        <v>99700</v>
      </c>
      <c r="P18" s="808">
        <v>104294</v>
      </c>
      <c r="Q18" s="808">
        <v>107119</v>
      </c>
      <c r="R18" s="808">
        <v>108235</v>
      </c>
      <c r="S18" s="808">
        <v>110795</v>
      </c>
      <c r="T18" s="808">
        <v>112599</v>
      </c>
      <c r="U18" s="90"/>
    </row>
    <row r="19" spans="1:21" ht="13.25" customHeight="1">
      <c r="A19" s="83"/>
      <c r="B19" s="23" t="s">
        <v>35</v>
      </c>
      <c r="C19" s="222">
        <v>210220</v>
      </c>
      <c r="D19" s="222">
        <v>204520</v>
      </c>
      <c r="E19" s="93">
        <v>207310</v>
      </c>
      <c r="F19" s="93">
        <v>177719</v>
      </c>
      <c r="G19" s="93">
        <v>188486</v>
      </c>
      <c r="H19" s="93">
        <v>197568</v>
      </c>
      <c r="I19" s="93">
        <v>207597</v>
      </c>
      <c r="J19" s="93">
        <v>216734</v>
      </c>
      <c r="K19" s="93">
        <v>232178</v>
      </c>
      <c r="L19" s="93">
        <v>242652</v>
      </c>
      <c r="M19" s="808">
        <v>274679</v>
      </c>
      <c r="N19" s="808">
        <v>281037</v>
      </c>
      <c r="O19" s="808">
        <v>304545</v>
      </c>
      <c r="P19" s="808">
        <v>314170</v>
      </c>
      <c r="Q19" s="808">
        <v>303867</v>
      </c>
      <c r="R19" s="808">
        <v>265903</v>
      </c>
      <c r="S19" s="808">
        <v>288554</v>
      </c>
      <c r="T19" s="808">
        <v>300729</v>
      </c>
      <c r="U19" s="90"/>
    </row>
    <row r="20" spans="1:21" ht="13.25" customHeight="1">
      <c r="A20" s="83"/>
      <c r="B20" s="23" t="s">
        <v>36</v>
      </c>
      <c r="C20" s="222">
        <v>145361</v>
      </c>
      <c r="D20" s="222">
        <v>131576</v>
      </c>
      <c r="E20" s="93">
        <v>134375</v>
      </c>
      <c r="F20" s="93">
        <v>117133</v>
      </c>
      <c r="G20" s="93">
        <v>121865</v>
      </c>
      <c r="H20" s="93">
        <v>119367</v>
      </c>
      <c r="I20" s="93">
        <v>123465</v>
      </c>
      <c r="J20" s="93">
        <v>136625</v>
      </c>
      <c r="K20" s="93">
        <v>133883</v>
      </c>
      <c r="L20" s="93">
        <v>139099</v>
      </c>
      <c r="M20" s="808">
        <v>133377</v>
      </c>
      <c r="N20" s="808">
        <v>129345</v>
      </c>
      <c r="O20" s="808">
        <v>126716</v>
      </c>
      <c r="P20" s="808">
        <v>112783</v>
      </c>
      <c r="Q20" s="808">
        <v>110863</v>
      </c>
      <c r="R20" s="808">
        <v>100704.45</v>
      </c>
      <c r="S20" s="808">
        <v>99893.2</v>
      </c>
      <c r="T20" s="808">
        <v>104760</v>
      </c>
      <c r="U20" s="90"/>
    </row>
    <row r="21" spans="1:21" ht="13.25" customHeight="1">
      <c r="A21" s="83"/>
      <c r="B21" s="23" t="s">
        <v>37</v>
      </c>
      <c r="C21" s="222">
        <v>98628</v>
      </c>
      <c r="D21" s="222">
        <v>98657</v>
      </c>
      <c r="E21" s="93">
        <v>87288</v>
      </c>
      <c r="F21" s="93">
        <v>87998</v>
      </c>
      <c r="G21" s="93">
        <v>84121</v>
      </c>
      <c r="H21" s="93">
        <v>70784</v>
      </c>
      <c r="I21" s="93">
        <v>69378</v>
      </c>
      <c r="J21" s="93">
        <v>94165</v>
      </c>
      <c r="K21" s="93">
        <v>132076</v>
      </c>
      <c r="L21" s="93">
        <v>134098</v>
      </c>
      <c r="M21" s="808">
        <v>134336</v>
      </c>
      <c r="N21" s="808">
        <v>179619</v>
      </c>
      <c r="O21" s="808">
        <v>136584</v>
      </c>
      <c r="P21" s="808">
        <v>141922</v>
      </c>
      <c r="Q21" s="808">
        <v>146807</v>
      </c>
      <c r="R21" s="808">
        <v>141481</v>
      </c>
      <c r="S21" s="808">
        <v>140569</v>
      </c>
      <c r="T21" s="808">
        <v>136204</v>
      </c>
      <c r="U21" s="90"/>
    </row>
    <row r="22" spans="1:21" ht="13.25" customHeight="1">
      <c r="A22" s="83"/>
      <c r="B22" s="23" t="s">
        <v>38</v>
      </c>
      <c r="C22" s="222">
        <v>5129</v>
      </c>
      <c r="D22" s="222">
        <v>5205</v>
      </c>
      <c r="E22" s="93">
        <v>5495</v>
      </c>
      <c r="F22" s="93">
        <v>4936</v>
      </c>
      <c r="G22" s="93">
        <v>5692</v>
      </c>
      <c r="H22" s="93">
        <v>5872</v>
      </c>
      <c r="I22" s="93">
        <v>5718</v>
      </c>
      <c r="J22" s="93">
        <v>4999</v>
      </c>
      <c r="K22" s="93">
        <v>5308</v>
      </c>
      <c r="L22" s="93">
        <v>4587</v>
      </c>
      <c r="M22" s="808">
        <v>4454</v>
      </c>
      <c r="N22" s="808">
        <v>4386</v>
      </c>
      <c r="O22" s="808">
        <v>3991</v>
      </c>
      <c r="P22" s="808">
        <v>4148</v>
      </c>
      <c r="Q22" s="808">
        <v>4033</v>
      </c>
      <c r="R22" s="808">
        <v>3452</v>
      </c>
      <c r="S22" s="808">
        <v>3361</v>
      </c>
      <c r="T22" s="808">
        <v>3448</v>
      </c>
      <c r="U22" s="90"/>
    </row>
    <row r="23" spans="1:21" ht="13.25" customHeight="1">
      <c r="A23" s="83"/>
      <c r="B23" s="23" t="s">
        <v>39</v>
      </c>
      <c r="C23" s="222">
        <v>8911</v>
      </c>
      <c r="D23" s="222">
        <v>8412</v>
      </c>
      <c r="E23" s="93">
        <v>7677</v>
      </c>
      <c r="F23" s="93">
        <v>7798</v>
      </c>
      <c r="G23" s="93">
        <v>7963</v>
      </c>
      <c r="H23" s="93">
        <v>8137</v>
      </c>
      <c r="I23" s="93">
        <v>7986</v>
      </c>
      <c r="J23" s="93">
        <v>8584</v>
      </c>
      <c r="K23" s="93">
        <v>8141</v>
      </c>
      <c r="L23" s="93">
        <v>8469</v>
      </c>
      <c r="M23" s="808">
        <v>8092</v>
      </c>
      <c r="N23" s="808">
        <v>8197</v>
      </c>
      <c r="O23" s="808">
        <v>7851</v>
      </c>
      <c r="P23" s="808">
        <v>7828</v>
      </c>
      <c r="Q23" s="808">
        <v>8114</v>
      </c>
      <c r="R23" s="808">
        <v>8281</v>
      </c>
      <c r="S23" s="808">
        <v>8458</v>
      </c>
      <c r="T23" s="808">
        <v>8504</v>
      </c>
      <c r="U23" s="90"/>
    </row>
    <row r="24" spans="1:21" ht="13.25" customHeight="1">
      <c r="A24" s="83"/>
      <c r="B24" s="23" t="s">
        <v>40</v>
      </c>
      <c r="C24" s="222">
        <v>188080</v>
      </c>
      <c r="D24" s="222">
        <v>173675</v>
      </c>
      <c r="E24" s="93">
        <v>177252</v>
      </c>
      <c r="F24" s="93">
        <v>180217</v>
      </c>
      <c r="G24" s="93">
        <v>192488</v>
      </c>
      <c r="H24" s="93">
        <v>196061</v>
      </c>
      <c r="I24" s="93">
        <v>209488</v>
      </c>
      <c r="J24" s="93">
        <v>216569</v>
      </c>
      <c r="K24" s="93">
        <v>213668</v>
      </c>
      <c r="L24" s="93">
        <v>165224</v>
      </c>
      <c r="M24" s="808">
        <v>162365</v>
      </c>
      <c r="N24" s="808">
        <v>165740</v>
      </c>
      <c r="O24" s="808">
        <v>154484</v>
      </c>
      <c r="P24" s="808">
        <v>149330</v>
      </c>
      <c r="Q24" s="808">
        <v>166207</v>
      </c>
      <c r="R24" s="808">
        <v>136859</v>
      </c>
      <c r="S24" s="808">
        <v>146549</v>
      </c>
      <c r="T24" s="808">
        <v>141460</v>
      </c>
      <c r="U24" s="90"/>
    </row>
    <row r="25" spans="1:21" ht="13.25" customHeight="1">
      <c r="A25" s="83"/>
      <c r="B25" s="23" t="s">
        <v>41</v>
      </c>
      <c r="C25" s="222">
        <v>76818</v>
      </c>
      <c r="D25" s="222">
        <v>81657</v>
      </c>
      <c r="E25" s="93">
        <v>88108</v>
      </c>
      <c r="F25" s="93">
        <v>86666</v>
      </c>
      <c r="G25" s="93">
        <v>86954</v>
      </c>
      <c r="H25" s="93">
        <v>86284</v>
      </c>
      <c r="I25" s="93">
        <v>84609</v>
      </c>
      <c r="J25" s="93">
        <v>88170</v>
      </c>
      <c r="K25" s="93">
        <v>87761</v>
      </c>
      <c r="L25" s="93">
        <v>85926</v>
      </c>
      <c r="M25" s="808">
        <v>84222</v>
      </c>
      <c r="N25" s="808">
        <v>85706</v>
      </c>
      <c r="O25" s="808">
        <v>83655</v>
      </c>
      <c r="P25" s="808">
        <v>80659</v>
      </c>
      <c r="Q25" s="808">
        <v>79281</v>
      </c>
      <c r="R25" s="808">
        <v>78661.45</v>
      </c>
      <c r="S25" s="808">
        <v>76264.800000000003</v>
      </c>
      <c r="T25" s="808">
        <v>70337.399999999994</v>
      </c>
      <c r="U25" s="90"/>
    </row>
    <row r="26" spans="1:21" ht="13.25" customHeight="1">
      <c r="A26" s="83"/>
      <c r="B26" s="23" t="s">
        <v>44</v>
      </c>
      <c r="C26" s="222">
        <v>329611</v>
      </c>
      <c r="D26" s="222">
        <v>355771</v>
      </c>
      <c r="E26" s="93">
        <v>315599</v>
      </c>
      <c r="F26" s="93">
        <v>333291</v>
      </c>
      <c r="G26" s="93">
        <v>342856</v>
      </c>
      <c r="H26" s="93">
        <v>363183</v>
      </c>
      <c r="I26" s="93">
        <v>365174</v>
      </c>
      <c r="J26" s="93">
        <v>376490</v>
      </c>
      <c r="K26" s="93">
        <v>259599</v>
      </c>
      <c r="L26" s="93">
        <v>280553</v>
      </c>
      <c r="M26" s="808">
        <v>287369</v>
      </c>
      <c r="N26" s="808">
        <v>287657</v>
      </c>
      <c r="O26" s="808">
        <v>287451</v>
      </c>
      <c r="P26" s="808">
        <v>287811</v>
      </c>
      <c r="Q26" s="808">
        <v>302899</v>
      </c>
      <c r="R26" s="808">
        <v>295095</v>
      </c>
      <c r="S26" s="808">
        <v>302622</v>
      </c>
      <c r="T26" s="808">
        <v>304422</v>
      </c>
      <c r="U26" s="90"/>
    </row>
    <row r="27" spans="1:21" ht="13.25" customHeight="1">
      <c r="A27" s="83"/>
      <c r="B27" s="23" t="s">
        <v>45</v>
      </c>
      <c r="C27" s="222">
        <v>762880</v>
      </c>
      <c r="D27" s="222">
        <v>772630</v>
      </c>
      <c r="E27" s="93">
        <v>780630</v>
      </c>
      <c r="F27" s="93">
        <v>780710</v>
      </c>
      <c r="G27" s="93">
        <v>783080</v>
      </c>
      <c r="H27" s="93">
        <v>792590</v>
      </c>
      <c r="I27" s="93">
        <v>797255</v>
      </c>
      <c r="J27" s="93">
        <v>798940</v>
      </c>
      <c r="K27" s="93">
        <v>788380</v>
      </c>
      <c r="L27" s="93">
        <v>775528</v>
      </c>
      <c r="M27" s="808">
        <v>662963</v>
      </c>
      <c r="N27" s="808">
        <v>676872</v>
      </c>
      <c r="O27" s="808">
        <v>660964</v>
      </c>
      <c r="P27" s="808">
        <v>647020</v>
      </c>
      <c r="Q27" s="808">
        <v>629215</v>
      </c>
      <c r="R27" s="808">
        <v>614980</v>
      </c>
      <c r="S27" s="808">
        <v>607120</v>
      </c>
      <c r="T27" s="808">
        <v>600435</v>
      </c>
      <c r="U27" s="90"/>
    </row>
    <row r="28" spans="1:21" ht="13.25" customHeight="1">
      <c r="A28" s="83"/>
      <c r="B28" s="82" t="s">
        <v>46</v>
      </c>
      <c r="C28" s="222">
        <v>6945</v>
      </c>
      <c r="D28" s="222">
        <v>6551</v>
      </c>
      <c r="E28" s="93">
        <v>6058</v>
      </c>
      <c r="F28" s="93">
        <v>7288</v>
      </c>
      <c r="G28" s="93">
        <v>7899</v>
      </c>
      <c r="H28" s="93">
        <v>6847</v>
      </c>
      <c r="I28" s="93">
        <v>8312</v>
      </c>
      <c r="J28" s="93">
        <v>7387</v>
      </c>
      <c r="K28" s="93">
        <v>6065</v>
      </c>
      <c r="L28" s="93">
        <v>5153</v>
      </c>
      <c r="M28" s="808">
        <v>5127</v>
      </c>
      <c r="N28" s="808">
        <v>4985</v>
      </c>
      <c r="O28" s="808">
        <v>5439</v>
      </c>
      <c r="P28" s="808">
        <v>6120</v>
      </c>
      <c r="Q28" s="808">
        <v>6854</v>
      </c>
      <c r="R28" s="808">
        <v>6053.23</v>
      </c>
      <c r="S28" s="808">
        <v>5001</v>
      </c>
      <c r="T28" s="808">
        <v>5176</v>
      </c>
      <c r="U28" s="90"/>
    </row>
    <row r="29" spans="1:21" ht="13.25" customHeight="1">
      <c r="A29" s="83"/>
      <c r="B29" s="23" t="s">
        <v>47</v>
      </c>
      <c r="C29" s="222">
        <v>827</v>
      </c>
      <c r="D29" s="222">
        <v>814</v>
      </c>
      <c r="E29" s="93">
        <v>831</v>
      </c>
      <c r="F29" s="93">
        <v>957</v>
      </c>
      <c r="G29" s="93">
        <v>1286</v>
      </c>
      <c r="H29" s="93">
        <v>1501</v>
      </c>
      <c r="I29" s="93">
        <v>1758</v>
      </c>
      <c r="J29" s="93">
        <v>1929</v>
      </c>
      <c r="K29" s="93">
        <v>1982</v>
      </c>
      <c r="L29" s="93">
        <v>1992</v>
      </c>
      <c r="M29" s="808">
        <v>2056</v>
      </c>
      <c r="N29" s="808">
        <v>2130</v>
      </c>
      <c r="O29" s="808">
        <v>3115</v>
      </c>
      <c r="P29" s="808">
        <v>3361</v>
      </c>
      <c r="Q29" s="808">
        <v>2359</v>
      </c>
      <c r="R29" s="808">
        <v>2064</v>
      </c>
      <c r="S29" s="808">
        <v>2117</v>
      </c>
      <c r="T29" s="808">
        <v>2278</v>
      </c>
      <c r="U29" s="90"/>
    </row>
    <row r="30" spans="1:21" ht="13.25" customHeight="1">
      <c r="A30" s="83"/>
      <c r="B30" s="23" t="s">
        <v>48</v>
      </c>
      <c r="C30" s="222">
        <v>2907</v>
      </c>
      <c r="D30" s="222">
        <v>2661</v>
      </c>
      <c r="E30" s="93">
        <v>3054</v>
      </c>
      <c r="F30" s="93">
        <v>3262</v>
      </c>
      <c r="G30" s="93">
        <v>3384</v>
      </c>
      <c r="H30" s="93">
        <v>3035</v>
      </c>
      <c r="I30" s="93">
        <v>2262</v>
      </c>
      <c r="J30" s="93">
        <v>1813</v>
      </c>
      <c r="K30" s="93">
        <v>1540</v>
      </c>
      <c r="L30" s="93">
        <v>994</v>
      </c>
      <c r="M30" s="808">
        <v>748</v>
      </c>
      <c r="N30" s="808">
        <v>939</v>
      </c>
      <c r="O30" s="808">
        <v>2377</v>
      </c>
      <c r="P30" s="808">
        <v>2472</v>
      </c>
      <c r="Q30" s="808">
        <v>2288</v>
      </c>
      <c r="R30" s="808">
        <v>2648.7</v>
      </c>
      <c r="S30" s="808">
        <v>2476</v>
      </c>
      <c r="T30" s="808">
        <v>2493</v>
      </c>
      <c r="U30" s="90"/>
    </row>
    <row r="31" spans="1:21" ht="13.25" customHeight="1" thickBot="1">
      <c r="A31" s="88"/>
      <c r="B31" s="577" t="s">
        <v>49</v>
      </c>
      <c r="C31" s="581">
        <v>2331</v>
      </c>
      <c r="D31" s="581">
        <v>2059</v>
      </c>
      <c r="E31" s="809">
        <v>2146</v>
      </c>
      <c r="F31" s="809">
        <v>2867</v>
      </c>
      <c r="G31" s="809">
        <v>2997</v>
      </c>
      <c r="H31" s="809">
        <v>2839</v>
      </c>
      <c r="I31" s="809">
        <v>2988</v>
      </c>
      <c r="J31" s="809">
        <v>2712</v>
      </c>
      <c r="K31" s="809">
        <v>2919</v>
      </c>
      <c r="L31" s="809">
        <v>2907</v>
      </c>
      <c r="M31" s="810">
        <v>2518</v>
      </c>
      <c r="N31" s="810">
        <v>2524</v>
      </c>
      <c r="O31" s="810">
        <v>2549</v>
      </c>
      <c r="P31" s="810">
        <v>2225</v>
      </c>
      <c r="Q31" s="810">
        <v>2072</v>
      </c>
      <c r="R31" s="810">
        <v>2043</v>
      </c>
      <c r="S31" s="810">
        <v>1676</v>
      </c>
      <c r="T31" s="810">
        <v>1610</v>
      </c>
      <c r="U31" s="90"/>
    </row>
    <row r="32" spans="1:21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8">
    <tabColor theme="9" tint="0.59999389629810485"/>
  </sheetPr>
  <dimension ref="A2:X37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1" width="7.796875" style="82" customWidth="1"/>
    <col min="22" max="16384" width="7" style="82"/>
  </cols>
  <sheetData>
    <row r="2" spans="1:24" ht="13.25" customHeight="1">
      <c r="A2" s="230" t="s">
        <v>501</v>
      </c>
      <c r="B2" s="231"/>
    </row>
    <row r="3" spans="1:24" ht="13.25" customHeight="1">
      <c r="A3" s="232" t="s">
        <v>236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4" ht="15" customHeight="1">
      <c r="A6" s="963" t="s">
        <v>96</v>
      </c>
      <c r="B6" s="963"/>
      <c r="C6" s="574">
        <f t="shared" ref="C6:N6" si="0">(C8+C9+C10+C11+C12+C13+C14+C15+C16+C17+C18+C19+C20+C21+C22+C23+C24+C25+C26+C27+C28+C29+C30+C31)</f>
        <v>33686</v>
      </c>
      <c r="D6" s="574">
        <f t="shared" si="0"/>
        <v>33903</v>
      </c>
      <c r="E6" s="574">
        <f t="shared" si="0"/>
        <v>33839</v>
      </c>
      <c r="F6" s="574">
        <f t="shared" si="0"/>
        <v>33349</v>
      </c>
      <c r="G6" s="574">
        <f t="shared" si="0"/>
        <v>33457</v>
      </c>
      <c r="H6" s="574">
        <f t="shared" si="0"/>
        <v>33672</v>
      </c>
      <c r="I6" s="574">
        <f t="shared" si="0"/>
        <v>34253</v>
      </c>
      <c r="J6" s="574">
        <f t="shared" si="0"/>
        <v>35304</v>
      </c>
      <c r="K6" s="574">
        <f t="shared" si="0"/>
        <v>34904</v>
      </c>
      <c r="L6" s="574">
        <f t="shared" si="0"/>
        <v>34421</v>
      </c>
      <c r="M6" s="574">
        <f t="shared" si="0"/>
        <v>33165</v>
      </c>
      <c r="N6" s="574">
        <f t="shared" si="0"/>
        <v>33953</v>
      </c>
      <c r="O6" s="574">
        <f t="shared" ref="O6:T6" si="1">(O8+O9+O10+O11+O12+O13+O14+O15+O16+O17+O18+O19+O20+O21+O22+O23+O24+O25+O26+O27+O28+O29+O30+O31)</f>
        <v>33456</v>
      </c>
      <c r="P6" s="574">
        <f t="shared" si="1"/>
        <v>33673</v>
      </c>
      <c r="Q6" s="574">
        <f t="shared" si="1"/>
        <v>33782</v>
      </c>
      <c r="R6" s="574">
        <f t="shared" si="1"/>
        <v>32310.980000000003</v>
      </c>
      <c r="S6" s="574">
        <f t="shared" si="1"/>
        <v>33259.23000000001</v>
      </c>
      <c r="T6" s="574">
        <f t="shared" si="1"/>
        <v>33536.32</v>
      </c>
    </row>
    <row r="7" spans="1:24" ht="3" customHeight="1">
      <c r="A7" s="83"/>
      <c r="B7" s="84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2"/>
      <c r="P7" s="222"/>
      <c r="Q7" s="222"/>
      <c r="R7" s="222"/>
      <c r="S7" s="222"/>
      <c r="T7" s="222"/>
    </row>
    <row r="8" spans="1:24" ht="13.25" customHeight="1">
      <c r="A8" s="83"/>
      <c r="B8" s="23" t="s">
        <v>21</v>
      </c>
      <c r="C8" s="222">
        <v>37</v>
      </c>
      <c r="D8" s="222">
        <v>43</v>
      </c>
      <c r="E8" s="222">
        <v>49</v>
      </c>
      <c r="F8" s="222">
        <v>57</v>
      </c>
      <c r="G8" s="222">
        <v>79</v>
      </c>
      <c r="H8" s="222">
        <v>96</v>
      </c>
      <c r="I8" s="222">
        <v>101</v>
      </c>
      <c r="J8" s="222">
        <v>95</v>
      </c>
      <c r="K8" s="222">
        <v>98</v>
      </c>
      <c r="L8" s="222">
        <v>102</v>
      </c>
      <c r="M8" s="174">
        <v>96</v>
      </c>
      <c r="N8" s="174">
        <v>21</v>
      </c>
      <c r="O8" s="222">
        <v>37</v>
      </c>
      <c r="P8" s="222">
        <v>34</v>
      </c>
      <c r="Q8" s="222">
        <v>33</v>
      </c>
      <c r="R8" s="222">
        <v>29.79</v>
      </c>
      <c r="S8" s="222">
        <v>28.37</v>
      </c>
      <c r="T8" s="222">
        <v>27.47</v>
      </c>
      <c r="V8" s="930"/>
      <c r="W8" s="930"/>
      <c r="X8" s="930"/>
    </row>
    <row r="9" spans="1:24" ht="13.25" customHeight="1">
      <c r="A9" s="83"/>
      <c r="B9" s="23" t="s">
        <v>22</v>
      </c>
      <c r="C9" s="222">
        <v>717</v>
      </c>
      <c r="D9" s="222">
        <v>650</v>
      </c>
      <c r="E9" s="222">
        <v>641</v>
      </c>
      <c r="F9" s="222">
        <v>669</v>
      </c>
      <c r="G9" s="222">
        <v>716</v>
      </c>
      <c r="H9" s="222">
        <v>756</v>
      </c>
      <c r="I9" s="222">
        <v>900</v>
      </c>
      <c r="J9" s="222">
        <v>1309</v>
      </c>
      <c r="K9" s="222">
        <v>1257</v>
      </c>
      <c r="L9" s="222">
        <v>1092</v>
      </c>
      <c r="M9" s="174">
        <v>1222</v>
      </c>
      <c r="N9" s="174">
        <v>1205</v>
      </c>
      <c r="O9" s="222">
        <v>1360</v>
      </c>
      <c r="P9" s="222">
        <v>1478</v>
      </c>
      <c r="Q9" s="222">
        <v>1493</v>
      </c>
      <c r="R9" s="222">
        <v>1615.81</v>
      </c>
      <c r="S9" s="222">
        <v>1767.71</v>
      </c>
      <c r="T9" s="222">
        <v>1771.24</v>
      </c>
      <c r="U9" s="90"/>
      <c r="V9" s="930"/>
      <c r="W9" s="930"/>
      <c r="X9" s="930"/>
    </row>
    <row r="10" spans="1:24" ht="13.25" customHeight="1">
      <c r="A10" s="83"/>
      <c r="B10" s="23" t="s">
        <v>23</v>
      </c>
      <c r="C10" s="222">
        <v>390</v>
      </c>
      <c r="D10" s="222">
        <v>411</v>
      </c>
      <c r="E10" s="222">
        <v>464</v>
      </c>
      <c r="F10" s="222">
        <v>392</v>
      </c>
      <c r="G10" s="222">
        <v>439</v>
      </c>
      <c r="H10" s="222">
        <v>398</v>
      </c>
      <c r="I10" s="222">
        <v>454</v>
      </c>
      <c r="J10" s="222">
        <v>553</v>
      </c>
      <c r="K10" s="222">
        <v>583</v>
      </c>
      <c r="L10" s="222">
        <v>605</v>
      </c>
      <c r="M10" s="222">
        <v>577</v>
      </c>
      <c r="N10" s="222">
        <v>641</v>
      </c>
      <c r="O10" s="222">
        <v>539</v>
      </c>
      <c r="P10" s="222">
        <v>536</v>
      </c>
      <c r="Q10" s="222">
        <v>529</v>
      </c>
      <c r="R10" s="222">
        <v>476.24</v>
      </c>
      <c r="S10" s="222">
        <v>448.5</v>
      </c>
      <c r="T10" s="222">
        <v>428.85</v>
      </c>
      <c r="U10" s="90"/>
      <c r="V10" s="930"/>
      <c r="W10" s="930"/>
      <c r="X10" s="930"/>
    </row>
    <row r="11" spans="1:24" ht="13.25" customHeight="1">
      <c r="A11" s="83"/>
      <c r="B11" s="23" t="s">
        <v>24</v>
      </c>
      <c r="C11" s="222">
        <v>1793</v>
      </c>
      <c r="D11" s="222">
        <v>1846</v>
      </c>
      <c r="E11" s="222">
        <v>1994</v>
      </c>
      <c r="F11" s="222">
        <v>2023</v>
      </c>
      <c r="G11" s="222">
        <v>2075</v>
      </c>
      <c r="H11" s="222">
        <v>2111</v>
      </c>
      <c r="I11" s="222">
        <v>2132</v>
      </c>
      <c r="J11" s="222">
        <v>2135</v>
      </c>
      <c r="K11" s="222">
        <v>2231</v>
      </c>
      <c r="L11" s="222">
        <v>2316</v>
      </c>
      <c r="M11" s="174">
        <v>2370</v>
      </c>
      <c r="N11" s="174">
        <v>2406</v>
      </c>
      <c r="O11" s="222">
        <v>2422</v>
      </c>
      <c r="P11" s="222">
        <v>2453</v>
      </c>
      <c r="Q11" s="222">
        <v>2504</v>
      </c>
      <c r="R11" s="222">
        <v>2545.5300000000002</v>
      </c>
      <c r="S11" s="222">
        <v>2608.0300000000002</v>
      </c>
      <c r="T11" s="222">
        <v>2850.39</v>
      </c>
      <c r="U11" s="90"/>
      <c r="V11" s="930"/>
      <c r="W11" s="930"/>
      <c r="X11" s="930"/>
    </row>
    <row r="12" spans="1:24" ht="13.25" customHeight="1">
      <c r="A12" s="83"/>
      <c r="B12" s="23" t="s">
        <v>25</v>
      </c>
      <c r="C12" s="222">
        <v>1511</v>
      </c>
      <c r="D12" s="222">
        <v>1597</v>
      </c>
      <c r="E12" s="222">
        <v>1709</v>
      </c>
      <c r="F12" s="222">
        <v>1546</v>
      </c>
      <c r="G12" s="222">
        <v>1618</v>
      </c>
      <c r="H12" s="222">
        <v>1631</v>
      </c>
      <c r="I12" s="222">
        <v>1601</v>
      </c>
      <c r="J12" s="222">
        <v>1547</v>
      </c>
      <c r="K12" s="222">
        <v>1771</v>
      </c>
      <c r="L12" s="222">
        <v>1834</v>
      </c>
      <c r="M12" s="174">
        <v>1556</v>
      </c>
      <c r="N12" s="174">
        <v>1467</v>
      </c>
      <c r="O12" s="222">
        <v>1219</v>
      </c>
      <c r="P12" s="222">
        <v>1185</v>
      </c>
      <c r="Q12" s="222">
        <v>1211</v>
      </c>
      <c r="R12" s="222">
        <v>907.52</v>
      </c>
      <c r="S12" s="222">
        <v>953.62</v>
      </c>
      <c r="T12" s="222">
        <v>954.97</v>
      </c>
      <c r="U12" s="90"/>
      <c r="V12" s="930"/>
      <c r="W12" s="930"/>
      <c r="X12" s="930"/>
    </row>
    <row r="13" spans="1:24" ht="13.25" customHeight="1">
      <c r="A13" s="83"/>
      <c r="B13" s="23" t="s">
        <v>29</v>
      </c>
      <c r="C13" s="222">
        <v>69</v>
      </c>
      <c r="D13" s="222">
        <v>68</v>
      </c>
      <c r="E13" s="222">
        <v>60</v>
      </c>
      <c r="F13" s="222">
        <v>58</v>
      </c>
      <c r="G13" s="222">
        <v>72</v>
      </c>
      <c r="H13" s="222">
        <v>80</v>
      </c>
      <c r="I13" s="222">
        <v>78</v>
      </c>
      <c r="J13" s="222">
        <v>88</v>
      </c>
      <c r="K13" s="222">
        <v>87</v>
      </c>
      <c r="L13" s="222">
        <v>82</v>
      </c>
      <c r="M13" s="222">
        <v>76</v>
      </c>
      <c r="N13" s="222">
        <v>57</v>
      </c>
      <c r="O13" s="222">
        <v>51</v>
      </c>
      <c r="P13" s="222">
        <v>54</v>
      </c>
      <c r="Q13" s="222">
        <v>56</v>
      </c>
      <c r="R13" s="222">
        <v>46.85</v>
      </c>
      <c r="S13" s="222">
        <v>50.71</v>
      </c>
      <c r="T13" s="222">
        <v>53.85</v>
      </c>
      <c r="U13" s="90"/>
      <c r="V13" s="930"/>
      <c r="W13" s="930"/>
      <c r="X13" s="930"/>
    </row>
    <row r="14" spans="1:24" ht="13.25" customHeight="1">
      <c r="A14" s="83"/>
      <c r="B14" s="23" t="s">
        <v>30</v>
      </c>
      <c r="C14" s="222">
        <v>948</v>
      </c>
      <c r="D14" s="222">
        <v>986</v>
      </c>
      <c r="E14" s="222">
        <v>985</v>
      </c>
      <c r="F14" s="222">
        <v>1048</v>
      </c>
      <c r="G14" s="222">
        <v>1155</v>
      </c>
      <c r="H14" s="222">
        <v>1158</v>
      </c>
      <c r="I14" s="222">
        <v>1197</v>
      </c>
      <c r="J14" s="222">
        <v>1210</v>
      </c>
      <c r="K14" s="222">
        <v>1228</v>
      </c>
      <c r="L14" s="222">
        <v>1242</v>
      </c>
      <c r="M14" s="174">
        <v>1304</v>
      </c>
      <c r="N14" s="174">
        <v>1365</v>
      </c>
      <c r="O14" s="222">
        <v>1376</v>
      </c>
      <c r="P14" s="222">
        <v>1398</v>
      </c>
      <c r="Q14" s="222">
        <v>1403</v>
      </c>
      <c r="R14" s="222">
        <v>1275.29</v>
      </c>
      <c r="S14" s="222">
        <v>1421.53</v>
      </c>
      <c r="T14" s="222">
        <v>1428.87</v>
      </c>
      <c r="U14" s="90"/>
      <c r="V14" s="930"/>
      <c r="W14" s="930"/>
      <c r="X14" s="930"/>
    </row>
    <row r="15" spans="1:24" ht="13.25" customHeight="1">
      <c r="A15" s="83"/>
      <c r="B15" s="23" t="s">
        <v>31</v>
      </c>
      <c r="C15" s="222">
        <v>1149</v>
      </c>
      <c r="D15" s="222">
        <v>1244</v>
      </c>
      <c r="E15" s="222">
        <v>1230</v>
      </c>
      <c r="F15" s="222">
        <v>1220</v>
      </c>
      <c r="G15" s="222">
        <v>1287</v>
      </c>
      <c r="H15" s="222">
        <v>1321</v>
      </c>
      <c r="I15" s="222">
        <v>1355</v>
      </c>
      <c r="J15" s="222">
        <v>1371</v>
      </c>
      <c r="K15" s="222">
        <v>1327</v>
      </c>
      <c r="L15" s="222">
        <v>1308</v>
      </c>
      <c r="M15" s="174">
        <v>1110</v>
      </c>
      <c r="N15" s="174">
        <v>1036</v>
      </c>
      <c r="O15" s="222">
        <v>976</v>
      </c>
      <c r="P15" s="222">
        <v>821</v>
      </c>
      <c r="Q15" s="222">
        <v>793</v>
      </c>
      <c r="R15" s="222">
        <v>705.27</v>
      </c>
      <c r="S15" s="222">
        <v>707.65</v>
      </c>
      <c r="T15" s="222">
        <v>663.59</v>
      </c>
      <c r="U15" s="90"/>
      <c r="V15" s="930"/>
      <c r="W15" s="930"/>
      <c r="X15" s="930"/>
    </row>
    <row r="16" spans="1:24" ht="13.25" customHeight="1">
      <c r="A16" s="83"/>
      <c r="B16" s="23" t="s">
        <v>32</v>
      </c>
      <c r="C16" s="222">
        <v>69</v>
      </c>
      <c r="D16" s="222">
        <v>70</v>
      </c>
      <c r="E16" s="222">
        <v>73</v>
      </c>
      <c r="F16" s="222">
        <v>72</v>
      </c>
      <c r="G16" s="222">
        <v>73</v>
      </c>
      <c r="H16" s="222">
        <v>84</v>
      </c>
      <c r="I16" s="222">
        <v>89</v>
      </c>
      <c r="J16" s="222">
        <v>75</v>
      </c>
      <c r="K16" s="222">
        <v>80</v>
      </c>
      <c r="L16" s="222">
        <v>91</v>
      </c>
      <c r="M16" s="222">
        <v>90</v>
      </c>
      <c r="N16" s="222">
        <v>80</v>
      </c>
      <c r="O16" s="222">
        <v>61</v>
      </c>
      <c r="P16" s="222">
        <v>77</v>
      </c>
      <c r="Q16" s="222">
        <v>128</v>
      </c>
      <c r="R16" s="222">
        <v>130.75</v>
      </c>
      <c r="S16" s="222">
        <v>138.29</v>
      </c>
      <c r="T16" s="222">
        <v>143.54</v>
      </c>
      <c r="U16" s="90"/>
      <c r="V16" s="930"/>
      <c r="W16" s="930"/>
      <c r="X16" s="930"/>
    </row>
    <row r="17" spans="1:24" ht="13.25" customHeight="1">
      <c r="A17" s="83"/>
      <c r="B17" s="23" t="s">
        <v>33</v>
      </c>
      <c r="C17" s="222">
        <v>2504</v>
      </c>
      <c r="D17" s="222">
        <v>2336</v>
      </c>
      <c r="E17" s="222">
        <v>2095</v>
      </c>
      <c r="F17" s="222">
        <v>1928</v>
      </c>
      <c r="G17" s="222">
        <v>1810</v>
      </c>
      <c r="H17" s="222">
        <v>1707</v>
      </c>
      <c r="I17" s="222">
        <v>1466</v>
      </c>
      <c r="J17" s="222">
        <v>1454</v>
      </c>
      <c r="K17" s="222">
        <v>1528</v>
      </c>
      <c r="L17" s="222">
        <v>1478</v>
      </c>
      <c r="M17" s="174">
        <v>1629</v>
      </c>
      <c r="N17" s="174">
        <v>1693</v>
      </c>
      <c r="O17" s="222">
        <v>1751</v>
      </c>
      <c r="P17" s="222">
        <v>1871</v>
      </c>
      <c r="Q17" s="222">
        <v>1799</v>
      </c>
      <c r="R17" s="222">
        <v>1740.21</v>
      </c>
      <c r="S17" s="222">
        <v>1760.98</v>
      </c>
      <c r="T17" s="222">
        <v>1776.52</v>
      </c>
      <c r="U17" s="90"/>
      <c r="V17" s="930"/>
      <c r="W17" s="930"/>
      <c r="X17" s="930"/>
    </row>
    <row r="18" spans="1:24" ht="13.25" customHeight="1">
      <c r="A18" s="83"/>
      <c r="B18" s="23" t="s">
        <v>34</v>
      </c>
      <c r="C18" s="222">
        <v>1744</v>
      </c>
      <c r="D18" s="222">
        <v>1784</v>
      </c>
      <c r="E18" s="222">
        <v>1887</v>
      </c>
      <c r="F18" s="222">
        <v>2262</v>
      </c>
      <c r="G18" s="222">
        <v>2064</v>
      </c>
      <c r="H18" s="222">
        <v>1859</v>
      </c>
      <c r="I18" s="222">
        <v>2101</v>
      </c>
      <c r="J18" s="222">
        <v>1897</v>
      </c>
      <c r="K18" s="222">
        <v>1901</v>
      </c>
      <c r="L18" s="222">
        <v>1693</v>
      </c>
      <c r="M18" s="174">
        <v>1560</v>
      </c>
      <c r="N18" s="174">
        <v>1307</v>
      </c>
      <c r="O18" s="222">
        <v>1381</v>
      </c>
      <c r="P18" s="222">
        <v>1319</v>
      </c>
      <c r="Q18" s="222">
        <v>1338</v>
      </c>
      <c r="R18" s="222">
        <v>1351.31</v>
      </c>
      <c r="S18" s="222">
        <v>1366.2</v>
      </c>
      <c r="T18" s="222">
        <v>1364.19</v>
      </c>
      <c r="U18" s="90"/>
      <c r="V18" s="930"/>
      <c r="W18" s="930"/>
      <c r="X18" s="930"/>
    </row>
    <row r="19" spans="1:24" ht="13.25" customHeight="1">
      <c r="A19" s="83"/>
      <c r="B19" s="23" t="s">
        <v>35</v>
      </c>
      <c r="C19" s="222">
        <v>2597</v>
      </c>
      <c r="D19" s="222">
        <v>2575</v>
      </c>
      <c r="E19" s="222">
        <v>2640</v>
      </c>
      <c r="F19" s="222">
        <v>2307</v>
      </c>
      <c r="G19" s="222">
        <v>2013</v>
      </c>
      <c r="H19" s="222">
        <v>2113</v>
      </c>
      <c r="I19" s="222">
        <v>2224</v>
      </c>
      <c r="J19" s="222">
        <v>2327</v>
      </c>
      <c r="K19" s="222">
        <v>2526</v>
      </c>
      <c r="L19" s="222">
        <v>2605</v>
      </c>
      <c r="M19" s="174">
        <v>2964</v>
      </c>
      <c r="N19" s="174">
        <v>2951</v>
      </c>
      <c r="O19" s="222">
        <v>3300</v>
      </c>
      <c r="P19" s="222">
        <v>3325</v>
      </c>
      <c r="Q19" s="222">
        <v>3285</v>
      </c>
      <c r="R19" s="222">
        <v>2856.1</v>
      </c>
      <c r="S19" s="222">
        <v>3204.15</v>
      </c>
      <c r="T19" s="222">
        <v>3400.46</v>
      </c>
      <c r="U19" s="90"/>
      <c r="V19" s="930"/>
      <c r="W19" s="930"/>
      <c r="X19" s="930"/>
    </row>
    <row r="20" spans="1:24" ht="13.25" customHeight="1">
      <c r="A20" s="83"/>
      <c r="B20" s="23" t="s">
        <v>36</v>
      </c>
      <c r="C20" s="222">
        <v>1471</v>
      </c>
      <c r="D20" s="222">
        <v>1329</v>
      </c>
      <c r="E20" s="222">
        <v>1357</v>
      </c>
      <c r="F20" s="222">
        <v>1181</v>
      </c>
      <c r="G20" s="222">
        <v>1223</v>
      </c>
      <c r="H20" s="222">
        <v>1225</v>
      </c>
      <c r="I20" s="222">
        <v>1322</v>
      </c>
      <c r="J20" s="222">
        <v>1433</v>
      </c>
      <c r="K20" s="222">
        <v>1510</v>
      </c>
      <c r="L20" s="222">
        <v>1663</v>
      </c>
      <c r="M20" s="174">
        <v>1660</v>
      </c>
      <c r="N20" s="174">
        <v>1536</v>
      </c>
      <c r="O20" s="222">
        <v>1601</v>
      </c>
      <c r="P20" s="222">
        <v>1395</v>
      </c>
      <c r="Q20" s="222">
        <v>1441</v>
      </c>
      <c r="R20" s="222">
        <v>1359.12</v>
      </c>
      <c r="S20" s="222">
        <v>1324.02</v>
      </c>
      <c r="T20" s="222">
        <v>1305.23</v>
      </c>
      <c r="U20" s="90"/>
      <c r="V20" s="930"/>
      <c r="W20" s="930"/>
      <c r="X20" s="930"/>
    </row>
    <row r="21" spans="1:24" ht="13.25" customHeight="1">
      <c r="A21" s="83"/>
      <c r="B21" s="23" t="s">
        <v>37</v>
      </c>
      <c r="C21" s="222">
        <v>1237</v>
      </c>
      <c r="D21" s="222">
        <v>1237</v>
      </c>
      <c r="E21" s="222">
        <v>1098</v>
      </c>
      <c r="F21" s="222">
        <v>1065</v>
      </c>
      <c r="G21" s="222">
        <v>992</v>
      </c>
      <c r="H21" s="222">
        <v>875</v>
      </c>
      <c r="I21" s="222">
        <v>892</v>
      </c>
      <c r="J21" s="222">
        <v>1049</v>
      </c>
      <c r="K21" s="222">
        <v>1455</v>
      </c>
      <c r="L21" s="222">
        <v>1533</v>
      </c>
      <c r="M21" s="174">
        <v>1590</v>
      </c>
      <c r="N21" s="174">
        <v>2635</v>
      </c>
      <c r="O21" s="222">
        <v>2024</v>
      </c>
      <c r="P21" s="222">
        <v>2094</v>
      </c>
      <c r="Q21" s="222">
        <v>2148</v>
      </c>
      <c r="R21" s="222">
        <v>2062.86</v>
      </c>
      <c r="S21" s="222">
        <v>2040.82</v>
      </c>
      <c r="T21" s="222">
        <v>1972.24</v>
      </c>
      <c r="U21" s="90"/>
      <c r="V21" s="930"/>
      <c r="W21" s="930"/>
      <c r="X21" s="930"/>
    </row>
    <row r="22" spans="1:24" ht="13.25" customHeight="1">
      <c r="A22" s="83"/>
      <c r="B22" s="23" t="s">
        <v>38</v>
      </c>
      <c r="C22" s="222">
        <v>104</v>
      </c>
      <c r="D22" s="222">
        <v>107</v>
      </c>
      <c r="E22" s="222">
        <v>110</v>
      </c>
      <c r="F22" s="222">
        <v>102</v>
      </c>
      <c r="G22" s="222">
        <v>119</v>
      </c>
      <c r="H22" s="222">
        <v>122</v>
      </c>
      <c r="I22" s="222">
        <v>124</v>
      </c>
      <c r="J22" s="222">
        <v>105</v>
      </c>
      <c r="K22" s="222">
        <v>111</v>
      </c>
      <c r="L22" s="222">
        <v>100</v>
      </c>
      <c r="M22" s="174">
        <v>98</v>
      </c>
      <c r="N22" s="174">
        <v>95</v>
      </c>
      <c r="O22" s="222">
        <v>84</v>
      </c>
      <c r="P22" s="222">
        <v>87</v>
      </c>
      <c r="Q22" s="222">
        <v>82</v>
      </c>
      <c r="R22" s="222">
        <v>66.45</v>
      </c>
      <c r="S22" s="222">
        <v>71.2</v>
      </c>
      <c r="T22" s="222">
        <v>72.78</v>
      </c>
      <c r="U22" s="90"/>
      <c r="V22" s="930"/>
      <c r="W22" s="930"/>
      <c r="X22" s="930"/>
    </row>
    <row r="23" spans="1:24" ht="13.25" customHeight="1">
      <c r="A23" s="83"/>
      <c r="B23" s="23" t="s">
        <v>39</v>
      </c>
      <c r="C23" s="222">
        <v>174</v>
      </c>
      <c r="D23" s="222">
        <v>166</v>
      </c>
      <c r="E23" s="222">
        <v>152</v>
      </c>
      <c r="F23" s="222">
        <v>153</v>
      </c>
      <c r="G23" s="222">
        <v>152</v>
      </c>
      <c r="H23" s="222">
        <v>163</v>
      </c>
      <c r="I23" s="222">
        <v>142</v>
      </c>
      <c r="J23" s="222">
        <v>173</v>
      </c>
      <c r="K23" s="222">
        <v>176</v>
      </c>
      <c r="L23" s="222">
        <v>180</v>
      </c>
      <c r="M23" s="174">
        <v>178</v>
      </c>
      <c r="N23" s="174">
        <v>180</v>
      </c>
      <c r="O23" s="222">
        <v>182</v>
      </c>
      <c r="P23" s="222">
        <v>183</v>
      </c>
      <c r="Q23" s="222">
        <v>187</v>
      </c>
      <c r="R23" s="222">
        <v>192.62</v>
      </c>
      <c r="S23" s="222">
        <v>197.08</v>
      </c>
      <c r="T23" s="222">
        <v>199.63</v>
      </c>
      <c r="U23" s="90"/>
      <c r="V23" s="930"/>
      <c r="W23" s="930"/>
      <c r="X23" s="930"/>
    </row>
    <row r="24" spans="1:24" ht="13.25" customHeight="1">
      <c r="A24" s="83"/>
      <c r="B24" s="23" t="s">
        <v>40</v>
      </c>
      <c r="C24" s="222">
        <v>2045</v>
      </c>
      <c r="D24" s="222">
        <v>1936</v>
      </c>
      <c r="E24" s="222">
        <v>2001</v>
      </c>
      <c r="F24" s="222">
        <v>1853</v>
      </c>
      <c r="G24" s="222">
        <v>2068</v>
      </c>
      <c r="H24" s="222">
        <v>2130</v>
      </c>
      <c r="I24" s="222">
        <v>2269</v>
      </c>
      <c r="J24" s="222">
        <v>2448</v>
      </c>
      <c r="K24" s="222">
        <v>2458</v>
      </c>
      <c r="L24" s="222">
        <v>1887</v>
      </c>
      <c r="M24" s="174">
        <v>1893</v>
      </c>
      <c r="N24" s="174">
        <v>1908</v>
      </c>
      <c r="O24" s="222">
        <v>1839</v>
      </c>
      <c r="P24" s="222">
        <v>1779</v>
      </c>
      <c r="Q24" s="222">
        <v>1958</v>
      </c>
      <c r="R24" s="222">
        <v>1607.29</v>
      </c>
      <c r="S24" s="222">
        <v>1736.36</v>
      </c>
      <c r="T24" s="222">
        <v>1703.98</v>
      </c>
      <c r="U24" s="90"/>
      <c r="V24" s="930"/>
      <c r="W24" s="930"/>
      <c r="X24" s="930"/>
    </row>
    <row r="25" spans="1:24" ht="13.25" customHeight="1">
      <c r="A25" s="83"/>
      <c r="B25" s="23" t="s">
        <v>41</v>
      </c>
      <c r="C25" s="222">
        <v>923</v>
      </c>
      <c r="D25" s="222">
        <v>939</v>
      </c>
      <c r="E25" s="222">
        <v>1053</v>
      </c>
      <c r="F25" s="222">
        <v>1000</v>
      </c>
      <c r="G25" s="222">
        <v>1001</v>
      </c>
      <c r="H25" s="222">
        <v>982</v>
      </c>
      <c r="I25" s="222">
        <v>909</v>
      </c>
      <c r="J25" s="222">
        <v>910</v>
      </c>
      <c r="K25" s="222">
        <v>936</v>
      </c>
      <c r="L25" s="222">
        <v>968</v>
      </c>
      <c r="M25" s="174">
        <v>955</v>
      </c>
      <c r="N25" s="174">
        <v>962</v>
      </c>
      <c r="O25" s="222">
        <v>960</v>
      </c>
      <c r="P25" s="222">
        <v>932</v>
      </c>
      <c r="Q25" s="222">
        <v>920</v>
      </c>
      <c r="R25" s="222">
        <v>887.11</v>
      </c>
      <c r="S25" s="222">
        <v>848.43</v>
      </c>
      <c r="T25" s="222">
        <v>822.77</v>
      </c>
      <c r="U25" s="90"/>
      <c r="V25" s="930"/>
      <c r="W25" s="930"/>
      <c r="X25" s="930"/>
    </row>
    <row r="26" spans="1:24" ht="13.25" customHeight="1">
      <c r="A26" s="83"/>
      <c r="B26" s="23" t="s">
        <v>44</v>
      </c>
      <c r="C26" s="222">
        <v>3756</v>
      </c>
      <c r="D26" s="222">
        <v>4105</v>
      </c>
      <c r="E26" s="222">
        <v>3616</v>
      </c>
      <c r="F26" s="222">
        <v>3766</v>
      </c>
      <c r="G26" s="222">
        <v>3762</v>
      </c>
      <c r="H26" s="222">
        <v>4018</v>
      </c>
      <c r="I26" s="222">
        <v>3929</v>
      </c>
      <c r="J26" s="222">
        <v>4070</v>
      </c>
      <c r="K26" s="222">
        <v>2865</v>
      </c>
      <c r="L26" s="222">
        <v>3109</v>
      </c>
      <c r="M26" s="174">
        <v>3222</v>
      </c>
      <c r="N26" s="174">
        <v>3235</v>
      </c>
      <c r="O26" s="222">
        <v>3232</v>
      </c>
      <c r="P26" s="222">
        <v>3710</v>
      </c>
      <c r="Q26" s="222">
        <v>3631</v>
      </c>
      <c r="R26" s="222">
        <v>3742.52</v>
      </c>
      <c r="S26" s="222">
        <v>3968.39</v>
      </c>
      <c r="T26" s="222">
        <v>4030.43</v>
      </c>
      <c r="U26" s="90"/>
      <c r="V26" s="930"/>
      <c r="W26" s="930"/>
      <c r="X26" s="930"/>
    </row>
    <row r="27" spans="1:24" ht="13.25" customHeight="1">
      <c r="A27" s="83"/>
      <c r="B27" s="23" t="s">
        <v>45</v>
      </c>
      <c r="C27" s="222">
        <v>10246</v>
      </c>
      <c r="D27" s="222">
        <v>10288</v>
      </c>
      <c r="E27" s="222">
        <v>10431</v>
      </c>
      <c r="F27" s="222">
        <v>10445</v>
      </c>
      <c r="G27" s="222">
        <v>10534</v>
      </c>
      <c r="H27" s="222">
        <v>10653</v>
      </c>
      <c r="I27" s="222">
        <v>10759</v>
      </c>
      <c r="J27" s="222">
        <v>10869</v>
      </c>
      <c r="K27" s="222">
        <v>10609</v>
      </c>
      <c r="L27" s="222">
        <v>10379</v>
      </c>
      <c r="M27" s="174">
        <v>8876</v>
      </c>
      <c r="N27" s="174">
        <v>9034</v>
      </c>
      <c r="O27" s="222">
        <v>8891</v>
      </c>
      <c r="P27" s="222">
        <v>8767</v>
      </c>
      <c r="Q27" s="222">
        <v>8679</v>
      </c>
      <c r="R27" s="222">
        <v>8557.7900000000009</v>
      </c>
      <c r="S27" s="222">
        <v>8469.86</v>
      </c>
      <c r="T27" s="222">
        <v>8420.4699999999993</v>
      </c>
      <c r="U27" s="90"/>
      <c r="V27" s="930"/>
      <c r="W27" s="930"/>
      <c r="X27" s="930"/>
    </row>
    <row r="28" spans="1:24" ht="13.25" customHeight="1">
      <c r="A28" s="83"/>
      <c r="B28" s="82" t="s">
        <v>46</v>
      </c>
      <c r="C28" s="222">
        <v>97</v>
      </c>
      <c r="D28" s="222">
        <v>92</v>
      </c>
      <c r="E28" s="222">
        <v>90</v>
      </c>
      <c r="F28" s="222">
        <v>98</v>
      </c>
      <c r="G28" s="222">
        <v>93</v>
      </c>
      <c r="H28" s="222">
        <v>85</v>
      </c>
      <c r="I28" s="222">
        <v>105</v>
      </c>
      <c r="J28" s="222">
        <v>91</v>
      </c>
      <c r="K28" s="222">
        <v>74</v>
      </c>
      <c r="L28" s="222">
        <v>63</v>
      </c>
      <c r="M28" s="174">
        <v>62</v>
      </c>
      <c r="N28" s="174">
        <v>57</v>
      </c>
      <c r="O28" s="222">
        <v>60</v>
      </c>
      <c r="P28" s="222">
        <v>67</v>
      </c>
      <c r="Q28" s="222">
        <v>71</v>
      </c>
      <c r="R28" s="222">
        <v>67.16</v>
      </c>
      <c r="S28" s="222">
        <v>60.58</v>
      </c>
      <c r="T28" s="222">
        <v>58.2</v>
      </c>
      <c r="U28" s="90"/>
      <c r="V28" s="930"/>
      <c r="W28" s="930"/>
      <c r="X28" s="930"/>
    </row>
    <row r="29" spans="1:24" ht="13.25" customHeight="1">
      <c r="A29" s="83"/>
      <c r="B29" s="23" t="s">
        <v>47</v>
      </c>
      <c r="C29" s="222">
        <v>12</v>
      </c>
      <c r="D29" s="222">
        <v>10</v>
      </c>
      <c r="E29" s="222">
        <v>12</v>
      </c>
      <c r="F29" s="222">
        <v>15</v>
      </c>
      <c r="G29" s="222">
        <v>19</v>
      </c>
      <c r="H29" s="222">
        <v>21</v>
      </c>
      <c r="I29" s="222">
        <v>24</v>
      </c>
      <c r="J29" s="222">
        <v>25</v>
      </c>
      <c r="K29" s="222">
        <v>27</v>
      </c>
      <c r="L29" s="222">
        <v>27</v>
      </c>
      <c r="M29" s="174">
        <v>26</v>
      </c>
      <c r="N29" s="174">
        <v>26</v>
      </c>
      <c r="O29" s="222">
        <v>36</v>
      </c>
      <c r="P29" s="222">
        <v>39</v>
      </c>
      <c r="Q29" s="222">
        <v>29</v>
      </c>
      <c r="R29" s="222">
        <v>26.69</v>
      </c>
      <c r="S29" s="222">
        <v>28.86</v>
      </c>
      <c r="T29" s="222">
        <v>28.65</v>
      </c>
      <c r="U29" s="90"/>
      <c r="V29" s="930"/>
      <c r="W29" s="930"/>
      <c r="X29" s="930"/>
    </row>
    <row r="30" spans="1:24" ht="13.25" customHeight="1">
      <c r="A30" s="83"/>
      <c r="B30" s="23" t="s">
        <v>48</v>
      </c>
      <c r="C30" s="222">
        <v>52</v>
      </c>
      <c r="D30" s="222">
        <v>48</v>
      </c>
      <c r="E30" s="222">
        <v>54</v>
      </c>
      <c r="F30" s="222">
        <v>38</v>
      </c>
      <c r="G30" s="222">
        <v>39</v>
      </c>
      <c r="H30" s="222">
        <v>34</v>
      </c>
      <c r="I30" s="222">
        <v>26</v>
      </c>
      <c r="J30" s="222">
        <v>20</v>
      </c>
      <c r="K30" s="222">
        <v>17</v>
      </c>
      <c r="L30" s="222">
        <v>12</v>
      </c>
      <c r="M30" s="174">
        <v>9</v>
      </c>
      <c r="N30" s="174">
        <v>11</v>
      </c>
      <c r="O30" s="222">
        <v>28</v>
      </c>
      <c r="P30" s="222">
        <v>30</v>
      </c>
      <c r="Q30" s="222">
        <v>28</v>
      </c>
      <c r="R30" s="222">
        <v>27.96</v>
      </c>
      <c r="S30" s="222">
        <v>29</v>
      </c>
      <c r="T30" s="222">
        <v>29.79</v>
      </c>
      <c r="U30" s="90"/>
      <c r="V30" s="930"/>
      <c r="W30" s="930"/>
      <c r="X30" s="930"/>
    </row>
    <row r="31" spans="1:24" ht="13.25" customHeight="1" thickBot="1">
      <c r="A31" s="88"/>
      <c r="B31" s="577" t="s">
        <v>49</v>
      </c>
      <c r="C31" s="581">
        <v>41</v>
      </c>
      <c r="D31" s="581">
        <v>36</v>
      </c>
      <c r="E31" s="581">
        <v>38</v>
      </c>
      <c r="F31" s="581">
        <v>51</v>
      </c>
      <c r="G31" s="581">
        <v>54</v>
      </c>
      <c r="H31" s="581">
        <v>50</v>
      </c>
      <c r="I31" s="581">
        <v>54</v>
      </c>
      <c r="J31" s="581">
        <v>50</v>
      </c>
      <c r="K31" s="581">
        <v>49</v>
      </c>
      <c r="L31" s="581">
        <v>52</v>
      </c>
      <c r="M31" s="584">
        <v>42</v>
      </c>
      <c r="N31" s="584">
        <v>45</v>
      </c>
      <c r="O31" s="581">
        <v>46</v>
      </c>
      <c r="P31" s="581">
        <v>39</v>
      </c>
      <c r="Q31" s="581">
        <v>36</v>
      </c>
      <c r="R31" s="581">
        <v>32.74</v>
      </c>
      <c r="S31" s="581">
        <v>28.89</v>
      </c>
      <c r="T31" s="581">
        <v>28.21</v>
      </c>
      <c r="U31" s="90"/>
      <c r="V31" s="930"/>
      <c r="W31" s="930"/>
      <c r="X31" s="930"/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28"/>
      <c r="P32" s="228"/>
      <c r="Q32" s="228"/>
      <c r="R32" s="228"/>
      <c r="S32" s="228"/>
      <c r="T32" s="22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8"/>
      <c r="Q33" s="228"/>
      <c r="R33" s="228"/>
      <c r="S33" s="228"/>
      <c r="T33" s="228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8"/>
      <c r="Q34" s="228"/>
      <c r="R34" s="228"/>
      <c r="S34" s="228"/>
      <c r="T34" s="228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P35" s="90"/>
      <c r="Q35" s="90"/>
      <c r="R35" s="90"/>
      <c r="S35" s="90"/>
      <c r="T35" s="90"/>
    </row>
    <row r="36" spans="1:20" ht="13.25" customHeight="1">
      <c r="P36" s="90"/>
      <c r="Q36" s="90"/>
      <c r="R36" s="90"/>
      <c r="S36" s="90"/>
      <c r="T36" s="90"/>
    </row>
    <row r="37" spans="1:20" ht="13.25" customHeight="1">
      <c r="P37" s="90"/>
      <c r="Q37" s="90"/>
      <c r="R37" s="90"/>
      <c r="S37" s="90"/>
      <c r="T37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9">
    <tabColor theme="9" tint="0.59999389629810485"/>
  </sheetPr>
  <dimension ref="A2:X36"/>
  <sheetViews>
    <sheetView showGridLines="0" zoomScale="82" zoomScaleNormal="82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3984375" style="82" customWidth="1"/>
    <col min="22" max="16384" width="7" style="82"/>
  </cols>
  <sheetData>
    <row r="2" spans="1:24" ht="13.25" customHeight="1">
      <c r="A2" s="230" t="s">
        <v>502</v>
      </c>
      <c r="B2" s="231"/>
    </row>
    <row r="3" spans="1:24" ht="13.25" customHeight="1">
      <c r="A3" s="232" t="s">
        <v>421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4" ht="15" customHeight="1">
      <c r="A6" s="963" t="s">
        <v>103</v>
      </c>
      <c r="B6" s="963"/>
      <c r="C6" s="570">
        <v>3.31</v>
      </c>
      <c r="D6" s="570">
        <v>3.32</v>
      </c>
      <c r="E6" s="570">
        <v>3.49</v>
      </c>
      <c r="F6" s="570">
        <v>3.9</v>
      </c>
      <c r="G6" s="570">
        <v>4.13</v>
      </c>
      <c r="H6" s="570">
        <v>4.46</v>
      </c>
      <c r="I6" s="570">
        <v>4.5199999999999996</v>
      </c>
      <c r="J6" s="570">
        <v>4.9000000000000004</v>
      </c>
      <c r="K6" s="570">
        <v>5.04</v>
      </c>
      <c r="L6" s="570">
        <v>5.73</v>
      </c>
      <c r="M6" s="570">
        <v>5.79</v>
      </c>
      <c r="N6" s="570">
        <v>5.91</v>
      </c>
      <c r="O6" s="570">
        <v>5.6</v>
      </c>
      <c r="P6" s="570">
        <v>5.56</v>
      </c>
      <c r="Q6" s="570">
        <v>5.6</v>
      </c>
      <c r="R6" s="570">
        <v>5.43</v>
      </c>
      <c r="S6" s="570">
        <v>5.58</v>
      </c>
      <c r="T6" s="570">
        <v>5.61</v>
      </c>
    </row>
    <row r="7" spans="1:24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4" ht="13.25" customHeight="1">
      <c r="A8" s="83"/>
      <c r="B8" s="23" t="s">
        <v>21</v>
      </c>
      <c r="C8" s="238">
        <v>4.01</v>
      </c>
      <c r="D8" s="238">
        <v>3.68</v>
      </c>
      <c r="E8" s="238">
        <v>3.73</v>
      </c>
      <c r="F8" s="238">
        <v>3.76</v>
      </c>
      <c r="G8" s="238">
        <v>3.85</v>
      </c>
      <c r="H8" s="238">
        <v>3.55</v>
      </c>
      <c r="I8" s="238">
        <v>4.01</v>
      </c>
      <c r="J8" s="238">
        <v>4.01</v>
      </c>
      <c r="K8" s="238">
        <v>4.54</v>
      </c>
      <c r="L8" s="238">
        <v>4.51</v>
      </c>
      <c r="M8" s="238">
        <v>5.62</v>
      </c>
      <c r="N8" s="238">
        <v>5.5</v>
      </c>
      <c r="O8" s="238">
        <v>5.49</v>
      </c>
      <c r="P8" s="238">
        <v>5.56</v>
      </c>
      <c r="Q8" s="238">
        <v>5.5</v>
      </c>
      <c r="R8" s="238">
        <v>5.45</v>
      </c>
      <c r="S8" s="238">
        <v>5.74</v>
      </c>
      <c r="T8" s="238">
        <v>5.75</v>
      </c>
      <c r="V8" s="161"/>
      <c r="W8" s="161"/>
      <c r="X8" s="161"/>
    </row>
    <row r="9" spans="1:24" ht="13.25" customHeight="1">
      <c r="A9" s="83"/>
      <c r="B9" s="23" t="s">
        <v>22</v>
      </c>
      <c r="C9" s="238">
        <v>2.99</v>
      </c>
      <c r="D9" s="238">
        <v>3.07</v>
      </c>
      <c r="E9" s="238">
        <v>3.32</v>
      </c>
      <c r="F9" s="238">
        <v>3.87</v>
      </c>
      <c r="G9" s="238">
        <v>4.0999999999999996</v>
      </c>
      <c r="H9" s="238">
        <v>4.2300000000000004</v>
      </c>
      <c r="I9" s="238">
        <v>4.1399999999999997</v>
      </c>
      <c r="J9" s="238">
        <v>4.18</v>
      </c>
      <c r="K9" s="238">
        <v>4.25</v>
      </c>
      <c r="L9" s="238">
        <v>4.45</v>
      </c>
      <c r="M9" s="238">
        <v>5.39</v>
      </c>
      <c r="N9" s="238">
        <v>5.8</v>
      </c>
      <c r="O9" s="238">
        <v>5.68</v>
      </c>
      <c r="P9" s="238">
        <v>5.62</v>
      </c>
      <c r="Q9" s="238">
        <v>5.61</v>
      </c>
      <c r="R9" s="238">
        <v>5.54</v>
      </c>
      <c r="S9" s="238">
        <v>5.86</v>
      </c>
      <c r="T9" s="238">
        <v>5.92</v>
      </c>
      <c r="V9" s="161"/>
      <c r="W9" s="161"/>
      <c r="X9" s="161"/>
    </row>
    <row r="10" spans="1:24" ht="13.25" customHeight="1">
      <c r="A10" s="83"/>
      <c r="B10" s="23" t="s">
        <v>23</v>
      </c>
      <c r="C10" s="238">
        <v>3.44</v>
      </c>
      <c r="D10" s="238">
        <v>3.27</v>
      </c>
      <c r="E10" s="238">
        <v>3.64</v>
      </c>
      <c r="F10" s="238">
        <v>3.83</v>
      </c>
      <c r="G10" s="238">
        <v>4.21</v>
      </c>
      <c r="H10" s="238">
        <v>4.17</v>
      </c>
      <c r="I10" s="238">
        <v>4.1500000000000004</v>
      </c>
      <c r="J10" s="238">
        <v>4.3499999999999996</v>
      </c>
      <c r="K10" s="238">
        <v>4.46</v>
      </c>
      <c r="L10" s="238">
        <v>4.8600000000000003</v>
      </c>
      <c r="M10" s="238">
        <v>5.31</v>
      </c>
      <c r="N10" s="238">
        <v>5.81</v>
      </c>
      <c r="O10" s="238">
        <v>5.78</v>
      </c>
      <c r="P10" s="238">
        <v>5.73</v>
      </c>
      <c r="Q10" s="238">
        <v>5.77</v>
      </c>
      <c r="R10" s="238">
        <v>5.75</v>
      </c>
      <c r="S10" s="238">
        <v>5.95</v>
      </c>
      <c r="T10" s="238">
        <v>5.95</v>
      </c>
      <c r="V10" s="161"/>
      <c r="W10" s="161"/>
      <c r="X10" s="161"/>
    </row>
    <row r="11" spans="1:24" ht="13.25" customHeight="1">
      <c r="A11" s="83"/>
      <c r="B11" s="23" t="s">
        <v>24</v>
      </c>
      <c r="C11" s="238">
        <v>3.36</v>
      </c>
      <c r="D11" s="238">
        <v>3.43</v>
      </c>
      <c r="E11" s="238">
        <v>3.65</v>
      </c>
      <c r="F11" s="238">
        <v>3.9</v>
      </c>
      <c r="G11" s="238">
        <v>3.72</v>
      </c>
      <c r="H11" s="238">
        <v>3.24</v>
      </c>
      <c r="I11" s="238">
        <v>4</v>
      </c>
      <c r="J11" s="238">
        <v>4.62</v>
      </c>
      <c r="K11" s="238">
        <v>4.91</v>
      </c>
      <c r="L11" s="238">
        <v>4.91</v>
      </c>
      <c r="M11" s="238">
        <v>5.05</v>
      </c>
      <c r="N11" s="238">
        <v>5.3</v>
      </c>
      <c r="O11" s="238">
        <v>5.55</v>
      </c>
      <c r="P11" s="238">
        <v>5.68</v>
      </c>
      <c r="Q11" s="238">
        <v>5.75</v>
      </c>
      <c r="R11" s="238">
        <v>5.65</v>
      </c>
      <c r="S11" s="238">
        <v>5.97</v>
      </c>
      <c r="T11" s="238">
        <v>5.93</v>
      </c>
      <c r="V11" s="161"/>
      <c r="W11" s="161"/>
      <c r="X11" s="161"/>
    </row>
    <row r="12" spans="1:24" ht="13.25" customHeight="1">
      <c r="A12" s="83"/>
      <c r="B12" s="23" t="s">
        <v>25</v>
      </c>
      <c r="C12" s="238">
        <v>3.9</v>
      </c>
      <c r="D12" s="238">
        <v>3.63</v>
      </c>
      <c r="E12" s="238">
        <v>3.53</v>
      </c>
      <c r="F12" s="238">
        <v>3.87</v>
      </c>
      <c r="G12" s="238">
        <v>3.96</v>
      </c>
      <c r="H12" s="238">
        <v>3.94</v>
      </c>
      <c r="I12" s="238">
        <v>4.08</v>
      </c>
      <c r="J12" s="238">
        <v>4.59</v>
      </c>
      <c r="K12" s="238">
        <v>4.6399999999999997</v>
      </c>
      <c r="L12" s="238">
        <v>4.9000000000000004</v>
      </c>
      <c r="M12" s="238">
        <v>4.9400000000000004</v>
      </c>
      <c r="N12" s="238">
        <v>4.9400000000000004</v>
      </c>
      <c r="O12" s="238">
        <v>4.8499999999999996</v>
      </c>
      <c r="P12" s="238">
        <v>4.8</v>
      </c>
      <c r="Q12" s="238">
        <v>4.76</v>
      </c>
      <c r="R12" s="238">
        <v>4.71</v>
      </c>
      <c r="S12" s="238">
        <v>4.84</v>
      </c>
      <c r="T12" s="238">
        <v>4.84</v>
      </c>
      <c r="V12" s="161"/>
      <c r="W12" s="161"/>
      <c r="X12" s="161"/>
    </row>
    <row r="13" spans="1:24" ht="13.25" customHeight="1">
      <c r="A13" s="83"/>
      <c r="B13" s="23" t="s">
        <v>29</v>
      </c>
      <c r="C13" s="238">
        <v>3.87</v>
      </c>
      <c r="D13" s="238">
        <v>3.81</v>
      </c>
      <c r="E13" s="238">
        <v>3.75</v>
      </c>
      <c r="F13" s="238">
        <v>3.67</v>
      </c>
      <c r="G13" s="238">
        <v>3.98</v>
      </c>
      <c r="H13" s="238">
        <v>4.0599999999999996</v>
      </c>
      <c r="I13" s="238">
        <v>4.5999999999999996</v>
      </c>
      <c r="J13" s="238">
        <v>4.4000000000000004</v>
      </c>
      <c r="K13" s="238">
        <v>4.3600000000000003</v>
      </c>
      <c r="L13" s="238">
        <v>6.42</v>
      </c>
      <c r="M13" s="238">
        <v>5.4</v>
      </c>
      <c r="N13" s="238">
        <v>5.49</v>
      </c>
      <c r="O13" s="238">
        <v>5.47</v>
      </c>
      <c r="P13" s="238">
        <v>5.33</v>
      </c>
      <c r="Q13" s="238">
        <v>5.24</v>
      </c>
      <c r="R13" s="238">
        <v>5.23</v>
      </c>
      <c r="S13" s="238">
        <v>5.41</v>
      </c>
      <c r="T13" s="238">
        <v>5.43</v>
      </c>
      <c r="V13" s="161"/>
      <c r="W13" s="161"/>
      <c r="X13" s="161"/>
    </row>
    <row r="14" spans="1:24" ht="13.25" customHeight="1">
      <c r="A14" s="83"/>
      <c r="B14" s="23" t="s">
        <v>30</v>
      </c>
      <c r="C14" s="238">
        <v>3.32</v>
      </c>
      <c r="D14" s="238">
        <v>3.75</v>
      </c>
      <c r="E14" s="238">
        <v>4.03</v>
      </c>
      <c r="F14" s="238">
        <v>4.32</v>
      </c>
      <c r="G14" s="238">
        <v>4.1399999999999997</v>
      </c>
      <c r="H14" s="238">
        <v>3.66</v>
      </c>
      <c r="I14" s="238">
        <v>3.78</v>
      </c>
      <c r="J14" s="238">
        <v>4.66</v>
      </c>
      <c r="K14" s="238">
        <v>4.97</v>
      </c>
      <c r="L14" s="238">
        <v>4.71</v>
      </c>
      <c r="M14" s="238">
        <v>4.8099999999999996</v>
      </c>
      <c r="N14" s="238">
        <v>4.9400000000000004</v>
      </c>
      <c r="O14" s="238">
        <v>4.78</v>
      </c>
      <c r="P14" s="238">
        <v>4.83</v>
      </c>
      <c r="Q14" s="238">
        <v>4.7699999999999996</v>
      </c>
      <c r="R14" s="238">
        <v>4.92</v>
      </c>
      <c r="S14" s="238">
        <v>4.82</v>
      </c>
      <c r="T14" s="238">
        <v>4.83</v>
      </c>
      <c r="V14" s="161"/>
      <c r="W14" s="161"/>
      <c r="X14" s="161"/>
    </row>
    <row r="15" spans="1:24" ht="13.25" customHeight="1">
      <c r="A15" s="83"/>
      <c r="B15" s="23" t="s">
        <v>31</v>
      </c>
      <c r="C15" s="238">
        <v>3.43</v>
      </c>
      <c r="D15" s="238">
        <v>3.49</v>
      </c>
      <c r="E15" s="238">
        <v>3.4</v>
      </c>
      <c r="F15" s="238">
        <v>4.1100000000000003</v>
      </c>
      <c r="G15" s="238">
        <v>4.41</v>
      </c>
      <c r="H15" s="238">
        <v>3.8</v>
      </c>
      <c r="I15" s="238">
        <v>4.7300000000000004</v>
      </c>
      <c r="J15" s="238">
        <v>3.99</v>
      </c>
      <c r="K15" s="238">
        <v>4.32</v>
      </c>
      <c r="L15" s="238">
        <v>4.34</v>
      </c>
      <c r="M15" s="238">
        <v>4.88</v>
      </c>
      <c r="N15" s="238">
        <v>5.53</v>
      </c>
      <c r="O15" s="238">
        <v>5.76</v>
      </c>
      <c r="P15" s="238">
        <v>5.7</v>
      </c>
      <c r="Q15" s="238">
        <v>5.69</v>
      </c>
      <c r="R15" s="238">
        <v>5.5</v>
      </c>
      <c r="S15" s="238">
        <v>5.9</v>
      </c>
      <c r="T15" s="238">
        <v>6.01</v>
      </c>
      <c r="V15" s="161"/>
      <c r="W15" s="161"/>
      <c r="X15" s="161"/>
    </row>
    <row r="16" spans="1:24" ht="13.25" customHeight="1">
      <c r="A16" s="83"/>
      <c r="B16" s="23" t="s">
        <v>32</v>
      </c>
      <c r="C16" s="238">
        <v>2.44</v>
      </c>
      <c r="D16" s="238">
        <v>2.56</v>
      </c>
      <c r="E16" s="238">
        <v>2.93</v>
      </c>
      <c r="F16" s="238">
        <v>3.36</v>
      </c>
      <c r="G16" s="238">
        <v>4</v>
      </c>
      <c r="H16" s="238">
        <v>4.2699999999999996</v>
      </c>
      <c r="I16" s="238">
        <v>4.46</v>
      </c>
      <c r="J16" s="238">
        <v>4.79</v>
      </c>
      <c r="K16" s="238">
        <v>5.42</v>
      </c>
      <c r="L16" s="238">
        <v>5.7</v>
      </c>
      <c r="M16" s="238">
        <v>5.43</v>
      </c>
      <c r="N16" s="238">
        <v>4.96</v>
      </c>
      <c r="O16" s="238">
        <v>5.27</v>
      </c>
      <c r="P16" s="238">
        <v>5.2</v>
      </c>
      <c r="Q16" s="238">
        <v>5.3</v>
      </c>
      <c r="R16" s="238">
        <v>5.3</v>
      </c>
      <c r="S16" s="238">
        <v>5.54</v>
      </c>
      <c r="T16" s="238">
        <v>5.59</v>
      </c>
      <c r="V16" s="161"/>
      <c r="W16" s="161"/>
      <c r="X16" s="161"/>
    </row>
    <row r="17" spans="1:24" ht="13.25" customHeight="1">
      <c r="A17" s="83"/>
      <c r="B17" s="23" t="s">
        <v>33</v>
      </c>
      <c r="C17" s="238">
        <v>3.47</v>
      </c>
      <c r="D17" s="238">
        <v>3.49</v>
      </c>
      <c r="E17" s="238">
        <v>3.53</v>
      </c>
      <c r="F17" s="238">
        <v>3.64</v>
      </c>
      <c r="G17" s="238">
        <v>4.71</v>
      </c>
      <c r="H17" s="238">
        <v>3.81</v>
      </c>
      <c r="I17" s="238">
        <v>4.66</v>
      </c>
      <c r="J17" s="238">
        <v>4.5999999999999996</v>
      </c>
      <c r="K17" s="238">
        <v>4.59</v>
      </c>
      <c r="L17" s="238">
        <v>4.71</v>
      </c>
      <c r="M17" s="238">
        <v>5.59</v>
      </c>
      <c r="N17" s="238">
        <v>5.5</v>
      </c>
      <c r="O17" s="238">
        <v>5.45</v>
      </c>
      <c r="P17" s="238">
        <v>5.55</v>
      </c>
      <c r="Q17" s="238">
        <v>5.54</v>
      </c>
      <c r="R17" s="238">
        <v>5.48</v>
      </c>
      <c r="S17" s="238">
        <v>5.48</v>
      </c>
      <c r="T17" s="238">
        <v>5.49</v>
      </c>
      <c r="V17" s="161"/>
      <c r="W17" s="161"/>
      <c r="X17" s="161"/>
    </row>
    <row r="18" spans="1:24" ht="13.25" customHeight="1">
      <c r="A18" s="83"/>
      <c r="B18" s="23" t="s">
        <v>34</v>
      </c>
      <c r="C18" s="238">
        <v>2.87</v>
      </c>
      <c r="D18" s="238">
        <v>2.94</v>
      </c>
      <c r="E18" s="238">
        <v>3.41</v>
      </c>
      <c r="F18" s="238">
        <v>3.94</v>
      </c>
      <c r="G18" s="238">
        <v>3.97</v>
      </c>
      <c r="H18" s="238">
        <v>4.1399999999999997</v>
      </c>
      <c r="I18" s="238">
        <v>4.9400000000000004</v>
      </c>
      <c r="J18" s="238">
        <v>5.37</v>
      </c>
      <c r="K18" s="238">
        <v>4.46</v>
      </c>
      <c r="L18" s="238">
        <v>5.73</v>
      </c>
      <c r="M18" s="238">
        <v>6.09</v>
      </c>
      <c r="N18" s="238">
        <v>5.66</v>
      </c>
      <c r="O18" s="238">
        <v>5.48</v>
      </c>
      <c r="P18" s="238">
        <v>5.52</v>
      </c>
      <c r="Q18" s="238">
        <v>5.46</v>
      </c>
      <c r="R18" s="238">
        <v>5.39</v>
      </c>
      <c r="S18" s="238">
        <v>5.44</v>
      </c>
      <c r="T18" s="238">
        <v>5.43</v>
      </c>
      <c r="V18" s="161"/>
      <c r="W18" s="161"/>
      <c r="X18" s="161"/>
    </row>
    <row r="19" spans="1:24" ht="13.25" customHeight="1">
      <c r="A19" s="83"/>
      <c r="B19" s="23" t="s">
        <v>35</v>
      </c>
      <c r="C19" s="238">
        <v>3.52</v>
      </c>
      <c r="D19" s="238">
        <v>3.48</v>
      </c>
      <c r="E19" s="238">
        <v>3.43</v>
      </c>
      <c r="F19" s="238">
        <v>4.43</v>
      </c>
      <c r="G19" s="238">
        <v>4.1900000000000004</v>
      </c>
      <c r="H19" s="238">
        <v>4.8499999999999996</v>
      </c>
      <c r="I19" s="238">
        <v>5.0599999999999996</v>
      </c>
      <c r="J19" s="238">
        <v>5.84</v>
      </c>
      <c r="K19" s="238">
        <v>5.62</v>
      </c>
      <c r="L19" s="238">
        <v>5.88</v>
      </c>
      <c r="M19" s="238">
        <v>6.3</v>
      </c>
      <c r="N19" s="238">
        <v>6.53</v>
      </c>
      <c r="O19" s="238">
        <v>6.47</v>
      </c>
      <c r="P19" s="238">
        <v>6.21</v>
      </c>
      <c r="Q19" s="238">
        <v>6.07</v>
      </c>
      <c r="R19" s="238">
        <v>5.95</v>
      </c>
      <c r="S19" s="238">
        <v>5.97</v>
      </c>
      <c r="T19" s="238">
        <v>5.95</v>
      </c>
      <c r="V19" s="161"/>
      <c r="W19" s="161"/>
      <c r="X19" s="161"/>
    </row>
    <row r="20" spans="1:24" ht="13.25" customHeight="1">
      <c r="A20" s="83"/>
      <c r="B20" s="23" t="s">
        <v>36</v>
      </c>
      <c r="C20" s="238">
        <v>3.91</v>
      </c>
      <c r="D20" s="238">
        <v>3.39</v>
      </c>
      <c r="E20" s="238">
        <v>3.55</v>
      </c>
      <c r="F20" s="238">
        <v>3.9</v>
      </c>
      <c r="G20" s="238">
        <v>3.99</v>
      </c>
      <c r="H20" s="238">
        <v>3.9</v>
      </c>
      <c r="I20" s="238">
        <v>4.22</v>
      </c>
      <c r="J20" s="238">
        <v>5.05</v>
      </c>
      <c r="K20" s="238">
        <v>4.71</v>
      </c>
      <c r="L20" s="238">
        <v>5.2</v>
      </c>
      <c r="M20" s="238">
        <v>5.67</v>
      </c>
      <c r="N20" s="238">
        <v>5.64</v>
      </c>
      <c r="O20" s="238">
        <v>5.44</v>
      </c>
      <c r="P20" s="238">
        <v>5.26</v>
      </c>
      <c r="Q20" s="238">
        <v>5.0199999999999996</v>
      </c>
      <c r="R20" s="238">
        <v>5.01</v>
      </c>
      <c r="S20" s="238">
        <v>5.28</v>
      </c>
      <c r="T20" s="238">
        <v>5.25</v>
      </c>
      <c r="V20" s="161"/>
      <c r="W20" s="161"/>
      <c r="X20" s="161"/>
    </row>
    <row r="21" spans="1:24" ht="13.25" customHeight="1">
      <c r="A21" s="83"/>
      <c r="B21" s="23" t="s">
        <v>37</v>
      </c>
      <c r="C21" s="238">
        <v>3.56</v>
      </c>
      <c r="D21" s="238">
        <v>3.48</v>
      </c>
      <c r="E21" s="238">
        <v>3.37</v>
      </c>
      <c r="F21" s="238">
        <v>3.98</v>
      </c>
      <c r="G21" s="238">
        <v>4.45</v>
      </c>
      <c r="H21" s="238">
        <v>4.8499999999999996</v>
      </c>
      <c r="I21" s="238">
        <v>4.75</v>
      </c>
      <c r="J21" s="238">
        <v>4.8</v>
      </c>
      <c r="K21" s="238">
        <v>5.12</v>
      </c>
      <c r="L21" s="238">
        <v>4.95</v>
      </c>
      <c r="M21" s="238">
        <v>5.34</v>
      </c>
      <c r="N21" s="238">
        <v>5.65</v>
      </c>
      <c r="O21" s="238">
        <v>5.5</v>
      </c>
      <c r="P21" s="238">
        <v>5.56</v>
      </c>
      <c r="Q21" s="238">
        <v>5.45</v>
      </c>
      <c r="R21" s="238">
        <v>5.28</v>
      </c>
      <c r="S21" s="238">
        <v>5.5</v>
      </c>
      <c r="T21" s="238">
        <v>5.56</v>
      </c>
      <c r="V21" s="161"/>
      <c r="W21" s="161"/>
      <c r="X21" s="161"/>
    </row>
    <row r="22" spans="1:24" ht="13.25" customHeight="1">
      <c r="A22" s="83"/>
      <c r="B22" s="23" t="s">
        <v>38</v>
      </c>
      <c r="C22" s="238">
        <v>3.53</v>
      </c>
      <c r="D22" s="238">
        <v>3.52</v>
      </c>
      <c r="E22" s="238">
        <v>3.49</v>
      </c>
      <c r="F22" s="238">
        <v>3.71</v>
      </c>
      <c r="G22" s="238">
        <v>4.21</v>
      </c>
      <c r="H22" s="238">
        <v>3.61</v>
      </c>
      <c r="I22" s="238">
        <v>4.12</v>
      </c>
      <c r="J22" s="238">
        <v>4.4800000000000004</v>
      </c>
      <c r="K22" s="238">
        <v>4.58</v>
      </c>
      <c r="L22" s="238">
        <v>4.6500000000000004</v>
      </c>
      <c r="M22" s="238">
        <v>5.08</v>
      </c>
      <c r="N22" s="238">
        <v>5.22</v>
      </c>
      <c r="O22" s="238">
        <v>5.01</v>
      </c>
      <c r="P22" s="238">
        <v>5.04</v>
      </c>
      <c r="Q22" s="238">
        <v>5.0199999999999996</v>
      </c>
      <c r="R22" s="238">
        <v>4.9000000000000004</v>
      </c>
      <c r="S22" s="238">
        <v>5.18</v>
      </c>
      <c r="T22" s="238">
        <v>5.25</v>
      </c>
      <c r="V22" s="161"/>
      <c r="W22" s="161"/>
      <c r="X22" s="161"/>
    </row>
    <row r="23" spans="1:24" ht="13.25" customHeight="1">
      <c r="A23" s="83"/>
      <c r="B23" s="23" t="s">
        <v>39</v>
      </c>
      <c r="C23" s="238">
        <v>3.93</v>
      </c>
      <c r="D23" s="238">
        <v>3.62</v>
      </c>
      <c r="E23" s="238">
        <v>3.63</v>
      </c>
      <c r="F23" s="238">
        <v>3.73</v>
      </c>
      <c r="G23" s="238">
        <v>3.19</v>
      </c>
      <c r="H23" s="238">
        <v>3.25</v>
      </c>
      <c r="I23" s="238">
        <v>4.21</v>
      </c>
      <c r="J23" s="238">
        <v>4.62</v>
      </c>
      <c r="K23" s="238">
        <v>4.71</v>
      </c>
      <c r="L23" s="238">
        <v>4.8099999999999996</v>
      </c>
      <c r="M23" s="238">
        <v>4.84</v>
      </c>
      <c r="N23" s="238">
        <v>5.4</v>
      </c>
      <c r="O23" s="238">
        <v>5.03</v>
      </c>
      <c r="P23" s="238">
        <v>5.12</v>
      </c>
      <c r="Q23" s="238">
        <v>5.15</v>
      </c>
      <c r="R23" s="238">
        <v>5.09</v>
      </c>
      <c r="S23" s="238">
        <v>5.24</v>
      </c>
      <c r="T23" s="238">
        <v>5.32</v>
      </c>
      <c r="V23" s="161"/>
      <c r="W23" s="161"/>
      <c r="X23" s="161"/>
    </row>
    <row r="24" spans="1:24" ht="13.25" customHeight="1">
      <c r="A24" s="83"/>
      <c r="B24" s="23" t="s">
        <v>40</v>
      </c>
      <c r="C24" s="238">
        <v>3.55</v>
      </c>
      <c r="D24" s="238">
        <v>3.52</v>
      </c>
      <c r="E24" s="238">
        <v>3.54</v>
      </c>
      <c r="F24" s="238">
        <v>3.47</v>
      </c>
      <c r="G24" s="238">
        <v>3.71</v>
      </c>
      <c r="H24" s="238">
        <v>4.0199999999999996</v>
      </c>
      <c r="I24" s="238">
        <v>4.75</v>
      </c>
      <c r="J24" s="238">
        <v>4.74</v>
      </c>
      <c r="K24" s="238">
        <v>4.68</v>
      </c>
      <c r="L24" s="238">
        <v>4.66</v>
      </c>
      <c r="M24" s="238">
        <v>4.82</v>
      </c>
      <c r="N24" s="238">
        <v>4.84</v>
      </c>
      <c r="O24" s="238">
        <v>5.09</v>
      </c>
      <c r="P24" s="238">
        <v>5.1100000000000003</v>
      </c>
      <c r="Q24" s="238">
        <v>5.12</v>
      </c>
      <c r="R24" s="238">
        <v>5.08</v>
      </c>
      <c r="S24" s="238">
        <v>5.2</v>
      </c>
      <c r="T24" s="238">
        <v>5.45</v>
      </c>
      <c r="V24" s="161"/>
      <c r="W24" s="161"/>
      <c r="X24" s="161"/>
    </row>
    <row r="25" spans="1:24" ht="13.25" customHeight="1">
      <c r="A25" s="83"/>
      <c r="B25" s="23" t="s">
        <v>41</v>
      </c>
      <c r="C25" s="238">
        <v>3.38</v>
      </c>
      <c r="D25" s="238">
        <v>3.56</v>
      </c>
      <c r="E25" s="238">
        <v>3.41</v>
      </c>
      <c r="F25" s="238">
        <v>3.54</v>
      </c>
      <c r="G25" s="238">
        <v>3.38</v>
      </c>
      <c r="H25" s="238">
        <v>4.47</v>
      </c>
      <c r="I25" s="238">
        <v>4.9800000000000004</v>
      </c>
      <c r="J25" s="238">
        <v>4.84</v>
      </c>
      <c r="K25" s="238">
        <v>4.9800000000000004</v>
      </c>
      <c r="L25" s="238">
        <v>5.22</v>
      </c>
      <c r="M25" s="238">
        <v>5.29</v>
      </c>
      <c r="N25" s="238">
        <v>5.19</v>
      </c>
      <c r="O25" s="238">
        <v>5.16</v>
      </c>
      <c r="P25" s="238">
        <v>5.17</v>
      </c>
      <c r="Q25" s="238">
        <v>5.08</v>
      </c>
      <c r="R25" s="238">
        <v>5</v>
      </c>
      <c r="S25" s="238">
        <v>4.8499999999999996</v>
      </c>
      <c r="T25" s="238">
        <v>4.83</v>
      </c>
      <c r="V25" s="161"/>
      <c r="W25" s="161"/>
      <c r="X25" s="161"/>
    </row>
    <row r="26" spans="1:24" ht="13.25" customHeight="1">
      <c r="A26" s="83"/>
      <c r="B26" s="23" t="s">
        <v>44</v>
      </c>
      <c r="C26" s="238">
        <v>3.84</v>
      </c>
      <c r="D26" s="238">
        <v>3.69</v>
      </c>
      <c r="E26" s="238">
        <v>3.63</v>
      </c>
      <c r="F26" s="238">
        <v>3.82</v>
      </c>
      <c r="G26" s="238">
        <v>4.07</v>
      </c>
      <c r="H26" s="238">
        <v>4.2699999999999996</v>
      </c>
      <c r="I26" s="238">
        <v>4.6399999999999997</v>
      </c>
      <c r="J26" s="238">
        <v>5.04</v>
      </c>
      <c r="K26" s="238">
        <v>5.31</v>
      </c>
      <c r="L26" s="238">
        <v>5.69</v>
      </c>
      <c r="M26" s="238">
        <v>6</v>
      </c>
      <c r="N26" s="238">
        <v>6.2</v>
      </c>
      <c r="O26" s="238">
        <v>6.23</v>
      </c>
      <c r="P26" s="238">
        <v>6.06</v>
      </c>
      <c r="Q26" s="238">
        <v>6.11</v>
      </c>
      <c r="R26" s="238">
        <v>5.16</v>
      </c>
      <c r="S26" s="238">
        <v>5.51</v>
      </c>
      <c r="T26" s="238">
        <v>5.57</v>
      </c>
      <c r="V26" s="161"/>
      <c r="W26" s="161"/>
      <c r="X26" s="161"/>
    </row>
    <row r="27" spans="1:24" ht="13.25" customHeight="1">
      <c r="A27" s="83"/>
      <c r="B27" s="23" t="s">
        <v>45</v>
      </c>
      <c r="C27" s="238">
        <v>2.83</v>
      </c>
      <c r="D27" s="238">
        <v>2.95</v>
      </c>
      <c r="E27" s="238">
        <v>3.39</v>
      </c>
      <c r="F27" s="238">
        <v>3.91</v>
      </c>
      <c r="G27" s="238">
        <v>4.3099999999999996</v>
      </c>
      <c r="H27" s="238">
        <v>5.29</v>
      </c>
      <c r="I27" s="238">
        <v>4.4800000000000004</v>
      </c>
      <c r="J27" s="238">
        <v>4.99</v>
      </c>
      <c r="K27" s="238">
        <v>5.45</v>
      </c>
      <c r="L27" s="238">
        <v>7.14</v>
      </c>
      <c r="M27" s="238">
        <v>6.52</v>
      </c>
      <c r="N27" s="238">
        <v>6.68</v>
      </c>
      <c r="O27" s="238">
        <v>5.52</v>
      </c>
      <c r="P27" s="238">
        <v>5.45</v>
      </c>
      <c r="Q27" s="238">
        <v>5.75</v>
      </c>
      <c r="R27" s="238">
        <v>5.64</v>
      </c>
      <c r="S27" s="238">
        <v>5.75</v>
      </c>
      <c r="T27" s="238">
        <v>5.73</v>
      </c>
      <c r="V27" s="161"/>
      <c r="W27" s="161"/>
      <c r="X27" s="161"/>
    </row>
    <row r="28" spans="1:24" ht="13.25" customHeight="1">
      <c r="A28" s="83"/>
      <c r="B28" s="82" t="s">
        <v>46</v>
      </c>
      <c r="C28" s="238">
        <v>2.2999999999999998</v>
      </c>
      <c r="D28" s="238">
        <v>2.2799999999999998</v>
      </c>
      <c r="E28" s="238">
        <v>2.57</v>
      </c>
      <c r="F28" s="238">
        <v>3.56</v>
      </c>
      <c r="G28" s="238">
        <v>4.04</v>
      </c>
      <c r="H28" s="238">
        <v>4.6100000000000003</v>
      </c>
      <c r="I28" s="238">
        <v>5.31</v>
      </c>
      <c r="J28" s="238">
        <v>5.57</v>
      </c>
      <c r="K28" s="238">
        <v>5.61</v>
      </c>
      <c r="L28" s="238">
        <v>5.54</v>
      </c>
      <c r="M28" s="238">
        <v>5.83</v>
      </c>
      <c r="N28" s="238">
        <v>5.96</v>
      </c>
      <c r="O28" s="238">
        <v>5.59</v>
      </c>
      <c r="P28" s="238">
        <v>5.47</v>
      </c>
      <c r="Q28" s="238">
        <v>5.43</v>
      </c>
      <c r="R28" s="238">
        <v>5.38</v>
      </c>
      <c r="S28" s="238">
        <v>5.4</v>
      </c>
      <c r="T28" s="238">
        <v>5.36</v>
      </c>
      <c r="V28" s="161"/>
      <c r="W28" s="161"/>
      <c r="X28" s="161"/>
    </row>
    <row r="29" spans="1:24" ht="13.25" customHeight="1">
      <c r="A29" s="83"/>
      <c r="B29" s="23" t="s">
        <v>47</v>
      </c>
      <c r="C29" s="238">
        <v>2.97</v>
      </c>
      <c r="D29" s="238">
        <v>3.18</v>
      </c>
      <c r="E29" s="238">
        <v>3.32</v>
      </c>
      <c r="F29" s="238">
        <v>4.08</v>
      </c>
      <c r="G29" s="238">
        <v>4.03</v>
      </c>
      <c r="H29" s="238">
        <v>4.03</v>
      </c>
      <c r="I29" s="238">
        <v>4.2</v>
      </c>
      <c r="J29" s="238">
        <v>4.96</v>
      </c>
      <c r="K29" s="238">
        <v>5.13</v>
      </c>
      <c r="L29" s="238">
        <v>6.23</v>
      </c>
      <c r="M29" s="238">
        <v>4.16</v>
      </c>
      <c r="N29" s="238">
        <v>4.07</v>
      </c>
      <c r="O29" s="238">
        <v>4.37</v>
      </c>
      <c r="P29" s="238">
        <v>4.67</v>
      </c>
      <c r="Q29" s="238">
        <v>4.6500000000000004</v>
      </c>
      <c r="R29" s="238">
        <v>4.55</v>
      </c>
      <c r="S29" s="238">
        <v>4.87</v>
      </c>
      <c r="T29" s="238">
        <v>4.6399999999999997</v>
      </c>
      <c r="V29" s="161"/>
      <c r="W29" s="161"/>
      <c r="X29" s="161"/>
    </row>
    <row r="30" spans="1:24" ht="13.25" customHeight="1">
      <c r="A30" s="83"/>
      <c r="B30" s="23" t="s">
        <v>48</v>
      </c>
      <c r="C30" s="238">
        <v>3.24</v>
      </c>
      <c r="D30" s="238">
        <v>3.24</v>
      </c>
      <c r="E30" s="238">
        <v>3.69</v>
      </c>
      <c r="F30" s="238">
        <v>3.93</v>
      </c>
      <c r="G30" s="238">
        <v>4.3899999999999997</v>
      </c>
      <c r="H30" s="238">
        <v>4.74</v>
      </c>
      <c r="I30" s="238">
        <v>5.1100000000000003</v>
      </c>
      <c r="J30" s="238">
        <v>5.51</v>
      </c>
      <c r="K30" s="238">
        <v>5.65</v>
      </c>
      <c r="L30" s="238">
        <v>5.68</v>
      </c>
      <c r="M30" s="238">
        <v>5.47</v>
      </c>
      <c r="N30" s="238">
        <v>5.12</v>
      </c>
      <c r="O30" s="238">
        <v>4.92</v>
      </c>
      <c r="P30" s="238">
        <v>4.9000000000000004</v>
      </c>
      <c r="Q30" s="238">
        <v>4.8499999999999996</v>
      </c>
      <c r="R30" s="238">
        <v>4.8099999999999996</v>
      </c>
      <c r="S30" s="238">
        <v>4.8899999999999997</v>
      </c>
      <c r="T30" s="238">
        <v>4.8600000000000003</v>
      </c>
      <c r="V30" s="161"/>
      <c r="W30" s="161"/>
      <c r="X30" s="161"/>
    </row>
    <row r="31" spans="1:24" ht="13.25" customHeight="1" thickBot="1">
      <c r="A31" s="88"/>
      <c r="B31" s="577" t="s">
        <v>49</v>
      </c>
      <c r="C31" s="576">
        <v>4.0199999999999996</v>
      </c>
      <c r="D31" s="576">
        <v>3.91</v>
      </c>
      <c r="E31" s="576">
        <v>3.84</v>
      </c>
      <c r="F31" s="576">
        <v>3.87</v>
      </c>
      <c r="G31" s="576">
        <v>4.04</v>
      </c>
      <c r="H31" s="576">
        <v>4.2</v>
      </c>
      <c r="I31" s="576">
        <v>5.03</v>
      </c>
      <c r="J31" s="576">
        <v>5.14</v>
      </c>
      <c r="K31" s="576">
        <v>4.91</v>
      </c>
      <c r="L31" s="576">
        <v>5.42</v>
      </c>
      <c r="M31" s="576">
        <v>4.9000000000000004</v>
      </c>
      <c r="N31" s="576">
        <v>5.03</v>
      </c>
      <c r="O31" s="576">
        <v>5.47</v>
      </c>
      <c r="P31" s="576">
        <v>5.22</v>
      </c>
      <c r="Q31" s="576">
        <v>5.15</v>
      </c>
      <c r="R31" s="576">
        <v>5.15</v>
      </c>
      <c r="S31" s="576">
        <v>5.13</v>
      </c>
      <c r="T31" s="576">
        <v>5.1100000000000003</v>
      </c>
      <c r="V31" s="161"/>
      <c r="W31" s="161"/>
      <c r="X31" s="161"/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882" t="s">
        <v>425</v>
      </c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0">
    <tabColor theme="9" tint="0.59999389629810485"/>
  </sheetPr>
  <dimension ref="A2:V35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1" width="7.796875" style="82" customWidth="1"/>
    <col min="22" max="16384" width="7" style="82"/>
  </cols>
  <sheetData>
    <row r="2" spans="1:22" ht="13.25" customHeight="1">
      <c r="A2" s="230" t="s">
        <v>503</v>
      </c>
      <c r="B2" s="231"/>
    </row>
    <row r="3" spans="1:22" ht="13.25" customHeight="1">
      <c r="A3" s="232" t="s">
        <v>238</v>
      </c>
      <c r="B3" s="232"/>
    </row>
    <row r="4" spans="1:22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2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2" ht="15" customHeight="1">
      <c r="A6" s="963" t="s">
        <v>96</v>
      </c>
      <c r="B6" s="963"/>
      <c r="C6" s="574">
        <f t="shared" ref="C6:N6" si="0">(C8+C9+C10+C11+C12+C13+C14+C15+C16+C17+C18+C19+C20+C21+C22+C23+C24+C25+C26+C27+C28+C29+C30+C31)</f>
        <v>6333240</v>
      </c>
      <c r="D6" s="574">
        <f t="shared" si="0"/>
        <v>6054839</v>
      </c>
      <c r="E6" s="806">
        <f t="shared" si="0"/>
        <v>6468169</v>
      </c>
      <c r="F6" s="806">
        <f t="shared" si="0"/>
        <v>5869896</v>
      </c>
      <c r="G6" s="806">
        <f t="shared" si="0"/>
        <v>6035367</v>
      </c>
      <c r="H6" s="806">
        <f t="shared" si="0"/>
        <v>6004149</v>
      </c>
      <c r="I6" s="806">
        <f t="shared" si="0"/>
        <v>5985893</v>
      </c>
      <c r="J6" s="806">
        <f t="shared" si="0"/>
        <v>6618656</v>
      </c>
      <c r="K6" s="806">
        <f t="shared" si="0"/>
        <v>6104259</v>
      </c>
      <c r="L6" s="806">
        <f t="shared" si="0"/>
        <v>5741017</v>
      </c>
      <c r="M6" s="806">
        <f t="shared" si="0"/>
        <v>5162592</v>
      </c>
      <c r="N6" s="806">
        <f t="shared" si="0"/>
        <v>5575611</v>
      </c>
      <c r="O6" s="806">
        <f t="shared" ref="O6:T6" si="1">(O8+O9+O10+O11+O12+O13+O14+O15+O16+O17+O18+O19+O20+O21+O22+O23+O24+O25+O26+O27+O28+O29+O30+O31)</f>
        <v>4574331</v>
      </c>
      <c r="P6" s="806">
        <f t="shared" si="1"/>
        <v>4559586</v>
      </c>
      <c r="Q6" s="806">
        <f t="shared" si="1"/>
        <v>4304515</v>
      </c>
      <c r="R6" s="806">
        <f t="shared" si="1"/>
        <v>4099800.59</v>
      </c>
      <c r="S6" s="806">
        <f t="shared" si="1"/>
        <v>4237001.4000000004</v>
      </c>
      <c r="T6" s="806">
        <f t="shared" si="1"/>
        <v>4296344.4826990506</v>
      </c>
    </row>
    <row r="7" spans="1:22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2" ht="13.25" customHeight="1">
      <c r="A8" s="83"/>
      <c r="B8" s="23" t="s">
        <v>21</v>
      </c>
      <c r="C8" s="222">
        <v>0</v>
      </c>
      <c r="D8" s="222">
        <v>0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808">
        <v>0</v>
      </c>
      <c r="N8" s="808">
        <v>0</v>
      </c>
      <c r="O8" s="808">
        <v>0</v>
      </c>
      <c r="P8" s="808">
        <v>0</v>
      </c>
      <c r="Q8" s="808">
        <v>0</v>
      </c>
      <c r="R8" s="808">
        <v>0</v>
      </c>
      <c r="S8" s="808">
        <v>0</v>
      </c>
      <c r="T8" s="808">
        <v>0</v>
      </c>
    </row>
    <row r="9" spans="1:22" ht="13.25" customHeight="1">
      <c r="A9" s="83"/>
      <c r="B9" s="23" t="s">
        <v>22</v>
      </c>
      <c r="C9" s="222">
        <v>0</v>
      </c>
      <c r="D9" s="222">
        <v>0</v>
      </c>
      <c r="E9" s="93">
        <v>0</v>
      </c>
      <c r="F9" s="93">
        <v>0</v>
      </c>
      <c r="G9" s="93">
        <v>0</v>
      </c>
      <c r="H9" s="93">
        <v>107736</v>
      </c>
      <c r="I9" s="93">
        <v>97404</v>
      </c>
      <c r="J9" s="93">
        <v>53488</v>
      </c>
      <c r="K9" s="93">
        <v>29541</v>
      </c>
      <c r="L9" s="93">
        <v>29537</v>
      </c>
      <c r="M9" s="808">
        <v>40324</v>
      </c>
      <c r="N9" s="808">
        <v>40651</v>
      </c>
      <c r="O9" s="808">
        <v>33100</v>
      </c>
      <c r="P9" s="808">
        <v>17665</v>
      </c>
      <c r="Q9" s="808">
        <v>18515</v>
      </c>
      <c r="R9" s="808">
        <v>23964</v>
      </c>
      <c r="S9" s="808">
        <v>23982</v>
      </c>
      <c r="T9" s="808">
        <v>23737.362699050398</v>
      </c>
      <c r="V9" s="90"/>
    </row>
    <row r="10" spans="1:22" ht="13.25" customHeight="1">
      <c r="A10" s="83"/>
      <c r="B10" s="23" t="s">
        <v>23</v>
      </c>
      <c r="C10" s="222">
        <v>0</v>
      </c>
      <c r="D10" s="222">
        <v>0</v>
      </c>
      <c r="E10" s="93">
        <v>0</v>
      </c>
      <c r="F10" s="93">
        <v>0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3">
        <v>0</v>
      </c>
      <c r="O10" s="93">
        <v>0</v>
      </c>
      <c r="P10" s="93">
        <v>0</v>
      </c>
      <c r="Q10" s="93">
        <v>0</v>
      </c>
      <c r="R10" s="93">
        <v>0</v>
      </c>
      <c r="S10" s="93">
        <v>0</v>
      </c>
      <c r="T10" s="93">
        <v>0</v>
      </c>
      <c r="V10" s="90"/>
    </row>
    <row r="11" spans="1:22" ht="13.25" customHeight="1">
      <c r="A11" s="83"/>
      <c r="B11" s="23" t="s">
        <v>24</v>
      </c>
      <c r="C11" s="222">
        <v>281748</v>
      </c>
      <c r="D11" s="222">
        <v>286802</v>
      </c>
      <c r="E11" s="93">
        <v>279649</v>
      </c>
      <c r="F11" s="93">
        <v>283207</v>
      </c>
      <c r="G11" s="93">
        <v>283873</v>
      </c>
      <c r="H11" s="93">
        <v>289844</v>
      </c>
      <c r="I11" s="93">
        <v>290743</v>
      </c>
      <c r="J11" s="93">
        <v>292769</v>
      </c>
      <c r="K11" s="93">
        <v>291404</v>
      </c>
      <c r="L11" s="93">
        <v>291951</v>
      </c>
      <c r="M11" s="808">
        <v>260787</v>
      </c>
      <c r="N11" s="808">
        <v>245858</v>
      </c>
      <c r="O11" s="808">
        <v>245396</v>
      </c>
      <c r="P11" s="808">
        <v>247738</v>
      </c>
      <c r="Q11" s="808">
        <v>249612</v>
      </c>
      <c r="R11" s="808">
        <v>252084</v>
      </c>
      <c r="S11" s="808">
        <v>254269</v>
      </c>
      <c r="T11" s="808">
        <v>260004</v>
      </c>
      <c r="V11" s="90"/>
    </row>
    <row r="12" spans="1:22" ht="13.25" customHeight="1">
      <c r="A12" s="83"/>
      <c r="B12" s="23" t="s">
        <v>25</v>
      </c>
      <c r="C12" s="222">
        <v>215929</v>
      </c>
      <c r="D12" s="222">
        <v>210011</v>
      </c>
      <c r="E12" s="93">
        <v>211100</v>
      </c>
      <c r="F12" s="93">
        <v>177507</v>
      </c>
      <c r="G12" s="93">
        <v>130630</v>
      </c>
      <c r="H12" s="93">
        <v>96513</v>
      </c>
      <c r="I12" s="93">
        <v>119101</v>
      </c>
      <c r="J12" s="93">
        <v>156318</v>
      </c>
      <c r="K12" s="93">
        <v>168682</v>
      </c>
      <c r="L12" s="93">
        <v>142168</v>
      </c>
      <c r="M12" s="808">
        <v>156231</v>
      </c>
      <c r="N12" s="808">
        <v>220329</v>
      </c>
      <c r="O12" s="808">
        <v>219313</v>
      </c>
      <c r="P12" s="808">
        <v>194266</v>
      </c>
      <c r="Q12" s="808">
        <v>165750</v>
      </c>
      <c r="R12" s="808">
        <v>158054</v>
      </c>
      <c r="S12" s="808">
        <v>159350.13</v>
      </c>
      <c r="T12" s="808">
        <v>146799.79999999999</v>
      </c>
      <c r="V12" s="90"/>
    </row>
    <row r="13" spans="1:22" ht="13.25" customHeight="1">
      <c r="A13" s="83"/>
      <c r="B13" s="23" t="s">
        <v>29</v>
      </c>
      <c r="C13" s="222">
        <v>16207</v>
      </c>
      <c r="D13" s="222">
        <v>16605</v>
      </c>
      <c r="E13" s="93">
        <v>20165</v>
      </c>
      <c r="F13" s="93">
        <v>7590</v>
      </c>
      <c r="G13" s="93">
        <v>18463</v>
      </c>
      <c r="H13" s="93">
        <v>18399</v>
      </c>
      <c r="I13" s="93">
        <v>12411</v>
      </c>
      <c r="J13" s="93">
        <v>16445</v>
      </c>
      <c r="K13" s="93">
        <v>15240</v>
      </c>
      <c r="L13" s="93">
        <v>15696</v>
      </c>
      <c r="M13" s="93">
        <v>11420</v>
      </c>
      <c r="N13" s="93">
        <v>6911</v>
      </c>
      <c r="O13" s="93">
        <v>6474</v>
      </c>
      <c r="P13" s="93">
        <v>6209</v>
      </c>
      <c r="Q13" s="93">
        <v>5255</v>
      </c>
      <c r="R13" s="93">
        <v>6041</v>
      </c>
      <c r="S13" s="93">
        <v>6224</v>
      </c>
      <c r="T13" s="93">
        <v>6395</v>
      </c>
      <c r="V13" s="90"/>
    </row>
    <row r="14" spans="1:22" ht="13.25" customHeight="1">
      <c r="A14" s="83"/>
      <c r="B14" s="23" t="s">
        <v>30</v>
      </c>
      <c r="C14" s="222">
        <v>48636</v>
      </c>
      <c r="D14" s="222">
        <v>44644</v>
      </c>
      <c r="E14" s="93">
        <v>36892</v>
      </c>
      <c r="F14" s="93">
        <v>34713</v>
      </c>
      <c r="G14" s="93">
        <v>7537</v>
      </c>
      <c r="H14" s="93">
        <v>7597</v>
      </c>
      <c r="I14" s="93">
        <v>38529</v>
      </c>
      <c r="J14" s="93">
        <v>13552</v>
      </c>
      <c r="K14" s="93">
        <v>5569</v>
      </c>
      <c r="L14" s="93">
        <v>4170</v>
      </c>
      <c r="M14" s="808">
        <v>9018</v>
      </c>
      <c r="N14" s="808">
        <v>11954</v>
      </c>
      <c r="O14" s="808">
        <v>7689</v>
      </c>
      <c r="P14" s="808">
        <v>7229</v>
      </c>
      <c r="Q14" s="808">
        <v>7076</v>
      </c>
      <c r="R14" s="808">
        <v>6515</v>
      </c>
      <c r="S14" s="808">
        <v>6488</v>
      </c>
      <c r="T14" s="808">
        <v>7363.25</v>
      </c>
      <c r="V14" s="90"/>
    </row>
    <row r="15" spans="1:22" ht="13.25" customHeight="1">
      <c r="A15" s="83"/>
      <c r="B15" s="23" t="s">
        <v>31</v>
      </c>
      <c r="C15" s="222">
        <v>51382</v>
      </c>
      <c r="D15" s="222">
        <v>53479</v>
      </c>
      <c r="E15" s="93">
        <v>69851</v>
      </c>
      <c r="F15" s="93">
        <v>68198</v>
      </c>
      <c r="G15" s="93">
        <v>83497</v>
      </c>
      <c r="H15" s="93">
        <v>79799</v>
      </c>
      <c r="I15" s="93">
        <v>78888</v>
      </c>
      <c r="J15" s="93">
        <v>71441</v>
      </c>
      <c r="K15" s="93">
        <v>48547</v>
      </c>
      <c r="L15" s="93">
        <v>82242</v>
      </c>
      <c r="M15" s="808">
        <v>92565</v>
      </c>
      <c r="N15" s="808">
        <v>111905</v>
      </c>
      <c r="O15" s="808">
        <v>69508</v>
      </c>
      <c r="P15" s="808">
        <v>103820</v>
      </c>
      <c r="Q15" s="808">
        <v>91432</v>
      </c>
      <c r="R15" s="808">
        <v>84125</v>
      </c>
      <c r="S15" s="808">
        <v>115395.70000000001</v>
      </c>
      <c r="T15" s="808">
        <v>104213.47</v>
      </c>
      <c r="V15" s="90"/>
    </row>
    <row r="16" spans="1:22" ht="13.25" customHeight="1">
      <c r="A16" s="83"/>
      <c r="B16" s="23" t="s">
        <v>32</v>
      </c>
      <c r="C16" s="222">
        <v>0</v>
      </c>
      <c r="D16" s="222">
        <v>0</v>
      </c>
      <c r="E16" s="93">
        <v>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  <c r="L16" s="93">
        <v>0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V16" s="90"/>
    </row>
    <row r="17" spans="1:22" ht="13.25" customHeight="1">
      <c r="A17" s="83"/>
      <c r="B17" s="23" t="s">
        <v>33</v>
      </c>
      <c r="C17" s="222">
        <v>373540</v>
      </c>
      <c r="D17" s="222">
        <v>283894</v>
      </c>
      <c r="E17" s="93">
        <v>207959</v>
      </c>
      <c r="F17" s="93">
        <v>140552</v>
      </c>
      <c r="G17" s="93">
        <v>142079</v>
      </c>
      <c r="H17" s="93">
        <v>121870</v>
      </c>
      <c r="I17" s="93">
        <v>62310</v>
      </c>
      <c r="J17" s="93">
        <v>146950</v>
      </c>
      <c r="K17" s="93">
        <v>221464</v>
      </c>
      <c r="L17" s="93">
        <v>214127</v>
      </c>
      <c r="M17" s="808">
        <v>193576</v>
      </c>
      <c r="N17" s="808">
        <v>173587</v>
      </c>
      <c r="O17" s="808">
        <v>164539</v>
      </c>
      <c r="P17" s="808">
        <v>162255</v>
      </c>
      <c r="Q17" s="808">
        <v>140446</v>
      </c>
      <c r="R17" s="808">
        <v>109744</v>
      </c>
      <c r="S17" s="808">
        <v>98449</v>
      </c>
      <c r="T17" s="808">
        <v>83172</v>
      </c>
      <c r="V17" s="90"/>
    </row>
    <row r="18" spans="1:22" ht="13.25" customHeight="1">
      <c r="A18" s="83"/>
      <c r="B18" s="23" t="s">
        <v>34</v>
      </c>
      <c r="C18" s="222">
        <v>522839</v>
      </c>
      <c r="D18" s="222">
        <v>559070</v>
      </c>
      <c r="E18" s="93">
        <v>561105</v>
      </c>
      <c r="F18" s="93">
        <v>565575</v>
      </c>
      <c r="G18" s="93">
        <v>569138</v>
      </c>
      <c r="H18" s="93">
        <v>676896</v>
      </c>
      <c r="I18" s="93">
        <v>493852</v>
      </c>
      <c r="J18" s="93">
        <v>660319</v>
      </c>
      <c r="K18" s="93">
        <v>609890</v>
      </c>
      <c r="L18" s="93">
        <v>402146</v>
      </c>
      <c r="M18" s="808">
        <v>420519</v>
      </c>
      <c r="N18" s="808">
        <v>333733</v>
      </c>
      <c r="O18" s="808">
        <v>349285</v>
      </c>
      <c r="P18" s="808">
        <v>370620</v>
      </c>
      <c r="Q18" s="808">
        <v>367427</v>
      </c>
      <c r="R18" s="808">
        <v>370762</v>
      </c>
      <c r="S18" s="808">
        <v>386152</v>
      </c>
      <c r="T18" s="808">
        <v>365091</v>
      </c>
      <c r="V18" s="90"/>
    </row>
    <row r="19" spans="1:22" ht="13.25" customHeight="1">
      <c r="A19" s="83"/>
      <c r="B19" s="23" t="s">
        <v>35</v>
      </c>
      <c r="C19" s="222">
        <v>601360</v>
      </c>
      <c r="D19" s="222">
        <v>609680</v>
      </c>
      <c r="E19" s="93">
        <v>439697</v>
      </c>
      <c r="F19" s="93">
        <v>510031</v>
      </c>
      <c r="G19" s="93">
        <v>621211</v>
      </c>
      <c r="H19" s="93">
        <v>645082</v>
      </c>
      <c r="I19" s="93">
        <v>635182</v>
      </c>
      <c r="J19" s="93">
        <v>687908</v>
      </c>
      <c r="K19" s="93">
        <v>666029</v>
      </c>
      <c r="L19" s="93">
        <v>691762</v>
      </c>
      <c r="M19" s="808">
        <v>714025</v>
      </c>
      <c r="N19" s="808">
        <v>744843</v>
      </c>
      <c r="O19" s="808">
        <v>789102</v>
      </c>
      <c r="P19" s="808">
        <v>795972</v>
      </c>
      <c r="Q19" s="808">
        <v>723937</v>
      </c>
      <c r="R19" s="808">
        <v>643434</v>
      </c>
      <c r="S19" s="808">
        <v>701476</v>
      </c>
      <c r="T19" s="808">
        <v>871890</v>
      </c>
      <c r="V19" s="90"/>
    </row>
    <row r="20" spans="1:22" ht="13.25" customHeight="1">
      <c r="A20" s="83"/>
      <c r="B20" s="23" t="s">
        <v>36</v>
      </c>
      <c r="C20" s="222">
        <v>444847</v>
      </c>
      <c r="D20" s="222">
        <v>319084</v>
      </c>
      <c r="E20" s="93">
        <v>281860</v>
      </c>
      <c r="F20" s="93">
        <v>220170</v>
      </c>
      <c r="G20" s="93">
        <v>210481</v>
      </c>
      <c r="H20" s="93">
        <v>126110</v>
      </c>
      <c r="I20" s="93">
        <v>265607</v>
      </c>
      <c r="J20" s="93">
        <v>267529</v>
      </c>
      <c r="K20" s="93">
        <v>244443</v>
      </c>
      <c r="L20" s="93">
        <v>109210</v>
      </c>
      <c r="M20" s="808">
        <v>79116</v>
      </c>
      <c r="N20" s="808">
        <v>182727</v>
      </c>
      <c r="O20" s="808">
        <v>190568</v>
      </c>
      <c r="P20" s="808">
        <v>211173</v>
      </c>
      <c r="Q20" s="808">
        <v>149074</v>
      </c>
      <c r="R20" s="808">
        <v>151961</v>
      </c>
      <c r="S20" s="808">
        <v>146554.5</v>
      </c>
      <c r="T20" s="808">
        <v>137822.39999999999</v>
      </c>
      <c r="V20" s="90"/>
    </row>
    <row r="21" spans="1:22" ht="13.25" customHeight="1">
      <c r="A21" s="83"/>
      <c r="B21" s="23" t="s">
        <v>37</v>
      </c>
      <c r="C21" s="222">
        <v>53126</v>
      </c>
      <c r="D21" s="222">
        <v>56331</v>
      </c>
      <c r="E21" s="93">
        <v>67652</v>
      </c>
      <c r="F21" s="93">
        <v>72955</v>
      </c>
      <c r="G21" s="93">
        <v>65145</v>
      </c>
      <c r="H21" s="93">
        <v>54146</v>
      </c>
      <c r="I21" s="93">
        <v>40498</v>
      </c>
      <c r="J21" s="93">
        <v>53450</v>
      </c>
      <c r="K21" s="93">
        <v>55508</v>
      </c>
      <c r="L21" s="93">
        <v>57633</v>
      </c>
      <c r="M21" s="808">
        <v>50977</v>
      </c>
      <c r="N21" s="808">
        <v>44355</v>
      </c>
      <c r="O21" s="808">
        <v>40495</v>
      </c>
      <c r="P21" s="808">
        <v>33496</v>
      </c>
      <c r="Q21" s="808">
        <v>35281</v>
      </c>
      <c r="R21" s="808">
        <v>37961</v>
      </c>
      <c r="S21" s="808">
        <v>34122</v>
      </c>
      <c r="T21" s="808">
        <v>30965</v>
      </c>
      <c r="V21" s="90"/>
    </row>
    <row r="22" spans="1:22" ht="13.25" customHeight="1">
      <c r="A22" s="83"/>
      <c r="B22" s="23" t="s">
        <v>38</v>
      </c>
      <c r="C22" s="222">
        <v>1738</v>
      </c>
      <c r="D22" s="222">
        <v>1050</v>
      </c>
      <c r="E22" s="93">
        <v>478</v>
      </c>
      <c r="F22" s="93">
        <v>2420</v>
      </c>
      <c r="G22" s="93">
        <v>1680</v>
      </c>
      <c r="H22" s="93">
        <v>1435</v>
      </c>
      <c r="I22" s="93">
        <v>41</v>
      </c>
      <c r="J22" s="93">
        <v>0</v>
      </c>
      <c r="K22" s="93">
        <v>134</v>
      </c>
      <c r="L22" s="93">
        <v>5740</v>
      </c>
      <c r="M22" s="808">
        <v>4455</v>
      </c>
      <c r="N22" s="808">
        <v>4350</v>
      </c>
      <c r="O22" s="808">
        <v>3430</v>
      </c>
      <c r="P22" s="808">
        <v>3245</v>
      </c>
      <c r="Q22" s="808">
        <v>2550</v>
      </c>
      <c r="R22" s="808">
        <v>2785.1</v>
      </c>
      <c r="S22" s="808">
        <v>2630</v>
      </c>
      <c r="T22" s="808">
        <v>2431</v>
      </c>
      <c r="V22" s="90"/>
    </row>
    <row r="23" spans="1:22" ht="13.25" customHeight="1">
      <c r="A23" s="83"/>
      <c r="B23" s="23" t="s">
        <v>39</v>
      </c>
      <c r="C23" s="222">
        <v>0</v>
      </c>
      <c r="D23" s="222">
        <v>0</v>
      </c>
      <c r="E23" s="93">
        <v>0</v>
      </c>
      <c r="F23" s="93">
        <v>0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93">
        <v>0</v>
      </c>
      <c r="M23" s="808">
        <v>0</v>
      </c>
      <c r="N23" s="808">
        <v>0</v>
      </c>
      <c r="O23" s="808">
        <v>0</v>
      </c>
      <c r="P23" s="808">
        <v>0</v>
      </c>
      <c r="Q23" s="808">
        <v>0</v>
      </c>
      <c r="R23" s="808">
        <v>0</v>
      </c>
      <c r="S23" s="808">
        <v>0</v>
      </c>
      <c r="T23" s="808">
        <v>0</v>
      </c>
      <c r="V23" s="90"/>
    </row>
    <row r="24" spans="1:22" ht="13.25" customHeight="1">
      <c r="A24" s="83"/>
      <c r="B24" s="23" t="s">
        <v>40</v>
      </c>
      <c r="C24" s="222">
        <v>306255</v>
      </c>
      <c r="D24" s="222">
        <v>259301</v>
      </c>
      <c r="E24" s="93">
        <v>308791</v>
      </c>
      <c r="F24" s="93">
        <v>263354</v>
      </c>
      <c r="G24" s="93">
        <v>297670</v>
      </c>
      <c r="H24" s="93">
        <v>302992</v>
      </c>
      <c r="I24" s="93">
        <v>316003</v>
      </c>
      <c r="J24" s="93">
        <v>309791</v>
      </c>
      <c r="K24" s="93">
        <v>343320</v>
      </c>
      <c r="L24" s="93">
        <v>237721</v>
      </c>
      <c r="M24" s="808">
        <v>207731</v>
      </c>
      <c r="N24" s="808">
        <v>186981</v>
      </c>
      <c r="O24" s="808">
        <v>190207</v>
      </c>
      <c r="P24" s="808">
        <v>176812</v>
      </c>
      <c r="Q24" s="808">
        <v>172759</v>
      </c>
      <c r="R24" s="808">
        <v>147012</v>
      </c>
      <c r="S24" s="808">
        <v>135385.70000000001</v>
      </c>
      <c r="T24" s="808">
        <v>126436</v>
      </c>
      <c r="V24" s="90"/>
    </row>
    <row r="25" spans="1:22" ht="13.25" customHeight="1">
      <c r="A25" s="83"/>
      <c r="B25" s="23" t="s">
        <v>41</v>
      </c>
      <c r="C25" s="222">
        <v>126618</v>
      </c>
      <c r="D25" s="222">
        <v>157417</v>
      </c>
      <c r="E25" s="93">
        <v>183811</v>
      </c>
      <c r="F25" s="93">
        <v>138770</v>
      </c>
      <c r="G25" s="93">
        <v>127588</v>
      </c>
      <c r="H25" s="93">
        <v>120774</v>
      </c>
      <c r="I25" s="93">
        <v>174595</v>
      </c>
      <c r="J25" s="93">
        <v>195609</v>
      </c>
      <c r="K25" s="93">
        <v>186257</v>
      </c>
      <c r="L25" s="93">
        <v>167112</v>
      </c>
      <c r="M25" s="808">
        <v>161112</v>
      </c>
      <c r="N25" s="808">
        <v>116274</v>
      </c>
      <c r="O25" s="808">
        <v>94800</v>
      </c>
      <c r="P25" s="808">
        <v>86132</v>
      </c>
      <c r="Q25" s="808">
        <v>78918</v>
      </c>
      <c r="R25" s="808">
        <v>77439.489999999991</v>
      </c>
      <c r="S25" s="808">
        <v>74081.37</v>
      </c>
      <c r="T25" s="808">
        <v>69694.2</v>
      </c>
      <c r="V25" s="90"/>
    </row>
    <row r="26" spans="1:22" ht="13.25" customHeight="1">
      <c r="A26" s="83"/>
      <c r="B26" s="23" t="s">
        <v>44</v>
      </c>
      <c r="C26" s="222">
        <v>452205</v>
      </c>
      <c r="D26" s="222">
        <v>315691</v>
      </c>
      <c r="E26" s="93">
        <v>938139</v>
      </c>
      <c r="F26" s="93">
        <v>536724</v>
      </c>
      <c r="G26" s="93">
        <v>604785</v>
      </c>
      <c r="H26" s="93">
        <v>474316</v>
      </c>
      <c r="I26" s="93">
        <v>456759</v>
      </c>
      <c r="J26" s="93">
        <v>814517</v>
      </c>
      <c r="K26" s="93">
        <v>532231</v>
      </c>
      <c r="L26" s="93">
        <v>508145</v>
      </c>
      <c r="M26" s="808">
        <v>493362</v>
      </c>
      <c r="N26" s="808">
        <v>488496</v>
      </c>
      <c r="O26" s="808">
        <v>484555</v>
      </c>
      <c r="P26" s="808">
        <v>450804</v>
      </c>
      <c r="Q26" s="808">
        <v>464593</v>
      </c>
      <c r="R26" s="808">
        <v>444659</v>
      </c>
      <c r="S26" s="808">
        <v>504162</v>
      </c>
      <c r="T26" s="808">
        <v>470620</v>
      </c>
      <c r="V26" s="90"/>
    </row>
    <row r="27" spans="1:22" ht="13.25" customHeight="1">
      <c r="A27" s="83"/>
      <c r="B27" s="23" t="s">
        <v>45</v>
      </c>
      <c r="C27" s="222">
        <v>2836810</v>
      </c>
      <c r="D27" s="222">
        <v>2881780</v>
      </c>
      <c r="E27" s="93">
        <v>2861020</v>
      </c>
      <c r="F27" s="93">
        <v>2848130</v>
      </c>
      <c r="G27" s="93">
        <v>2871590</v>
      </c>
      <c r="H27" s="93">
        <v>2880640</v>
      </c>
      <c r="I27" s="93">
        <v>2903970</v>
      </c>
      <c r="J27" s="93">
        <v>2878570</v>
      </c>
      <c r="K27" s="93">
        <v>2686000</v>
      </c>
      <c r="L27" s="93">
        <v>2781657</v>
      </c>
      <c r="M27" s="808">
        <v>2267374</v>
      </c>
      <c r="N27" s="808">
        <v>2662657</v>
      </c>
      <c r="O27" s="808">
        <v>1685870</v>
      </c>
      <c r="P27" s="808">
        <v>1692150</v>
      </c>
      <c r="Q27" s="808">
        <v>1631890</v>
      </c>
      <c r="R27" s="808">
        <v>1583260</v>
      </c>
      <c r="S27" s="808">
        <v>1588280</v>
      </c>
      <c r="T27" s="808">
        <v>1589710</v>
      </c>
      <c r="V27" s="90"/>
    </row>
    <row r="28" spans="1:22" ht="13.25" customHeight="1">
      <c r="A28" s="83"/>
      <c r="B28" s="82" t="s">
        <v>46</v>
      </c>
      <c r="C28" s="222">
        <v>0</v>
      </c>
      <c r="D28" s="222">
        <v>0</v>
      </c>
      <c r="E28" s="93">
        <v>0</v>
      </c>
      <c r="F28" s="93">
        <v>0</v>
      </c>
      <c r="G28" s="93">
        <v>0</v>
      </c>
      <c r="H28" s="93">
        <v>0</v>
      </c>
      <c r="I28" s="93">
        <v>0</v>
      </c>
      <c r="J28" s="93">
        <v>0</v>
      </c>
      <c r="K28" s="93">
        <v>0</v>
      </c>
      <c r="L28" s="93">
        <v>0</v>
      </c>
      <c r="M28" s="808">
        <v>0</v>
      </c>
      <c r="N28" s="808">
        <v>0</v>
      </c>
      <c r="O28" s="808">
        <v>0</v>
      </c>
      <c r="P28" s="808">
        <v>0</v>
      </c>
      <c r="Q28" s="808">
        <v>0</v>
      </c>
      <c r="R28" s="808">
        <v>0</v>
      </c>
      <c r="S28" s="808">
        <v>0</v>
      </c>
      <c r="T28" s="808">
        <v>0</v>
      </c>
      <c r="V28" s="90"/>
    </row>
    <row r="29" spans="1:22" ht="13.25" customHeight="1">
      <c r="A29" s="83"/>
      <c r="B29" s="23" t="s">
        <v>47</v>
      </c>
      <c r="C29" s="222">
        <v>0</v>
      </c>
      <c r="D29" s="222">
        <v>0</v>
      </c>
      <c r="E29" s="93">
        <v>0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808">
        <v>0</v>
      </c>
      <c r="N29" s="808">
        <v>0</v>
      </c>
      <c r="O29" s="808">
        <v>0</v>
      </c>
      <c r="P29" s="808">
        <v>0</v>
      </c>
      <c r="Q29" s="808">
        <v>0</v>
      </c>
      <c r="R29" s="808">
        <v>0</v>
      </c>
      <c r="S29" s="808">
        <v>0</v>
      </c>
      <c r="T29" s="808">
        <v>0</v>
      </c>
      <c r="V29" s="90"/>
    </row>
    <row r="30" spans="1:22" ht="13.25" customHeight="1">
      <c r="A30" s="83"/>
      <c r="B30" s="23" t="s">
        <v>48</v>
      </c>
      <c r="C30" s="222">
        <v>0</v>
      </c>
      <c r="D30" s="222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808">
        <v>0</v>
      </c>
      <c r="N30" s="808">
        <v>0</v>
      </c>
      <c r="O30" s="808">
        <v>0</v>
      </c>
      <c r="P30" s="808">
        <v>0</v>
      </c>
      <c r="Q30" s="808">
        <v>0</v>
      </c>
      <c r="R30" s="808">
        <v>0</v>
      </c>
      <c r="S30" s="808">
        <v>0</v>
      </c>
      <c r="T30" s="808">
        <v>0</v>
      </c>
      <c r="V30" s="90"/>
    </row>
    <row r="31" spans="1:22" ht="13.25" customHeight="1" thickBot="1">
      <c r="A31" s="88"/>
      <c r="B31" s="577" t="s">
        <v>49</v>
      </c>
      <c r="C31" s="581">
        <v>0</v>
      </c>
      <c r="D31" s="581">
        <v>0</v>
      </c>
      <c r="E31" s="809">
        <v>0</v>
      </c>
      <c r="F31" s="809">
        <v>0</v>
      </c>
      <c r="G31" s="809">
        <v>0</v>
      </c>
      <c r="H31" s="809">
        <v>0</v>
      </c>
      <c r="I31" s="809">
        <v>0</v>
      </c>
      <c r="J31" s="809">
        <v>0</v>
      </c>
      <c r="K31" s="809">
        <v>0</v>
      </c>
      <c r="L31" s="809">
        <v>0</v>
      </c>
      <c r="M31" s="810">
        <v>0</v>
      </c>
      <c r="N31" s="810">
        <v>0</v>
      </c>
      <c r="O31" s="810">
        <v>0</v>
      </c>
      <c r="P31" s="810">
        <v>0</v>
      </c>
      <c r="Q31" s="810">
        <v>0</v>
      </c>
      <c r="R31" s="810">
        <v>0</v>
      </c>
      <c r="S31" s="810">
        <v>0</v>
      </c>
      <c r="T31" s="810">
        <v>0</v>
      </c>
      <c r="V31" s="90"/>
    </row>
    <row r="32" spans="1:22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1">
    <tabColor theme="9" tint="0.59999389629810485"/>
  </sheetPr>
  <dimension ref="A2:X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3984375" style="82" customWidth="1"/>
    <col min="22" max="16384" width="7" style="82"/>
  </cols>
  <sheetData>
    <row r="2" spans="1:24" ht="13.25" customHeight="1">
      <c r="A2" s="230" t="s">
        <v>504</v>
      </c>
      <c r="B2" s="231"/>
    </row>
    <row r="3" spans="1:24" ht="13.25" customHeight="1">
      <c r="A3" s="232" t="s">
        <v>236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4" ht="15" customHeight="1">
      <c r="A6" s="963" t="s">
        <v>96</v>
      </c>
      <c r="B6" s="963"/>
      <c r="C6" s="572">
        <f t="shared" ref="C6:N6" si="0">(C8+C9+C10+C11+C12+C13+C14+C15+C16+C17+C18+C19+C20+C21+C22+C23+C24+C25+C26+C27+C28+C29+C30+C31)</f>
        <v>10914</v>
      </c>
      <c r="D6" s="572">
        <f t="shared" si="0"/>
        <v>10375</v>
      </c>
      <c r="E6" s="574">
        <f t="shared" si="0"/>
        <v>10894</v>
      </c>
      <c r="F6" s="574">
        <f t="shared" si="0"/>
        <v>10087</v>
      </c>
      <c r="G6" s="574">
        <f t="shared" si="0"/>
        <v>10280</v>
      </c>
      <c r="H6" s="574">
        <f t="shared" si="0"/>
        <v>10219</v>
      </c>
      <c r="I6" s="574">
        <f t="shared" si="0"/>
        <v>10293</v>
      </c>
      <c r="J6" s="574">
        <f t="shared" si="0"/>
        <v>11029</v>
      </c>
      <c r="K6" s="574">
        <f t="shared" si="0"/>
        <v>10405</v>
      </c>
      <c r="L6" s="574">
        <f t="shared" si="0"/>
        <v>9975</v>
      </c>
      <c r="M6" s="574">
        <f t="shared" si="0"/>
        <v>8955</v>
      </c>
      <c r="N6" s="574">
        <f t="shared" si="0"/>
        <v>9353</v>
      </c>
      <c r="O6" s="574">
        <f t="shared" ref="O6:T6" si="1">(O8+O9+O10+O11+O12+O13+O14+O15+O16+O17+O18+O19+O20+O21+O22+O23+O24+O25+O26+O27+O28+O29+O30+O31)</f>
        <v>8139</v>
      </c>
      <c r="P6" s="574">
        <f t="shared" si="1"/>
        <v>8056</v>
      </c>
      <c r="Q6" s="574">
        <f t="shared" si="1"/>
        <v>7742</v>
      </c>
      <c r="R6" s="574">
        <f t="shared" si="1"/>
        <v>7466.5</v>
      </c>
      <c r="S6" s="574">
        <f t="shared" si="1"/>
        <v>7690.0999999999995</v>
      </c>
      <c r="T6" s="574">
        <f t="shared" si="1"/>
        <v>7983.9000000000005</v>
      </c>
    </row>
    <row r="7" spans="1:24" ht="3" customHeight="1">
      <c r="A7" s="83"/>
      <c r="B7" s="84"/>
      <c r="C7" s="235"/>
      <c r="D7" s="235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4" ht="13.25" customHeight="1">
      <c r="A8" s="83"/>
      <c r="B8" s="23" t="s">
        <v>21</v>
      </c>
      <c r="C8" s="236">
        <v>0</v>
      </c>
      <c r="D8" s="236">
        <v>0</v>
      </c>
      <c r="E8" s="222">
        <v>0</v>
      </c>
      <c r="F8" s="222">
        <v>0</v>
      </c>
      <c r="G8" s="222">
        <v>0</v>
      </c>
      <c r="H8" s="222">
        <v>0</v>
      </c>
      <c r="I8" s="222">
        <v>0</v>
      </c>
      <c r="J8" s="222">
        <v>0</v>
      </c>
      <c r="K8" s="222">
        <v>0</v>
      </c>
      <c r="L8" s="222">
        <v>0</v>
      </c>
      <c r="M8" s="174">
        <v>0</v>
      </c>
      <c r="N8" s="174">
        <v>0</v>
      </c>
      <c r="O8" s="174">
        <v>0</v>
      </c>
      <c r="P8" s="174">
        <v>0</v>
      </c>
      <c r="Q8" s="174">
        <v>0</v>
      </c>
      <c r="R8" s="174">
        <v>0</v>
      </c>
      <c r="S8" s="174">
        <v>0</v>
      </c>
      <c r="T8" s="174">
        <v>0</v>
      </c>
      <c r="V8" s="931"/>
      <c r="W8" s="931"/>
      <c r="X8" s="931"/>
    </row>
    <row r="9" spans="1:24" ht="13.25" customHeight="1">
      <c r="A9" s="83"/>
      <c r="B9" s="23" t="s">
        <v>22</v>
      </c>
      <c r="C9" s="236">
        <v>0</v>
      </c>
      <c r="D9" s="236">
        <v>0</v>
      </c>
      <c r="E9" s="222">
        <v>0</v>
      </c>
      <c r="F9" s="222">
        <v>0</v>
      </c>
      <c r="G9" s="222">
        <v>0</v>
      </c>
      <c r="H9" s="222">
        <v>114</v>
      </c>
      <c r="I9" s="222">
        <v>116</v>
      </c>
      <c r="J9" s="222">
        <v>57</v>
      </c>
      <c r="K9" s="222">
        <v>45</v>
      </c>
      <c r="L9" s="222">
        <v>44</v>
      </c>
      <c r="M9" s="174">
        <v>60</v>
      </c>
      <c r="N9" s="174">
        <v>61</v>
      </c>
      <c r="O9" s="174">
        <v>50</v>
      </c>
      <c r="P9" s="174">
        <v>24</v>
      </c>
      <c r="Q9" s="174">
        <v>17</v>
      </c>
      <c r="R9" s="174">
        <v>25</v>
      </c>
      <c r="S9" s="174">
        <v>25.5</v>
      </c>
      <c r="T9" s="174">
        <v>25.8</v>
      </c>
      <c r="V9" s="931"/>
      <c r="W9" s="931"/>
      <c r="X9" s="931"/>
    </row>
    <row r="10" spans="1:24" ht="13.25" customHeight="1">
      <c r="A10" s="83"/>
      <c r="B10" s="23" t="s">
        <v>23</v>
      </c>
      <c r="C10" s="236">
        <v>0</v>
      </c>
      <c r="D10" s="236">
        <v>0</v>
      </c>
      <c r="E10" s="222">
        <v>0</v>
      </c>
      <c r="F10" s="222">
        <v>0</v>
      </c>
      <c r="G10" s="222">
        <v>0</v>
      </c>
      <c r="H10" s="222">
        <v>0</v>
      </c>
      <c r="I10" s="222">
        <v>0</v>
      </c>
      <c r="J10" s="222">
        <v>0</v>
      </c>
      <c r="K10" s="222">
        <v>0</v>
      </c>
      <c r="L10" s="222">
        <v>0</v>
      </c>
      <c r="M10" s="222">
        <v>0</v>
      </c>
      <c r="N10" s="222">
        <v>0</v>
      </c>
      <c r="O10" s="222">
        <v>0</v>
      </c>
      <c r="P10" s="222">
        <v>0</v>
      </c>
      <c r="Q10" s="222">
        <v>0</v>
      </c>
      <c r="R10" s="222">
        <v>0</v>
      </c>
      <c r="S10" s="222">
        <v>0</v>
      </c>
      <c r="T10" s="222">
        <v>0</v>
      </c>
      <c r="V10" s="931"/>
      <c r="W10" s="931"/>
      <c r="X10" s="931"/>
    </row>
    <row r="11" spans="1:24" ht="13.25" customHeight="1">
      <c r="A11" s="83"/>
      <c r="B11" s="23" t="s">
        <v>24</v>
      </c>
      <c r="C11" s="236">
        <v>640</v>
      </c>
      <c r="D11" s="236">
        <v>686</v>
      </c>
      <c r="E11" s="222">
        <v>689</v>
      </c>
      <c r="F11" s="222">
        <v>688</v>
      </c>
      <c r="G11" s="222">
        <v>703</v>
      </c>
      <c r="H11" s="222">
        <v>709</v>
      </c>
      <c r="I11" s="222">
        <v>721</v>
      </c>
      <c r="J11" s="222">
        <v>733</v>
      </c>
      <c r="K11" s="222">
        <v>732</v>
      </c>
      <c r="L11" s="222">
        <v>735</v>
      </c>
      <c r="M11" s="174">
        <v>690</v>
      </c>
      <c r="N11" s="174">
        <v>706</v>
      </c>
      <c r="O11" s="174">
        <v>706</v>
      </c>
      <c r="P11" s="174">
        <v>724</v>
      </c>
      <c r="Q11" s="174">
        <v>734</v>
      </c>
      <c r="R11" s="174">
        <v>745.3</v>
      </c>
      <c r="S11" s="174">
        <v>751.9</v>
      </c>
      <c r="T11" s="174">
        <v>777.6</v>
      </c>
      <c r="V11" s="931"/>
      <c r="W11" s="931"/>
      <c r="X11" s="931"/>
    </row>
    <row r="12" spans="1:24" ht="13.25" customHeight="1">
      <c r="A12" s="83"/>
      <c r="B12" s="23" t="s">
        <v>25</v>
      </c>
      <c r="C12" s="236">
        <v>335</v>
      </c>
      <c r="D12" s="236">
        <v>330</v>
      </c>
      <c r="E12" s="222">
        <v>324</v>
      </c>
      <c r="F12" s="222">
        <v>302</v>
      </c>
      <c r="G12" s="222">
        <v>213</v>
      </c>
      <c r="H12" s="222">
        <v>142</v>
      </c>
      <c r="I12" s="222">
        <v>189</v>
      </c>
      <c r="J12" s="222">
        <v>228</v>
      </c>
      <c r="K12" s="222">
        <v>253</v>
      </c>
      <c r="L12" s="222">
        <v>194</v>
      </c>
      <c r="M12" s="174">
        <v>212</v>
      </c>
      <c r="N12" s="174">
        <v>192</v>
      </c>
      <c r="O12" s="174">
        <v>443</v>
      </c>
      <c r="P12" s="174">
        <v>407</v>
      </c>
      <c r="Q12" s="174">
        <v>286</v>
      </c>
      <c r="R12" s="174">
        <v>271.60000000000002</v>
      </c>
      <c r="S12" s="174">
        <v>262.60000000000002</v>
      </c>
      <c r="T12" s="174">
        <v>233.9</v>
      </c>
      <c r="V12" s="931"/>
      <c r="W12" s="931"/>
      <c r="X12" s="931"/>
    </row>
    <row r="13" spans="1:24" ht="13.25" customHeight="1">
      <c r="A13" s="83"/>
      <c r="B13" s="23" t="s">
        <v>29</v>
      </c>
      <c r="C13" s="236">
        <v>20</v>
      </c>
      <c r="D13" s="236">
        <v>23</v>
      </c>
      <c r="E13" s="222">
        <v>29</v>
      </c>
      <c r="F13" s="222">
        <v>7</v>
      </c>
      <c r="G13" s="222">
        <v>19</v>
      </c>
      <c r="H13" s="222">
        <v>18</v>
      </c>
      <c r="I13" s="222">
        <v>10</v>
      </c>
      <c r="J13" s="222">
        <v>11</v>
      </c>
      <c r="K13" s="222">
        <v>10</v>
      </c>
      <c r="L13" s="222">
        <v>10</v>
      </c>
      <c r="M13" s="222">
        <v>7</v>
      </c>
      <c r="N13" s="222">
        <v>4</v>
      </c>
      <c r="O13" s="222">
        <v>4</v>
      </c>
      <c r="P13" s="222">
        <v>4</v>
      </c>
      <c r="Q13" s="222">
        <v>3</v>
      </c>
      <c r="R13" s="222">
        <v>3.8</v>
      </c>
      <c r="S13" s="222">
        <v>3.9</v>
      </c>
      <c r="T13" s="222">
        <v>4</v>
      </c>
      <c r="V13" s="931"/>
      <c r="W13" s="931"/>
      <c r="X13" s="931"/>
    </row>
    <row r="14" spans="1:24" ht="13.25" customHeight="1">
      <c r="A14" s="83"/>
      <c r="B14" s="23" t="s">
        <v>30</v>
      </c>
      <c r="C14" s="236">
        <v>63</v>
      </c>
      <c r="D14" s="236">
        <v>57</v>
      </c>
      <c r="E14" s="222">
        <v>47</v>
      </c>
      <c r="F14" s="222">
        <v>44</v>
      </c>
      <c r="G14" s="222">
        <v>10</v>
      </c>
      <c r="H14" s="222">
        <v>10</v>
      </c>
      <c r="I14" s="222">
        <v>49</v>
      </c>
      <c r="J14" s="222">
        <v>17</v>
      </c>
      <c r="K14" s="222">
        <v>7</v>
      </c>
      <c r="L14" s="222">
        <v>5</v>
      </c>
      <c r="M14" s="174">
        <v>11</v>
      </c>
      <c r="N14" s="174">
        <v>15</v>
      </c>
      <c r="O14" s="174">
        <v>10</v>
      </c>
      <c r="P14" s="174">
        <v>10</v>
      </c>
      <c r="Q14" s="174">
        <v>9</v>
      </c>
      <c r="R14" s="174">
        <v>9.1999999999999993</v>
      </c>
      <c r="S14" s="174">
        <v>9.5</v>
      </c>
      <c r="T14" s="174">
        <v>11</v>
      </c>
      <c r="V14" s="931"/>
      <c r="W14" s="931"/>
      <c r="X14" s="931"/>
    </row>
    <row r="15" spans="1:24" ht="13.25" customHeight="1">
      <c r="A15" s="83"/>
      <c r="B15" s="23" t="s">
        <v>31</v>
      </c>
      <c r="C15" s="236">
        <v>57</v>
      </c>
      <c r="D15" s="236">
        <v>60</v>
      </c>
      <c r="E15" s="222">
        <v>83</v>
      </c>
      <c r="F15" s="222">
        <v>77</v>
      </c>
      <c r="G15" s="222">
        <v>87</v>
      </c>
      <c r="H15" s="222">
        <v>82</v>
      </c>
      <c r="I15" s="222">
        <v>122</v>
      </c>
      <c r="J15" s="222">
        <v>123</v>
      </c>
      <c r="K15" s="222">
        <v>59</v>
      </c>
      <c r="L15" s="222">
        <v>97</v>
      </c>
      <c r="M15" s="174">
        <v>107</v>
      </c>
      <c r="N15" s="174">
        <v>135</v>
      </c>
      <c r="O15" s="174">
        <v>96</v>
      </c>
      <c r="P15" s="174">
        <v>133</v>
      </c>
      <c r="Q15" s="174">
        <v>120</v>
      </c>
      <c r="R15" s="174">
        <v>110</v>
      </c>
      <c r="S15" s="174">
        <v>145.6</v>
      </c>
      <c r="T15" s="174">
        <v>135.5</v>
      </c>
      <c r="V15" s="931"/>
      <c r="W15" s="931"/>
      <c r="X15" s="931"/>
    </row>
    <row r="16" spans="1:24" ht="13.25" customHeight="1">
      <c r="A16" s="83"/>
      <c r="B16" s="23" t="s">
        <v>32</v>
      </c>
      <c r="C16" s="236">
        <v>0</v>
      </c>
      <c r="D16" s="236">
        <v>0</v>
      </c>
      <c r="E16" s="222">
        <v>0</v>
      </c>
      <c r="F16" s="222">
        <v>0</v>
      </c>
      <c r="G16" s="222">
        <v>0</v>
      </c>
      <c r="H16" s="222">
        <v>0</v>
      </c>
      <c r="I16" s="222">
        <v>0</v>
      </c>
      <c r="J16" s="222">
        <v>0</v>
      </c>
      <c r="K16" s="222">
        <v>0</v>
      </c>
      <c r="L16" s="222">
        <v>0</v>
      </c>
      <c r="M16" s="222">
        <v>0</v>
      </c>
      <c r="N16" s="222">
        <v>0</v>
      </c>
      <c r="O16" s="222">
        <v>0</v>
      </c>
      <c r="P16" s="222">
        <v>0</v>
      </c>
      <c r="Q16" s="222">
        <v>0</v>
      </c>
      <c r="R16" s="222">
        <v>0</v>
      </c>
      <c r="S16" s="222">
        <v>0</v>
      </c>
      <c r="T16" s="222">
        <v>0</v>
      </c>
      <c r="V16" s="931"/>
      <c r="W16" s="931"/>
      <c r="X16" s="931"/>
    </row>
    <row r="17" spans="1:24" ht="13.25" customHeight="1">
      <c r="A17" s="83"/>
      <c r="B17" s="23" t="s">
        <v>33</v>
      </c>
      <c r="C17" s="236">
        <v>666</v>
      </c>
      <c r="D17" s="236">
        <v>496</v>
      </c>
      <c r="E17" s="222">
        <v>362</v>
      </c>
      <c r="F17" s="222">
        <v>237</v>
      </c>
      <c r="G17" s="222">
        <v>251</v>
      </c>
      <c r="H17" s="222">
        <v>181</v>
      </c>
      <c r="I17" s="222">
        <v>97</v>
      </c>
      <c r="J17" s="222">
        <v>191</v>
      </c>
      <c r="K17" s="222">
        <v>342</v>
      </c>
      <c r="L17" s="222">
        <v>278</v>
      </c>
      <c r="M17" s="174">
        <v>278</v>
      </c>
      <c r="N17" s="174">
        <v>214</v>
      </c>
      <c r="O17" s="174">
        <v>245</v>
      </c>
      <c r="P17" s="174">
        <v>228</v>
      </c>
      <c r="Q17" s="174">
        <v>209</v>
      </c>
      <c r="R17" s="174">
        <v>188.8</v>
      </c>
      <c r="S17" s="174">
        <v>167.6</v>
      </c>
      <c r="T17" s="174">
        <v>137.80000000000001</v>
      </c>
      <c r="V17" s="931"/>
      <c r="W17" s="931"/>
      <c r="X17" s="931"/>
    </row>
    <row r="18" spans="1:24" ht="13.25" customHeight="1">
      <c r="A18" s="83"/>
      <c r="B18" s="23" t="s">
        <v>34</v>
      </c>
      <c r="C18" s="236">
        <v>1130</v>
      </c>
      <c r="D18" s="236">
        <v>1204</v>
      </c>
      <c r="E18" s="222">
        <v>1157</v>
      </c>
      <c r="F18" s="222">
        <v>1211</v>
      </c>
      <c r="G18" s="222">
        <v>1162</v>
      </c>
      <c r="H18" s="222">
        <v>1311</v>
      </c>
      <c r="I18" s="222">
        <v>895</v>
      </c>
      <c r="J18" s="222">
        <v>1165</v>
      </c>
      <c r="K18" s="222">
        <v>1071</v>
      </c>
      <c r="L18" s="222">
        <v>724</v>
      </c>
      <c r="M18" s="174">
        <v>778</v>
      </c>
      <c r="N18" s="174">
        <v>600</v>
      </c>
      <c r="O18" s="174">
        <v>659</v>
      </c>
      <c r="P18" s="174">
        <v>691</v>
      </c>
      <c r="Q18" s="174">
        <v>646</v>
      </c>
      <c r="R18" s="174">
        <v>643.5</v>
      </c>
      <c r="S18" s="174">
        <v>685.8</v>
      </c>
      <c r="T18" s="174">
        <v>677.7</v>
      </c>
      <c r="V18" s="931"/>
      <c r="W18" s="931"/>
      <c r="X18" s="931"/>
    </row>
    <row r="19" spans="1:24" ht="13.25" customHeight="1">
      <c r="A19" s="83"/>
      <c r="B19" s="23" t="s">
        <v>35</v>
      </c>
      <c r="C19" s="236">
        <v>943</v>
      </c>
      <c r="D19" s="236">
        <v>971</v>
      </c>
      <c r="E19" s="222">
        <v>730</v>
      </c>
      <c r="F19" s="222">
        <v>872</v>
      </c>
      <c r="G19" s="222">
        <v>1048</v>
      </c>
      <c r="H19" s="222">
        <v>1104</v>
      </c>
      <c r="I19" s="222">
        <v>1097</v>
      </c>
      <c r="J19" s="222">
        <v>1110</v>
      </c>
      <c r="K19" s="222">
        <v>1052</v>
      </c>
      <c r="L19" s="222">
        <v>1154</v>
      </c>
      <c r="M19" s="174">
        <v>1179</v>
      </c>
      <c r="N19" s="174">
        <v>1208</v>
      </c>
      <c r="O19" s="174">
        <v>1260</v>
      </c>
      <c r="P19" s="174">
        <v>1252</v>
      </c>
      <c r="Q19" s="174">
        <v>1306</v>
      </c>
      <c r="R19" s="174">
        <v>1135.4000000000001</v>
      </c>
      <c r="S19" s="174">
        <v>1214.3</v>
      </c>
      <c r="T19" s="174">
        <v>1588.3</v>
      </c>
      <c r="V19" s="931"/>
      <c r="W19" s="931"/>
      <c r="X19" s="931"/>
    </row>
    <row r="20" spans="1:24" ht="13.25" customHeight="1">
      <c r="A20" s="83"/>
      <c r="B20" s="23" t="s">
        <v>36</v>
      </c>
      <c r="C20" s="236">
        <v>877</v>
      </c>
      <c r="D20" s="236">
        <v>563</v>
      </c>
      <c r="E20" s="222">
        <v>499</v>
      </c>
      <c r="F20" s="222">
        <v>388</v>
      </c>
      <c r="G20" s="222">
        <v>379</v>
      </c>
      <c r="H20" s="222">
        <v>236</v>
      </c>
      <c r="I20" s="222">
        <v>497</v>
      </c>
      <c r="J20" s="222">
        <v>518</v>
      </c>
      <c r="K20" s="222">
        <v>456</v>
      </c>
      <c r="L20" s="222">
        <v>218</v>
      </c>
      <c r="M20" s="174">
        <v>128</v>
      </c>
      <c r="N20" s="174">
        <v>178</v>
      </c>
      <c r="O20" s="174">
        <v>334</v>
      </c>
      <c r="P20" s="174">
        <v>363</v>
      </c>
      <c r="Q20" s="174">
        <v>280</v>
      </c>
      <c r="R20" s="174">
        <v>235.3</v>
      </c>
      <c r="S20" s="174">
        <v>228.6</v>
      </c>
      <c r="T20" s="174">
        <v>214.3</v>
      </c>
      <c r="V20" s="931"/>
      <c r="W20" s="931"/>
      <c r="X20" s="931"/>
    </row>
    <row r="21" spans="1:24" ht="13.25" customHeight="1">
      <c r="A21" s="83"/>
      <c r="B21" s="23" t="s">
        <v>37</v>
      </c>
      <c r="C21" s="236">
        <v>72</v>
      </c>
      <c r="D21" s="236">
        <v>77</v>
      </c>
      <c r="E21" s="222">
        <v>94</v>
      </c>
      <c r="F21" s="222">
        <v>100</v>
      </c>
      <c r="G21" s="222">
        <v>89</v>
      </c>
      <c r="H21" s="222">
        <v>75</v>
      </c>
      <c r="I21" s="222">
        <v>57</v>
      </c>
      <c r="J21" s="222">
        <v>77</v>
      </c>
      <c r="K21" s="222">
        <v>84</v>
      </c>
      <c r="L21" s="222">
        <v>87</v>
      </c>
      <c r="M21" s="174">
        <v>80</v>
      </c>
      <c r="N21" s="174">
        <v>68</v>
      </c>
      <c r="O21" s="174">
        <v>63</v>
      </c>
      <c r="P21" s="174">
        <v>51</v>
      </c>
      <c r="Q21" s="174">
        <v>54</v>
      </c>
      <c r="R21" s="174">
        <v>57.1</v>
      </c>
      <c r="S21" s="174">
        <v>51.6</v>
      </c>
      <c r="T21" s="174">
        <v>46.7</v>
      </c>
      <c r="V21" s="931"/>
      <c r="W21" s="931"/>
      <c r="X21" s="931"/>
    </row>
    <row r="22" spans="1:24" ht="13.25" customHeight="1">
      <c r="A22" s="83"/>
      <c r="B22" s="23" t="s">
        <v>38</v>
      </c>
      <c r="C22" s="236">
        <v>3</v>
      </c>
      <c r="D22" s="236">
        <v>2</v>
      </c>
      <c r="E22" s="222">
        <v>1</v>
      </c>
      <c r="F22" s="222">
        <v>6</v>
      </c>
      <c r="G22" s="222">
        <v>4</v>
      </c>
      <c r="H22" s="222">
        <v>3</v>
      </c>
      <c r="I22" s="222">
        <v>0</v>
      </c>
      <c r="J22" s="222">
        <v>0</v>
      </c>
      <c r="K22" s="222">
        <v>0</v>
      </c>
      <c r="L22" s="222">
        <v>8</v>
      </c>
      <c r="M22" s="174">
        <v>6</v>
      </c>
      <c r="N22" s="174">
        <v>6</v>
      </c>
      <c r="O22" s="174">
        <v>5</v>
      </c>
      <c r="P22" s="174">
        <v>4</v>
      </c>
      <c r="Q22" s="174">
        <v>3</v>
      </c>
      <c r="R22" s="174">
        <v>3.8</v>
      </c>
      <c r="S22" s="174">
        <v>3.7</v>
      </c>
      <c r="T22" s="174">
        <v>3.6</v>
      </c>
      <c r="V22" s="931"/>
      <c r="W22" s="931"/>
      <c r="X22" s="931"/>
    </row>
    <row r="23" spans="1:24" ht="13.25" customHeight="1">
      <c r="A23" s="83"/>
      <c r="B23" s="23" t="s">
        <v>39</v>
      </c>
      <c r="C23" s="236">
        <v>0</v>
      </c>
      <c r="D23" s="236">
        <v>0</v>
      </c>
      <c r="E23" s="222">
        <v>0</v>
      </c>
      <c r="F23" s="222">
        <v>0</v>
      </c>
      <c r="G23" s="222">
        <v>0</v>
      </c>
      <c r="H23" s="222">
        <v>0</v>
      </c>
      <c r="I23" s="222">
        <v>0</v>
      </c>
      <c r="J23" s="222">
        <v>0</v>
      </c>
      <c r="K23" s="222">
        <v>0</v>
      </c>
      <c r="L23" s="222">
        <v>0</v>
      </c>
      <c r="M23" s="174">
        <v>0</v>
      </c>
      <c r="N23" s="174">
        <v>0</v>
      </c>
      <c r="O23" s="174">
        <v>0</v>
      </c>
      <c r="P23" s="174">
        <v>0</v>
      </c>
      <c r="Q23" s="174">
        <v>0</v>
      </c>
      <c r="R23" s="174">
        <v>0</v>
      </c>
      <c r="S23" s="174">
        <v>0</v>
      </c>
      <c r="T23" s="174">
        <v>0</v>
      </c>
      <c r="V23" s="931"/>
      <c r="W23" s="931"/>
      <c r="X23" s="931"/>
    </row>
    <row r="24" spans="1:24" ht="13.25" customHeight="1">
      <c r="A24" s="83"/>
      <c r="B24" s="23" t="s">
        <v>40</v>
      </c>
      <c r="C24" s="236">
        <v>439</v>
      </c>
      <c r="D24" s="236">
        <v>380</v>
      </c>
      <c r="E24" s="222">
        <v>443</v>
      </c>
      <c r="F24" s="222">
        <v>385</v>
      </c>
      <c r="G24" s="222">
        <v>425</v>
      </c>
      <c r="H24" s="222">
        <v>401</v>
      </c>
      <c r="I24" s="222">
        <v>440</v>
      </c>
      <c r="J24" s="222">
        <v>429</v>
      </c>
      <c r="K24" s="222">
        <v>469</v>
      </c>
      <c r="L24" s="222">
        <v>342</v>
      </c>
      <c r="M24" s="174">
        <v>290</v>
      </c>
      <c r="N24" s="174">
        <v>262</v>
      </c>
      <c r="O24" s="174">
        <v>329</v>
      </c>
      <c r="P24" s="174">
        <v>257</v>
      </c>
      <c r="Q24" s="174">
        <v>238</v>
      </c>
      <c r="R24" s="174">
        <v>200.2</v>
      </c>
      <c r="S24" s="174">
        <v>197.5</v>
      </c>
      <c r="T24" s="174">
        <v>179.4</v>
      </c>
      <c r="V24" s="931"/>
      <c r="W24" s="931"/>
      <c r="X24" s="931"/>
    </row>
    <row r="25" spans="1:24" ht="13.25" customHeight="1">
      <c r="A25" s="83"/>
      <c r="B25" s="23" t="s">
        <v>41</v>
      </c>
      <c r="C25" s="236">
        <v>197</v>
      </c>
      <c r="D25" s="236">
        <v>221</v>
      </c>
      <c r="E25" s="222">
        <v>254</v>
      </c>
      <c r="F25" s="222">
        <v>191</v>
      </c>
      <c r="G25" s="222">
        <v>150</v>
      </c>
      <c r="H25" s="222">
        <v>147</v>
      </c>
      <c r="I25" s="222">
        <v>280</v>
      </c>
      <c r="J25" s="222">
        <v>330</v>
      </c>
      <c r="K25" s="222">
        <v>352</v>
      </c>
      <c r="L25" s="222">
        <v>322</v>
      </c>
      <c r="M25" s="174">
        <v>304</v>
      </c>
      <c r="N25" s="174">
        <v>219</v>
      </c>
      <c r="O25" s="174">
        <v>177</v>
      </c>
      <c r="P25" s="174">
        <v>164</v>
      </c>
      <c r="Q25" s="174">
        <v>148</v>
      </c>
      <c r="R25" s="174">
        <v>142.4</v>
      </c>
      <c r="S25" s="174">
        <v>132.80000000000001</v>
      </c>
      <c r="T25" s="174">
        <v>126.7</v>
      </c>
      <c r="V25" s="931"/>
      <c r="W25" s="931"/>
      <c r="X25" s="931"/>
    </row>
    <row r="26" spans="1:24" ht="13.25" customHeight="1">
      <c r="A26" s="83"/>
      <c r="B26" s="23" t="s">
        <v>44</v>
      </c>
      <c r="C26" s="236">
        <v>532</v>
      </c>
      <c r="D26" s="236">
        <v>363</v>
      </c>
      <c r="E26" s="222">
        <v>1222</v>
      </c>
      <c r="F26" s="222">
        <v>639</v>
      </c>
      <c r="G26" s="222">
        <v>762</v>
      </c>
      <c r="H26" s="222">
        <v>679</v>
      </c>
      <c r="I26" s="222">
        <v>685</v>
      </c>
      <c r="J26" s="222">
        <v>1070</v>
      </c>
      <c r="K26" s="222">
        <v>805</v>
      </c>
      <c r="L26" s="222">
        <v>768</v>
      </c>
      <c r="M26" s="174">
        <v>748</v>
      </c>
      <c r="N26" s="174">
        <v>735</v>
      </c>
      <c r="O26" s="174">
        <v>723</v>
      </c>
      <c r="P26" s="174">
        <v>676</v>
      </c>
      <c r="Q26" s="174">
        <v>673</v>
      </c>
      <c r="R26" s="174">
        <v>659.4</v>
      </c>
      <c r="S26" s="174">
        <v>744.2</v>
      </c>
      <c r="T26" s="174">
        <v>751.1</v>
      </c>
      <c r="V26" s="931"/>
      <c r="W26" s="931"/>
      <c r="X26" s="931"/>
    </row>
    <row r="27" spans="1:24" ht="13.25" customHeight="1">
      <c r="A27" s="83"/>
      <c r="B27" s="23" t="s">
        <v>45</v>
      </c>
      <c r="C27" s="236">
        <v>4940</v>
      </c>
      <c r="D27" s="236">
        <v>4942</v>
      </c>
      <c r="E27" s="222">
        <v>4960</v>
      </c>
      <c r="F27" s="222">
        <v>4940</v>
      </c>
      <c r="G27" s="222">
        <v>4978</v>
      </c>
      <c r="H27" s="222">
        <v>5007</v>
      </c>
      <c r="I27" s="222">
        <v>5038</v>
      </c>
      <c r="J27" s="222">
        <v>4970</v>
      </c>
      <c r="K27" s="222">
        <v>4668</v>
      </c>
      <c r="L27" s="222">
        <v>4989</v>
      </c>
      <c r="M27" s="174">
        <v>4077</v>
      </c>
      <c r="N27" s="174">
        <v>4750</v>
      </c>
      <c r="O27" s="174">
        <v>3035</v>
      </c>
      <c r="P27" s="174">
        <v>3068</v>
      </c>
      <c r="Q27" s="174">
        <v>3016</v>
      </c>
      <c r="R27" s="174">
        <v>3035.7</v>
      </c>
      <c r="S27" s="174">
        <v>3065</v>
      </c>
      <c r="T27" s="174">
        <v>3070.5</v>
      </c>
      <c r="V27" s="931"/>
      <c r="W27" s="931"/>
      <c r="X27" s="931"/>
    </row>
    <row r="28" spans="1:24" ht="13.25" customHeight="1">
      <c r="A28" s="83"/>
      <c r="B28" s="82" t="s">
        <v>46</v>
      </c>
      <c r="C28" s="236">
        <v>0</v>
      </c>
      <c r="D28" s="236">
        <v>0</v>
      </c>
      <c r="E28" s="222">
        <v>0</v>
      </c>
      <c r="F28" s="222">
        <v>0</v>
      </c>
      <c r="G28" s="222">
        <v>0</v>
      </c>
      <c r="H28" s="222">
        <v>0</v>
      </c>
      <c r="I28" s="222">
        <v>0</v>
      </c>
      <c r="J28" s="222">
        <v>0</v>
      </c>
      <c r="K28" s="222">
        <v>0</v>
      </c>
      <c r="L28" s="222">
        <v>0</v>
      </c>
      <c r="M28" s="174">
        <v>0</v>
      </c>
      <c r="N28" s="174">
        <v>0</v>
      </c>
      <c r="O28" s="174">
        <v>0</v>
      </c>
      <c r="P28" s="174">
        <v>0</v>
      </c>
      <c r="Q28" s="174">
        <v>0</v>
      </c>
      <c r="R28" s="174">
        <v>0</v>
      </c>
      <c r="S28" s="174">
        <v>0</v>
      </c>
      <c r="T28" s="174">
        <v>0</v>
      </c>
      <c r="V28" s="90"/>
    </row>
    <row r="29" spans="1:24" ht="13.25" customHeight="1">
      <c r="A29" s="83"/>
      <c r="B29" s="23" t="s">
        <v>47</v>
      </c>
      <c r="C29" s="236">
        <v>0</v>
      </c>
      <c r="D29" s="236">
        <v>0</v>
      </c>
      <c r="E29" s="222">
        <v>0</v>
      </c>
      <c r="F29" s="222">
        <v>0</v>
      </c>
      <c r="G29" s="222">
        <v>0</v>
      </c>
      <c r="H29" s="222">
        <v>0</v>
      </c>
      <c r="I29" s="222">
        <v>0</v>
      </c>
      <c r="J29" s="222">
        <v>0</v>
      </c>
      <c r="K29" s="222">
        <v>0</v>
      </c>
      <c r="L29" s="222">
        <v>0</v>
      </c>
      <c r="M29" s="174">
        <v>0</v>
      </c>
      <c r="N29" s="174">
        <v>0</v>
      </c>
      <c r="O29" s="174">
        <v>0</v>
      </c>
      <c r="P29" s="174">
        <v>0</v>
      </c>
      <c r="Q29" s="174">
        <v>0</v>
      </c>
      <c r="R29" s="174">
        <v>0</v>
      </c>
      <c r="S29" s="174">
        <v>0</v>
      </c>
      <c r="T29" s="174">
        <v>0</v>
      </c>
      <c r="V29" s="90"/>
    </row>
    <row r="30" spans="1:24" ht="13.25" customHeight="1">
      <c r="A30" s="83"/>
      <c r="B30" s="23" t="s">
        <v>48</v>
      </c>
      <c r="C30" s="236">
        <v>0</v>
      </c>
      <c r="D30" s="236">
        <v>0</v>
      </c>
      <c r="E30" s="222">
        <v>0</v>
      </c>
      <c r="F30" s="222">
        <v>0</v>
      </c>
      <c r="G30" s="222">
        <v>0</v>
      </c>
      <c r="H30" s="222">
        <v>0</v>
      </c>
      <c r="I30" s="222">
        <v>0</v>
      </c>
      <c r="J30" s="222">
        <v>0</v>
      </c>
      <c r="K30" s="222">
        <v>0</v>
      </c>
      <c r="L30" s="222">
        <v>0</v>
      </c>
      <c r="M30" s="174">
        <v>0</v>
      </c>
      <c r="N30" s="174">
        <v>0</v>
      </c>
      <c r="O30" s="174">
        <v>0</v>
      </c>
      <c r="P30" s="174">
        <v>0</v>
      </c>
      <c r="Q30" s="174">
        <v>0</v>
      </c>
      <c r="R30" s="174">
        <v>0</v>
      </c>
      <c r="S30" s="174">
        <v>0</v>
      </c>
      <c r="T30" s="174">
        <v>0</v>
      </c>
      <c r="V30" s="90"/>
    </row>
    <row r="31" spans="1:24" ht="13.25" customHeight="1" thickBot="1">
      <c r="A31" s="88"/>
      <c r="B31" s="577" t="s">
        <v>49</v>
      </c>
      <c r="C31" s="585">
        <v>0</v>
      </c>
      <c r="D31" s="585">
        <v>0</v>
      </c>
      <c r="E31" s="581">
        <v>0</v>
      </c>
      <c r="F31" s="581">
        <v>0</v>
      </c>
      <c r="G31" s="581">
        <v>0</v>
      </c>
      <c r="H31" s="581">
        <v>0</v>
      </c>
      <c r="I31" s="581">
        <v>0</v>
      </c>
      <c r="J31" s="581">
        <v>0</v>
      </c>
      <c r="K31" s="581">
        <v>0</v>
      </c>
      <c r="L31" s="581">
        <v>0</v>
      </c>
      <c r="M31" s="584">
        <v>0</v>
      </c>
      <c r="N31" s="584">
        <v>0</v>
      </c>
      <c r="O31" s="584">
        <v>0</v>
      </c>
      <c r="P31" s="584">
        <v>0</v>
      </c>
      <c r="Q31" s="584">
        <v>0</v>
      </c>
      <c r="R31" s="584">
        <v>0</v>
      </c>
      <c r="S31" s="584">
        <v>0</v>
      </c>
      <c r="T31" s="584">
        <v>0</v>
      </c>
      <c r="V31" s="90"/>
    </row>
    <row r="32" spans="1:24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2">
    <tabColor theme="9" tint="0.59999389629810485"/>
  </sheetPr>
  <dimension ref="A2:T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7.3984375" style="82" customWidth="1"/>
    <col min="22" max="16384" width="7" style="82"/>
  </cols>
  <sheetData>
    <row r="2" spans="1:20" ht="13.25" customHeight="1">
      <c r="A2" s="230" t="s">
        <v>505</v>
      </c>
      <c r="B2" s="231"/>
    </row>
    <row r="3" spans="1:20" ht="13.25" customHeight="1">
      <c r="A3" s="232" t="s">
        <v>421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103</v>
      </c>
      <c r="B6" s="963"/>
      <c r="C6" s="570">
        <v>3.77</v>
      </c>
      <c r="D6" s="570">
        <v>3.79</v>
      </c>
      <c r="E6" s="570">
        <v>4.33</v>
      </c>
      <c r="F6" s="570">
        <v>4.59</v>
      </c>
      <c r="G6" s="570">
        <v>4.03</v>
      </c>
      <c r="H6" s="570">
        <v>4.4800000000000004</v>
      </c>
      <c r="I6" s="570">
        <v>4.88</v>
      </c>
      <c r="J6" s="570">
        <v>5.16</v>
      </c>
      <c r="K6" s="570">
        <v>5.62</v>
      </c>
      <c r="L6" s="570">
        <v>5.51</v>
      </c>
      <c r="M6" s="570">
        <v>5.45</v>
      </c>
      <c r="N6" s="570">
        <v>5.84</v>
      </c>
      <c r="O6" s="570">
        <v>6.18</v>
      </c>
      <c r="P6" s="570">
        <v>6.45</v>
      </c>
      <c r="Q6" s="570">
        <v>6.94</v>
      </c>
      <c r="R6" s="570">
        <v>6.68</v>
      </c>
      <c r="S6" s="570">
        <v>6.86</v>
      </c>
      <c r="T6" s="570">
        <v>6.9</v>
      </c>
    </row>
    <row r="7" spans="1:20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0" ht="13.25" customHeight="1">
      <c r="A8" s="83"/>
      <c r="B8" s="23" t="s">
        <v>21</v>
      </c>
      <c r="C8" s="238" t="s">
        <v>75</v>
      </c>
      <c r="D8" s="238" t="s">
        <v>75</v>
      </c>
      <c r="E8" s="238" t="s">
        <v>75</v>
      </c>
      <c r="F8" s="238" t="s">
        <v>75</v>
      </c>
      <c r="G8" s="238" t="s">
        <v>75</v>
      </c>
      <c r="H8" s="238" t="s">
        <v>75</v>
      </c>
      <c r="I8" s="238" t="s">
        <v>75</v>
      </c>
      <c r="J8" s="238" t="s">
        <v>75</v>
      </c>
      <c r="K8" s="238" t="s">
        <v>75</v>
      </c>
      <c r="L8" s="238" t="s">
        <v>75</v>
      </c>
      <c r="M8" s="238" t="s">
        <v>75</v>
      </c>
      <c r="N8" s="238" t="s">
        <v>75</v>
      </c>
      <c r="O8" s="238" t="s">
        <v>75</v>
      </c>
      <c r="P8" s="238" t="s">
        <v>75</v>
      </c>
      <c r="Q8" s="238" t="s">
        <v>75</v>
      </c>
      <c r="R8" s="238"/>
      <c r="S8" s="238"/>
      <c r="T8" s="238"/>
    </row>
    <row r="9" spans="1:20" ht="13.25" customHeight="1">
      <c r="A9" s="83"/>
      <c r="B9" s="23" t="s">
        <v>22</v>
      </c>
      <c r="C9" s="238" t="s">
        <v>75</v>
      </c>
      <c r="D9" s="238" t="s">
        <v>75</v>
      </c>
      <c r="E9" s="238" t="s">
        <v>75</v>
      </c>
      <c r="F9" s="238" t="s">
        <v>75</v>
      </c>
      <c r="G9" s="238" t="s">
        <v>75</v>
      </c>
      <c r="H9" s="238">
        <v>5.34</v>
      </c>
      <c r="I9" s="238">
        <v>5.62</v>
      </c>
      <c r="J9" s="238">
        <v>6.37</v>
      </c>
      <c r="K9" s="238">
        <v>7.28</v>
      </c>
      <c r="L9" s="238">
        <v>6.23</v>
      </c>
      <c r="M9" s="238">
        <v>6.79</v>
      </c>
      <c r="N9" s="238">
        <v>6.83</v>
      </c>
      <c r="O9" s="238">
        <v>7.45</v>
      </c>
      <c r="P9" s="238">
        <v>7.27</v>
      </c>
      <c r="Q9" s="238">
        <v>7.36</v>
      </c>
      <c r="R9" s="238">
        <v>6.95</v>
      </c>
      <c r="S9" s="238">
        <v>6.93</v>
      </c>
      <c r="T9" s="238">
        <v>6.99</v>
      </c>
    </row>
    <row r="10" spans="1:20" ht="13.25" customHeight="1">
      <c r="A10" s="83"/>
      <c r="B10" s="23" t="s">
        <v>23</v>
      </c>
      <c r="C10" s="238" t="s">
        <v>75</v>
      </c>
      <c r="D10" s="238" t="s">
        <v>75</v>
      </c>
      <c r="E10" s="238" t="s">
        <v>75</v>
      </c>
      <c r="F10" s="238" t="s">
        <v>75</v>
      </c>
      <c r="G10" s="238" t="s">
        <v>75</v>
      </c>
      <c r="H10" s="238" t="s">
        <v>75</v>
      </c>
      <c r="I10" s="238" t="s">
        <v>75</v>
      </c>
      <c r="J10" s="238" t="s">
        <v>75</v>
      </c>
      <c r="K10" s="238" t="s">
        <v>75</v>
      </c>
      <c r="L10" s="238" t="s">
        <v>75</v>
      </c>
      <c r="M10" s="238" t="s">
        <v>75</v>
      </c>
      <c r="N10" s="238" t="s">
        <v>75</v>
      </c>
      <c r="O10" s="238" t="s">
        <v>75</v>
      </c>
      <c r="P10" s="238" t="s">
        <v>75</v>
      </c>
      <c r="Q10" s="238" t="s">
        <v>75</v>
      </c>
      <c r="R10" s="238" t="s">
        <v>75</v>
      </c>
      <c r="S10" s="238" t="s">
        <v>75</v>
      </c>
      <c r="T10" s="238" t="s">
        <v>75</v>
      </c>
    </row>
    <row r="11" spans="1:20" ht="13.25" customHeight="1">
      <c r="A11" s="83"/>
      <c r="B11" s="23" t="s">
        <v>24</v>
      </c>
      <c r="C11" s="238">
        <v>7.35</v>
      </c>
      <c r="D11" s="238">
        <v>5.3</v>
      </c>
      <c r="E11" s="238">
        <v>5.08</v>
      </c>
      <c r="F11" s="238">
        <v>6.45</v>
      </c>
      <c r="G11" s="238">
        <v>4.7</v>
      </c>
      <c r="H11" s="238">
        <v>4.9000000000000004</v>
      </c>
      <c r="I11" s="238">
        <v>7.5</v>
      </c>
      <c r="J11" s="238">
        <v>7.31</v>
      </c>
      <c r="K11" s="238">
        <v>7.63</v>
      </c>
      <c r="L11" s="238">
        <v>7.63</v>
      </c>
      <c r="M11" s="238">
        <v>7.41</v>
      </c>
      <c r="N11" s="238">
        <v>7.42</v>
      </c>
      <c r="O11" s="238">
        <v>7.42</v>
      </c>
      <c r="P11" s="238">
        <v>7.29</v>
      </c>
      <c r="Q11" s="238">
        <v>7.28</v>
      </c>
      <c r="R11" s="238">
        <v>7.67</v>
      </c>
      <c r="S11" s="238">
        <v>7.72</v>
      </c>
      <c r="T11" s="238">
        <v>7.7</v>
      </c>
    </row>
    <row r="12" spans="1:20" ht="13.25" customHeight="1">
      <c r="A12" s="83"/>
      <c r="B12" s="23" t="s">
        <v>25</v>
      </c>
      <c r="C12" s="238">
        <v>4.9800000000000004</v>
      </c>
      <c r="D12" s="238">
        <v>5.83</v>
      </c>
      <c r="E12" s="238">
        <v>7.02</v>
      </c>
      <c r="F12" s="238">
        <v>6.07</v>
      </c>
      <c r="G12" s="238">
        <v>6.07</v>
      </c>
      <c r="H12" s="238">
        <v>5.54</v>
      </c>
      <c r="I12" s="238">
        <v>6.22</v>
      </c>
      <c r="J12" s="238">
        <v>4.0599999999999996</v>
      </c>
      <c r="K12" s="238">
        <v>6.92</v>
      </c>
      <c r="L12" s="238">
        <v>7.48</v>
      </c>
      <c r="M12" s="238">
        <v>6.89</v>
      </c>
      <c r="N12" s="238">
        <v>6.79</v>
      </c>
      <c r="O12" s="238">
        <v>7.02</v>
      </c>
      <c r="P12" s="238">
        <v>7.25</v>
      </c>
      <c r="Q12" s="238">
        <v>7.4</v>
      </c>
      <c r="R12" s="238">
        <v>7.08</v>
      </c>
      <c r="S12" s="238">
        <v>7.03</v>
      </c>
      <c r="T12" s="238">
        <v>7.02</v>
      </c>
    </row>
    <row r="13" spans="1:20" ht="13.25" customHeight="1">
      <c r="A13" s="83"/>
      <c r="B13" s="23" t="s">
        <v>29</v>
      </c>
      <c r="C13" s="238">
        <v>4.8499999999999996</v>
      </c>
      <c r="D13" s="238">
        <v>3.31</v>
      </c>
      <c r="E13" s="238">
        <v>8.5299999999999994</v>
      </c>
      <c r="F13" s="238">
        <v>4.45</v>
      </c>
      <c r="G13" s="238">
        <v>6.56</v>
      </c>
      <c r="H13" s="238">
        <v>5.14</v>
      </c>
      <c r="I13" s="238">
        <v>6.66</v>
      </c>
      <c r="J13" s="238">
        <v>6.69</v>
      </c>
      <c r="K13" s="238">
        <v>6.48</v>
      </c>
      <c r="L13" s="238">
        <v>7.01</v>
      </c>
      <c r="M13" s="238">
        <v>6.77</v>
      </c>
      <c r="N13" s="238">
        <v>6.26</v>
      </c>
      <c r="O13" s="238">
        <v>6.88</v>
      </c>
      <c r="P13" s="238">
        <v>7.38</v>
      </c>
      <c r="Q13" s="238">
        <v>7.35</v>
      </c>
      <c r="R13" s="238">
        <v>5.95</v>
      </c>
      <c r="S13" s="238">
        <v>7.3</v>
      </c>
      <c r="T13" s="238">
        <v>6.94</v>
      </c>
    </row>
    <row r="14" spans="1:20" ht="13.25" customHeight="1">
      <c r="A14" s="83"/>
      <c r="B14" s="23" t="s">
        <v>30</v>
      </c>
      <c r="C14" s="238">
        <v>3.31</v>
      </c>
      <c r="D14" s="238">
        <v>3.39</v>
      </c>
      <c r="E14" s="238">
        <v>3.64</v>
      </c>
      <c r="F14" s="238">
        <v>4.6500000000000004</v>
      </c>
      <c r="G14" s="238">
        <v>4.54</v>
      </c>
      <c r="H14" s="238">
        <v>5.66</v>
      </c>
      <c r="I14" s="238">
        <v>7.01</v>
      </c>
      <c r="J14" s="238">
        <v>6.12</v>
      </c>
      <c r="K14" s="238">
        <v>6.66</v>
      </c>
      <c r="L14" s="238">
        <v>6.79</v>
      </c>
      <c r="M14" s="238">
        <v>6.74</v>
      </c>
      <c r="N14" s="238">
        <v>6.48</v>
      </c>
      <c r="O14" s="238">
        <v>6.3</v>
      </c>
      <c r="P14" s="238">
        <v>6.3</v>
      </c>
      <c r="Q14" s="238">
        <v>7.32</v>
      </c>
      <c r="R14" s="238">
        <v>7.51</v>
      </c>
      <c r="S14" s="238">
        <v>7.45</v>
      </c>
      <c r="T14" s="238">
        <v>7.46</v>
      </c>
    </row>
    <row r="15" spans="1:20" ht="13.25" customHeight="1">
      <c r="A15" s="83"/>
      <c r="B15" s="23" t="s">
        <v>31</v>
      </c>
      <c r="C15" s="238">
        <v>3.3</v>
      </c>
      <c r="D15" s="238">
        <v>3.28</v>
      </c>
      <c r="E15" s="238">
        <v>3.81</v>
      </c>
      <c r="F15" s="238">
        <v>4.1100000000000003</v>
      </c>
      <c r="G15" s="238">
        <v>4.54</v>
      </c>
      <c r="H15" s="238">
        <v>3.88</v>
      </c>
      <c r="I15" s="238">
        <v>5.66</v>
      </c>
      <c r="J15" s="238">
        <v>5.83</v>
      </c>
      <c r="K15" s="238">
        <v>6.79</v>
      </c>
      <c r="L15" s="238">
        <v>5.56</v>
      </c>
      <c r="M15" s="238">
        <v>7.06</v>
      </c>
      <c r="N15" s="238">
        <v>7.23</v>
      </c>
      <c r="O15" s="238">
        <v>6.84</v>
      </c>
      <c r="P15" s="238">
        <v>7.52</v>
      </c>
      <c r="Q15" s="238">
        <v>7.41</v>
      </c>
      <c r="R15" s="238">
        <v>7.26</v>
      </c>
      <c r="S15" s="238">
        <v>6.97</v>
      </c>
      <c r="T15" s="238">
        <v>7.48</v>
      </c>
    </row>
    <row r="16" spans="1:20" ht="13.25" customHeight="1">
      <c r="A16" s="83"/>
      <c r="B16" s="23" t="s">
        <v>32</v>
      </c>
      <c r="C16" s="238" t="s">
        <v>75</v>
      </c>
      <c r="D16" s="238" t="s">
        <v>75</v>
      </c>
      <c r="E16" s="238" t="s">
        <v>75</v>
      </c>
      <c r="F16" s="238" t="s">
        <v>75</v>
      </c>
      <c r="G16" s="238" t="s">
        <v>75</v>
      </c>
      <c r="H16" s="238" t="s">
        <v>75</v>
      </c>
      <c r="I16" s="238" t="s">
        <v>75</v>
      </c>
      <c r="J16" s="238" t="s">
        <v>75</v>
      </c>
      <c r="K16" s="238" t="s">
        <v>75</v>
      </c>
      <c r="L16" s="238" t="s">
        <v>75</v>
      </c>
      <c r="M16" s="238" t="s">
        <v>75</v>
      </c>
      <c r="N16" s="238" t="s">
        <v>75</v>
      </c>
      <c r="O16" s="238" t="s">
        <v>75</v>
      </c>
      <c r="P16" s="238" t="s">
        <v>75</v>
      </c>
      <c r="Q16" s="238" t="s">
        <v>75</v>
      </c>
      <c r="R16" s="238" t="s">
        <v>75</v>
      </c>
      <c r="S16" s="238" t="s">
        <v>75</v>
      </c>
      <c r="T16" s="238" t="s">
        <v>75</v>
      </c>
    </row>
    <row r="17" spans="1:20" ht="13.25" customHeight="1">
      <c r="A17" s="83"/>
      <c r="B17" s="23" t="s">
        <v>33</v>
      </c>
      <c r="C17" s="238">
        <v>3.53</v>
      </c>
      <c r="D17" s="238">
        <v>3.44</v>
      </c>
      <c r="E17" s="238">
        <v>3.55</v>
      </c>
      <c r="F17" s="238">
        <v>3.58</v>
      </c>
      <c r="G17" s="238">
        <v>3.77</v>
      </c>
      <c r="H17" s="238">
        <v>4.3899999999999997</v>
      </c>
      <c r="I17" s="238">
        <v>4.76</v>
      </c>
      <c r="J17" s="238">
        <v>4.97</v>
      </c>
      <c r="K17" s="238">
        <v>6.32</v>
      </c>
      <c r="L17" s="238">
        <v>5.23</v>
      </c>
      <c r="M17" s="238">
        <v>5.87</v>
      </c>
      <c r="N17" s="238">
        <v>6.52</v>
      </c>
      <c r="O17" s="238">
        <v>6.71</v>
      </c>
      <c r="P17" s="238">
        <v>6.66</v>
      </c>
      <c r="Q17" s="238">
        <v>7.03</v>
      </c>
      <c r="R17" s="238">
        <v>7.07</v>
      </c>
      <c r="S17" s="238">
        <v>7.27</v>
      </c>
      <c r="T17" s="238">
        <v>7.2</v>
      </c>
    </row>
    <row r="18" spans="1:20" ht="13.25" customHeight="1">
      <c r="A18" s="83"/>
      <c r="B18" s="23" t="s">
        <v>34</v>
      </c>
      <c r="C18" s="238">
        <v>3.94</v>
      </c>
      <c r="D18" s="238">
        <v>3.3</v>
      </c>
      <c r="E18" s="238">
        <v>3.33</v>
      </c>
      <c r="F18" s="238">
        <v>3.55</v>
      </c>
      <c r="G18" s="238">
        <v>3.61</v>
      </c>
      <c r="H18" s="238">
        <v>4.17</v>
      </c>
      <c r="I18" s="238">
        <v>4.4800000000000004</v>
      </c>
      <c r="J18" s="238">
        <v>4.78</v>
      </c>
      <c r="K18" s="238">
        <v>5</v>
      </c>
      <c r="L18" s="238">
        <v>5.46</v>
      </c>
      <c r="M18" s="238">
        <v>5.62</v>
      </c>
      <c r="N18" s="238">
        <v>6.31</v>
      </c>
      <c r="O18" s="238">
        <v>6.08</v>
      </c>
      <c r="P18" s="238">
        <v>6.17</v>
      </c>
      <c r="Q18" s="238">
        <v>6.82</v>
      </c>
      <c r="R18" s="238">
        <v>7.03</v>
      </c>
      <c r="S18" s="238">
        <v>6.96</v>
      </c>
      <c r="T18" s="238">
        <v>6.91</v>
      </c>
    </row>
    <row r="19" spans="1:20" ht="13.25" customHeight="1">
      <c r="A19" s="83"/>
      <c r="B19" s="23" t="s">
        <v>35</v>
      </c>
      <c r="C19" s="238">
        <v>1.51</v>
      </c>
      <c r="D19" s="238">
        <v>2.0099999999999998</v>
      </c>
      <c r="E19" s="238">
        <v>2.7</v>
      </c>
      <c r="F19" s="238">
        <v>3.63</v>
      </c>
      <c r="G19" s="238">
        <v>4.78</v>
      </c>
      <c r="H19" s="238">
        <v>5.8</v>
      </c>
      <c r="I19" s="238">
        <v>4.88</v>
      </c>
      <c r="J19" s="238">
        <v>3.45</v>
      </c>
      <c r="K19" s="238">
        <v>5.1100000000000003</v>
      </c>
      <c r="L19" s="238">
        <v>4.74</v>
      </c>
      <c r="M19" s="238">
        <v>5.63</v>
      </c>
      <c r="N19" s="238">
        <v>5.77</v>
      </c>
      <c r="O19" s="238">
        <v>5.54</v>
      </c>
      <c r="P19" s="238">
        <v>6.05</v>
      </c>
      <c r="Q19" s="238">
        <v>6.91</v>
      </c>
      <c r="R19" s="238">
        <v>7.17</v>
      </c>
      <c r="S19" s="238">
        <v>7.09</v>
      </c>
      <c r="T19" s="238">
        <v>7.13</v>
      </c>
    </row>
    <row r="20" spans="1:20" ht="13.25" customHeight="1">
      <c r="A20" s="83"/>
      <c r="B20" s="23" t="s">
        <v>36</v>
      </c>
      <c r="C20" s="238">
        <v>1.7</v>
      </c>
      <c r="D20" s="238">
        <v>2.2200000000000002</v>
      </c>
      <c r="E20" s="238">
        <v>2.67</v>
      </c>
      <c r="F20" s="238">
        <v>3.58</v>
      </c>
      <c r="G20" s="238">
        <v>5.54</v>
      </c>
      <c r="H20" s="238">
        <v>5.52</v>
      </c>
      <c r="I20" s="238">
        <v>3.43</v>
      </c>
      <c r="J20" s="238">
        <v>3.6</v>
      </c>
      <c r="K20" s="238">
        <v>5.03</v>
      </c>
      <c r="L20" s="238">
        <v>4.8</v>
      </c>
      <c r="M20" s="238">
        <v>5.47</v>
      </c>
      <c r="N20" s="238">
        <v>6.33</v>
      </c>
      <c r="O20" s="238">
        <v>5.83</v>
      </c>
      <c r="P20" s="238">
        <v>5.84</v>
      </c>
      <c r="Q20" s="238">
        <v>6.86</v>
      </c>
      <c r="R20" s="238">
        <v>6.74</v>
      </c>
      <c r="S20" s="238">
        <v>6.86</v>
      </c>
      <c r="T20" s="238">
        <v>7.07</v>
      </c>
    </row>
    <row r="21" spans="1:20" ht="13.25" customHeight="1">
      <c r="A21" s="83"/>
      <c r="B21" s="23" t="s">
        <v>37</v>
      </c>
      <c r="C21" s="238">
        <v>2.25</v>
      </c>
      <c r="D21" s="238">
        <v>2.35</v>
      </c>
      <c r="E21" s="238">
        <v>2.72</v>
      </c>
      <c r="F21" s="238">
        <v>2.5</v>
      </c>
      <c r="G21" s="238">
        <v>2.93</v>
      </c>
      <c r="H21" s="238">
        <v>3.88</v>
      </c>
      <c r="I21" s="238">
        <v>4.55</v>
      </c>
      <c r="J21" s="238">
        <v>5.35</v>
      </c>
      <c r="K21" s="238">
        <v>5.0599999999999996</v>
      </c>
      <c r="L21" s="238">
        <v>5.04</v>
      </c>
      <c r="M21" s="238">
        <v>5.92</v>
      </c>
      <c r="N21" s="238">
        <v>6.13</v>
      </c>
      <c r="O21" s="238">
        <v>4.76</v>
      </c>
      <c r="P21" s="238">
        <v>6.19</v>
      </c>
      <c r="Q21" s="238">
        <v>6.96</v>
      </c>
      <c r="R21" s="238">
        <v>7.21</v>
      </c>
      <c r="S21" s="238">
        <v>7.12</v>
      </c>
      <c r="T21" s="238">
        <v>7.19</v>
      </c>
    </row>
    <row r="22" spans="1:20" ht="13.25" customHeight="1">
      <c r="A22" s="83"/>
      <c r="B22" s="23" t="s">
        <v>38</v>
      </c>
      <c r="C22" s="238">
        <v>2.4900000000000002</v>
      </c>
      <c r="D22" s="238">
        <v>3.27</v>
      </c>
      <c r="E22" s="238">
        <v>3.12</v>
      </c>
      <c r="F22" s="238">
        <v>2.21</v>
      </c>
      <c r="G22" s="238">
        <v>3.37</v>
      </c>
      <c r="H22" s="238">
        <v>3.89</v>
      </c>
      <c r="I22" s="238">
        <v>5.7</v>
      </c>
      <c r="J22" s="238">
        <v>0</v>
      </c>
      <c r="K22" s="238">
        <v>5.73</v>
      </c>
      <c r="L22" s="238">
        <v>5.29</v>
      </c>
      <c r="M22" s="238">
        <v>6.22</v>
      </c>
      <c r="N22" s="238">
        <v>6.49</v>
      </c>
      <c r="O22" s="238">
        <v>6.43</v>
      </c>
      <c r="P22" s="238">
        <v>6.16</v>
      </c>
      <c r="Q22" s="238">
        <v>7.38</v>
      </c>
      <c r="R22" s="238">
        <v>6.05</v>
      </c>
      <c r="S22" s="238">
        <v>6.99</v>
      </c>
      <c r="T22" s="238">
        <v>6.96</v>
      </c>
    </row>
    <row r="23" spans="1:20" ht="13.25" customHeight="1">
      <c r="A23" s="83"/>
      <c r="B23" s="23" t="s">
        <v>39</v>
      </c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 t="s">
        <v>75</v>
      </c>
      <c r="P23" s="238" t="s">
        <v>75</v>
      </c>
      <c r="Q23" s="238" t="s">
        <v>75</v>
      </c>
      <c r="R23" s="238" t="s">
        <v>75</v>
      </c>
      <c r="S23" s="238" t="s">
        <v>75</v>
      </c>
      <c r="T23" s="238" t="s">
        <v>75</v>
      </c>
    </row>
    <row r="24" spans="1:20" ht="13.25" customHeight="1">
      <c r="A24" s="83"/>
      <c r="B24" s="23" t="s">
        <v>40</v>
      </c>
      <c r="C24" s="238">
        <v>4.28</v>
      </c>
      <c r="D24" s="238">
        <v>4.08</v>
      </c>
      <c r="E24" s="238">
        <v>4.47</v>
      </c>
      <c r="F24" s="238">
        <v>5.72</v>
      </c>
      <c r="G24" s="238">
        <v>6.17</v>
      </c>
      <c r="H24" s="238">
        <v>6.22</v>
      </c>
      <c r="I24" s="238">
        <v>5.63</v>
      </c>
      <c r="J24" s="238">
        <v>2.64</v>
      </c>
      <c r="K24" s="238">
        <v>5.79</v>
      </c>
      <c r="L24" s="238">
        <v>5.24</v>
      </c>
      <c r="M24" s="238">
        <v>4.88</v>
      </c>
      <c r="N24" s="238">
        <v>4.9000000000000004</v>
      </c>
      <c r="O24" s="238">
        <v>6.11</v>
      </c>
      <c r="P24" s="238">
        <v>5.55</v>
      </c>
      <c r="Q24" s="238">
        <v>6.02</v>
      </c>
      <c r="R24" s="238">
        <v>6.29</v>
      </c>
      <c r="S24" s="238">
        <v>6.28</v>
      </c>
      <c r="T24" s="238">
        <v>6.47</v>
      </c>
    </row>
    <row r="25" spans="1:20" ht="13.25" customHeight="1">
      <c r="A25" s="83"/>
      <c r="B25" s="82" t="s">
        <v>41</v>
      </c>
      <c r="C25" s="238">
        <v>2.65</v>
      </c>
      <c r="D25" s="238">
        <v>3.28</v>
      </c>
      <c r="E25" s="238">
        <v>4</v>
      </c>
      <c r="F25" s="238">
        <v>5.51</v>
      </c>
      <c r="G25" s="238">
        <v>4.83</v>
      </c>
      <c r="H25" s="238">
        <v>5.64</v>
      </c>
      <c r="I25" s="238">
        <v>4.66</v>
      </c>
      <c r="J25" s="238">
        <v>5.38</v>
      </c>
      <c r="K25" s="238">
        <v>5.41</v>
      </c>
      <c r="L25" s="238">
        <v>5.19</v>
      </c>
      <c r="M25" s="238">
        <v>4.92</v>
      </c>
      <c r="N25" s="238">
        <v>5.33</v>
      </c>
      <c r="O25" s="238">
        <v>5.64</v>
      </c>
      <c r="P25" s="238">
        <v>5.95</v>
      </c>
      <c r="Q25" s="238">
        <v>6.17</v>
      </c>
      <c r="R25" s="238">
        <v>6.26</v>
      </c>
      <c r="S25" s="238">
        <v>6.31</v>
      </c>
      <c r="T25" s="238">
        <v>6.31</v>
      </c>
    </row>
    <row r="26" spans="1:20" ht="13.25" customHeight="1">
      <c r="A26" s="83"/>
      <c r="B26" s="23" t="s">
        <v>44</v>
      </c>
      <c r="C26" s="238">
        <v>3.78</v>
      </c>
      <c r="D26" s="238">
        <v>4.16</v>
      </c>
      <c r="E26" s="238">
        <v>5.24</v>
      </c>
      <c r="F26" s="238">
        <v>5.33</v>
      </c>
      <c r="G26" s="238">
        <v>4.3899999999999997</v>
      </c>
      <c r="H26" s="238">
        <v>5.77</v>
      </c>
      <c r="I26" s="238">
        <v>7.02</v>
      </c>
      <c r="J26" s="238">
        <v>5.84</v>
      </c>
      <c r="K26" s="238">
        <v>5.98</v>
      </c>
      <c r="L26" s="238">
        <v>4.97</v>
      </c>
      <c r="M26" s="238">
        <v>5.33</v>
      </c>
      <c r="N26" s="238">
        <v>6.17</v>
      </c>
      <c r="O26" s="238">
        <v>5.73</v>
      </c>
      <c r="P26" s="238">
        <v>5.78</v>
      </c>
      <c r="Q26" s="238">
        <v>6.13</v>
      </c>
      <c r="R26" s="238">
        <v>6.74</v>
      </c>
      <c r="S26" s="238">
        <v>6.79</v>
      </c>
      <c r="T26" s="238">
        <v>6.95</v>
      </c>
    </row>
    <row r="27" spans="1:20" ht="13.25" customHeight="1">
      <c r="A27" s="83"/>
      <c r="B27" s="82" t="s">
        <v>45</v>
      </c>
      <c r="C27" s="238">
        <v>4.07</v>
      </c>
      <c r="D27" s="238">
        <v>4.1399999999999997</v>
      </c>
      <c r="E27" s="238">
        <v>4.5599999999999996</v>
      </c>
      <c r="F27" s="238">
        <v>4.62</v>
      </c>
      <c r="G27" s="238">
        <v>3.43</v>
      </c>
      <c r="H27" s="238">
        <v>3.79</v>
      </c>
      <c r="I27" s="238">
        <v>4.2699999999999996</v>
      </c>
      <c r="J27" s="238">
        <v>5.55</v>
      </c>
      <c r="K27" s="238">
        <v>5.42</v>
      </c>
      <c r="L27" s="238">
        <v>5.47</v>
      </c>
      <c r="M27" s="238">
        <v>4.96</v>
      </c>
      <c r="N27" s="238">
        <v>5.42</v>
      </c>
      <c r="O27" s="238">
        <v>6.19</v>
      </c>
      <c r="P27" s="238">
        <v>6.63</v>
      </c>
      <c r="Q27" s="238">
        <v>7.11</v>
      </c>
      <c r="R27" s="238">
        <v>6.11</v>
      </c>
      <c r="S27" s="238">
        <v>6.55</v>
      </c>
      <c r="T27" s="238">
        <v>6.55</v>
      </c>
    </row>
    <row r="28" spans="1:20" ht="13.25" customHeight="1">
      <c r="A28" s="34"/>
      <c r="B28" s="23" t="s">
        <v>46</v>
      </c>
      <c r="C28" s="238" t="s">
        <v>75</v>
      </c>
      <c r="D28" s="238" t="s">
        <v>75</v>
      </c>
      <c r="E28" s="238" t="s">
        <v>75</v>
      </c>
      <c r="F28" s="238" t="s">
        <v>75</v>
      </c>
      <c r="G28" s="238" t="s">
        <v>75</v>
      </c>
      <c r="H28" s="238" t="s">
        <v>75</v>
      </c>
      <c r="I28" s="238" t="s">
        <v>75</v>
      </c>
      <c r="J28" s="238" t="s">
        <v>75</v>
      </c>
      <c r="K28" s="238" t="s">
        <v>75</v>
      </c>
      <c r="L28" s="238" t="s">
        <v>75</v>
      </c>
      <c r="M28" s="238" t="s">
        <v>75</v>
      </c>
      <c r="N28" s="238" t="s">
        <v>75</v>
      </c>
      <c r="O28" s="238" t="s">
        <v>75</v>
      </c>
      <c r="P28" s="238" t="s">
        <v>75</v>
      </c>
      <c r="Q28" s="238" t="s">
        <v>75</v>
      </c>
      <c r="R28" s="238" t="s">
        <v>75</v>
      </c>
      <c r="S28" s="238" t="s">
        <v>75</v>
      </c>
      <c r="T28" s="238" t="s">
        <v>75</v>
      </c>
    </row>
    <row r="29" spans="1:20" ht="13.25" customHeight="1">
      <c r="A29" s="35"/>
      <c r="B29" s="35" t="s">
        <v>47</v>
      </c>
      <c r="C29" s="238" t="s">
        <v>75</v>
      </c>
      <c r="D29" s="238" t="s">
        <v>75</v>
      </c>
      <c r="E29" s="238" t="s">
        <v>75</v>
      </c>
      <c r="F29" s="238" t="s">
        <v>75</v>
      </c>
      <c r="G29" s="238" t="s">
        <v>75</v>
      </c>
      <c r="H29" s="238" t="s">
        <v>75</v>
      </c>
      <c r="I29" s="238" t="s">
        <v>75</v>
      </c>
      <c r="J29" s="238" t="s">
        <v>75</v>
      </c>
      <c r="K29" s="238" t="s">
        <v>75</v>
      </c>
      <c r="L29" s="238" t="s">
        <v>75</v>
      </c>
      <c r="M29" s="238" t="s">
        <v>75</v>
      </c>
      <c r="N29" s="238" t="s">
        <v>75</v>
      </c>
      <c r="O29" s="238" t="s">
        <v>75</v>
      </c>
      <c r="P29" s="238" t="s">
        <v>75</v>
      </c>
      <c r="Q29" s="238" t="s">
        <v>75</v>
      </c>
      <c r="R29" s="238" t="s">
        <v>75</v>
      </c>
      <c r="S29" s="238" t="s">
        <v>75</v>
      </c>
      <c r="T29" s="238" t="s">
        <v>75</v>
      </c>
    </row>
    <row r="30" spans="1:20" ht="13.25" customHeight="1">
      <c r="A30" s="42"/>
      <c r="B30" s="42" t="s">
        <v>48</v>
      </c>
      <c r="C30" s="238" t="s">
        <v>75</v>
      </c>
      <c r="D30" s="238" t="s">
        <v>75</v>
      </c>
      <c r="E30" s="238" t="s">
        <v>75</v>
      </c>
      <c r="F30" s="238" t="s">
        <v>75</v>
      </c>
      <c r="G30" s="238" t="s">
        <v>75</v>
      </c>
      <c r="H30" s="238" t="s">
        <v>75</v>
      </c>
      <c r="I30" s="238" t="s">
        <v>75</v>
      </c>
      <c r="J30" s="238" t="s">
        <v>75</v>
      </c>
      <c r="K30" s="238" t="s">
        <v>75</v>
      </c>
      <c r="L30" s="238" t="s">
        <v>75</v>
      </c>
      <c r="M30" s="238" t="s">
        <v>75</v>
      </c>
      <c r="N30" s="238" t="s">
        <v>75</v>
      </c>
      <c r="O30" s="238" t="s">
        <v>75</v>
      </c>
      <c r="P30" s="238" t="s">
        <v>75</v>
      </c>
      <c r="Q30" s="238" t="s">
        <v>75</v>
      </c>
      <c r="R30" s="238" t="s">
        <v>75</v>
      </c>
      <c r="S30" s="238" t="s">
        <v>75</v>
      </c>
      <c r="T30" s="238" t="s">
        <v>75</v>
      </c>
    </row>
    <row r="31" spans="1:20" ht="13.25" customHeight="1" thickBot="1">
      <c r="A31" s="39"/>
      <c r="B31" s="575" t="s">
        <v>49</v>
      </c>
      <c r="C31" s="576" t="s">
        <v>75</v>
      </c>
      <c r="D31" s="576" t="s">
        <v>75</v>
      </c>
      <c r="E31" s="576" t="s">
        <v>75</v>
      </c>
      <c r="F31" s="576" t="s">
        <v>75</v>
      </c>
      <c r="G31" s="576" t="s">
        <v>75</v>
      </c>
      <c r="H31" s="576" t="s">
        <v>75</v>
      </c>
      <c r="I31" s="576" t="s">
        <v>75</v>
      </c>
      <c r="J31" s="576" t="s">
        <v>75</v>
      </c>
      <c r="K31" s="576" t="s">
        <v>75</v>
      </c>
      <c r="L31" s="576" t="s">
        <v>75</v>
      </c>
      <c r="M31" s="576" t="s">
        <v>75</v>
      </c>
      <c r="N31" s="576" t="s">
        <v>75</v>
      </c>
      <c r="O31" s="576" t="s">
        <v>75</v>
      </c>
      <c r="P31" s="576" t="s">
        <v>75</v>
      </c>
      <c r="Q31" s="576" t="s">
        <v>75</v>
      </c>
      <c r="R31" s="576" t="s">
        <v>75</v>
      </c>
      <c r="S31" s="576" t="s">
        <v>75</v>
      </c>
      <c r="T31" s="576" t="s">
        <v>75</v>
      </c>
    </row>
    <row r="32" spans="1:20" ht="9" customHeight="1">
      <c r="A32" s="778" t="s">
        <v>402</v>
      </c>
      <c r="B32" s="780"/>
      <c r="C32" s="805"/>
      <c r="D32" s="805"/>
      <c r="E32" s="805"/>
      <c r="F32" s="805"/>
      <c r="G32" s="805"/>
      <c r="H32" s="805"/>
      <c r="I32" s="805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</row>
    <row r="33" spans="1:20" ht="9" customHeight="1">
      <c r="A33" s="778" t="s">
        <v>359</v>
      </c>
      <c r="B33" s="780"/>
      <c r="C33" s="805"/>
      <c r="D33" s="805"/>
      <c r="E33" s="805"/>
      <c r="F33" s="805"/>
      <c r="G33" s="805"/>
      <c r="H33" s="805"/>
      <c r="I33" s="805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5"/>
      <c r="D34" s="805"/>
      <c r="E34" s="805"/>
      <c r="F34" s="805"/>
      <c r="G34" s="805"/>
      <c r="H34" s="805"/>
      <c r="I34" s="805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3">
    <tabColor theme="9" tint="0.59999389629810485"/>
  </sheetPr>
  <dimension ref="A2:T62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1" width="7.796875" style="82" customWidth="1"/>
    <col min="22" max="16384" width="7" style="82"/>
  </cols>
  <sheetData>
    <row r="2" spans="1:20" ht="13.25" customHeight="1">
      <c r="A2" s="230" t="s">
        <v>506</v>
      </c>
      <c r="B2" s="231"/>
    </row>
    <row r="3" spans="1:20" ht="13.25" customHeight="1">
      <c r="A3" s="232" t="s">
        <v>238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96</v>
      </c>
      <c r="B6" s="963"/>
      <c r="C6" s="574">
        <f t="shared" ref="C6:M6" si="0">(C8+C9+C10+C11+C12+C13+C14+C15+C16+C17+C18+C19+C20+C21+C22+C23+C24+C25+C26+C27+C28+C29+C30+C31)</f>
        <v>3010724</v>
      </c>
      <c r="D6" s="574">
        <f t="shared" si="0"/>
        <v>3073855</v>
      </c>
      <c r="E6" s="806">
        <f t="shared" si="0"/>
        <v>3115772</v>
      </c>
      <c r="F6" s="806">
        <f t="shared" si="0"/>
        <v>3151406</v>
      </c>
      <c r="G6" s="806">
        <f t="shared" si="0"/>
        <v>3256809</v>
      </c>
      <c r="H6" s="806">
        <f t="shared" si="0"/>
        <v>3254412</v>
      </c>
      <c r="I6" s="806">
        <f t="shared" si="0"/>
        <v>3263254</v>
      </c>
      <c r="J6" s="806">
        <f t="shared" si="0"/>
        <v>2987315</v>
      </c>
      <c r="K6" s="806">
        <f t="shared" si="0"/>
        <v>3846115</v>
      </c>
      <c r="L6" s="806">
        <f t="shared" si="0"/>
        <v>3173016</v>
      </c>
      <c r="M6" s="806">
        <f t="shared" si="0"/>
        <v>3200715</v>
      </c>
      <c r="N6" s="806">
        <f t="shared" ref="N6:T6" si="1">(N8+N9+N10+N11+N12+N13+N14+N15+N16+N17+N18+N19+N20+N21+N22+N23+N24+N25+N26+N27+N28+N29+N30+N31)</f>
        <v>3104911</v>
      </c>
      <c r="O6" s="806">
        <f t="shared" si="1"/>
        <v>3217254</v>
      </c>
      <c r="P6" s="806">
        <f t="shared" si="1"/>
        <v>3215742</v>
      </c>
      <c r="Q6" s="806">
        <f t="shared" si="1"/>
        <v>3269537.5</v>
      </c>
      <c r="R6" s="806">
        <f t="shared" si="1"/>
        <v>3270742</v>
      </c>
      <c r="S6" s="806">
        <f t="shared" ref="S6" si="2">(S8+S9+S10+S11+S12+S13+S14+S15+S16+S17+S18+S19+S20+S21+S22+S23+S24+S25+S26+S27+S28+S29+S30+S31)</f>
        <v>3342910.4624576</v>
      </c>
      <c r="T6" s="806">
        <f t="shared" si="1"/>
        <v>3455032.2312288</v>
      </c>
    </row>
    <row r="7" spans="1:20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0" ht="13.25" customHeight="1">
      <c r="A8" s="83"/>
      <c r="B8" s="23" t="s">
        <v>21</v>
      </c>
      <c r="C8" s="222">
        <v>15890</v>
      </c>
      <c r="D8" s="222">
        <v>13500</v>
      </c>
      <c r="E8" s="93">
        <v>14900</v>
      </c>
      <c r="F8" s="93">
        <v>17100</v>
      </c>
      <c r="G8" s="93">
        <v>18200</v>
      </c>
      <c r="H8" s="93">
        <v>20593</v>
      </c>
      <c r="I8" s="93">
        <v>20030</v>
      </c>
      <c r="J8" s="93">
        <v>18590</v>
      </c>
      <c r="K8" s="93">
        <v>31639</v>
      </c>
      <c r="L8" s="93">
        <v>31980</v>
      </c>
      <c r="M8" s="808">
        <v>28566</v>
      </c>
      <c r="N8" s="808">
        <v>29748</v>
      </c>
      <c r="O8" s="808">
        <v>30480</v>
      </c>
      <c r="P8" s="808">
        <v>29540</v>
      </c>
      <c r="Q8" s="808">
        <v>30010</v>
      </c>
      <c r="R8" s="808">
        <v>29015</v>
      </c>
      <c r="S8" s="808">
        <v>30512</v>
      </c>
      <c r="T8" s="808">
        <v>29763.5</v>
      </c>
    </row>
    <row r="9" spans="1:20" ht="13.25" customHeight="1">
      <c r="A9" s="83"/>
      <c r="B9" s="23" t="s">
        <v>22</v>
      </c>
      <c r="C9" s="222">
        <v>173054</v>
      </c>
      <c r="D9" s="222">
        <v>174000</v>
      </c>
      <c r="E9" s="93">
        <v>174958</v>
      </c>
      <c r="F9" s="93">
        <v>171344</v>
      </c>
      <c r="G9" s="93">
        <v>193831</v>
      </c>
      <c r="H9" s="93">
        <v>198118</v>
      </c>
      <c r="I9" s="93">
        <v>199520</v>
      </c>
      <c r="J9" s="93">
        <v>140298</v>
      </c>
      <c r="K9" s="93">
        <v>179945</v>
      </c>
      <c r="L9" s="93">
        <v>186647</v>
      </c>
      <c r="M9" s="808">
        <v>191114</v>
      </c>
      <c r="N9" s="808">
        <v>159009</v>
      </c>
      <c r="O9" s="808">
        <v>169531</v>
      </c>
      <c r="P9" s="808">
        <v>170860</v>
      </c>
      <c r="Q9" s="808">
        <v>167980</v>
      </c>
      <c r="R9" s="808">
        <v>157860</v>
      </c>
      <c r="S9" s="808">
        <v>177302.46245759999</v>
      </c>
      <c r="T9" s="808">
        <v>187581.2312288</v>
      </c>
    </row>
    <row r="10" spans="1:20" ht="13.25" customHeight="1">
      <c r="A10" s="83"/>
      <c r="B10" s="23" t="s">
        <v>23</v>
      </c>
      <c r="C10" s="222">
        <v>62000</v>
      </c>
      <c r="D10" s="222">
        <v>58400</v>
      </c>
      <c r="E10" s="93">
        <v>66583</v>
      </c>
      <c r="F10" s="93">
        <v>79393</v>
      </c>
      <c r="G10" s="93">
        <v>81100</v>
      </c>
      <c r="H10" s="93">
        <v>79495</v>
      </c>
      <c r="I10" s="93">
        <v>80365</v>
      </c>
      <c r="J10" s="93">
        <v>56964</v>
      </c>
      <c r="K10" s="93">
        <v>67510</v>
      </c>
      <c r="L10" s="93">
        <v>69264</v>
      </c>
      <c r="M10" s="93">
        <v>72480</v>
      </c>
      <c r="N10" s="93">
        <v>88160</v>
      </c>
      <c r="O10" s="93">
        <v>68810</v>
      </c>
      <c r="P10" s="93">
        <v>74560</v>
      </c>
      <c r="Q10" s="93">
        <v>73428</v>
      </c>
      <c r="R10" s="93">
        <v>70227</v>
      </c>
      <c r="S10" s="93">
        <v>71922</v>
      </c>
      <c r="T10" s="93">
        <v>68510</v>
      </c>
    </row>
    <row r="11" spans="1:20" ht="13.25" customHeight="1">
      <c r="A11" s="83"/>
      <c r="B11" s="23" t="s">
        <v>24</v>
      </c>
      <c r="C11" s="222">
        <v>160798</v>
      </c>
      <c r="D11" s="222">
        <v>160465</v>
      </c>
      <c r="E11" s="93">
        <v>162269</v>
      </c>
      <c r="F11" s="93">
        <v>162444</v>
      </c>
      <c r="G11" s="93">
        <v>161442</v>
      </c>
      <c r="H11" s="93">
        <v>159466</v>
      </c>
      <c r="I11" s="93">
        <v>159681</v>
      </c>
      <c r="J11" s="93">
        <v>162069</v>
      </c>
      <c r="K11" s="93">
        <v>157211</v>
      </c>
      <c r="L11" s="93">
        <v>119141</v>
      </c>
      <c r="M11" s="808">
        <v>111419</v>
      </c>
      <c r="N11" s="808">
        <v>116911</v>
      </c>
      <c r="O11" s="808">
        <v>113018</v>
      </c>
      <c r="P11" s="808">
        <v>113664</v>
      </c>
      <c r="Q11" s="808">
        <v>114462</v>
      </c>
      <c r="R11" s="808">
        <v>114850</v>
      </c>
      <c r="S11" s="808">
        <v>110020</v>
      </c>
      <c r="T11" s="808">
        <v>112435</v>
      </c>
    </row>
    <row r="12" spans="1:20" ht="13.25" customHeight="1">
      <c r="A12" s="83"/>
      <c r="B12" s="23" t="s">
        <v>25</v>
      </c>
      <c r="C12" s="222">
        <v>202298</v>
      </c>
      <c r="D12" s="222">
        <v>215757</v>
      </c>
      <c r="E12" s="93">
        <v>239461</v>
      </c>
      <c r="F12" s="93">
        <v>249820</v>
      </c>
      <c r="G12" s="93">
        <v>250340</v>
      </c>
      <c r="H12" s="93">
        <v>245535</v>
      </c>
      <c r="I12" s="93">
        <v>255432</v>
      </c>
      <c r="J12" s="93">
        <v>251689</v>
      </c>
      <c r="K12" s="93">
        <v>278439</v>
      </c>
      <c r="L12" s="93">
        <v>304430</v>
      </c>
      <c r="M12" s="808">
        <v>304105</v>
      </c>
      <c r="N12" s="808">
        <v>287457</v>
      </c>
      <c r="O12" s="808">
        <v>297734</v>
      </c>
      <c r="P12" s="808">
        <v>277982</v>
      </c>
      <c r="Q12" s="808">
        <v>288252</v>
      </c>
      <c r="R12" s="808">
        <v>288467</v>
      </c>
      <c r="S12" s="808">
        <v>292447</v>
      </c>
      <c r="T12" s="808">
        <v>290457</v>
      </c>
    </row>
    <row r="13" spans="1:20" ht="13.25" customHeight="1">
      <c r="A13" s="83"/>
      <c r="B13" s="23" t="s">
        <v>29</v>
      </c>
      <c r="C13" s="222">
        <v>45553</v>
      </c>
      <c r="D13" s="222">
        <v>50500</v>
      </c>
      <c r="E13" s="93">
        <v>53874</v>
      </c>
      <c r="F13" s="93">
        <v>58488</v>
      </c>
      <c r="G13" s="93">
        <v>59100</v>
      </c>
      <c r="H13" s="93">
        <v>64896</v>
      </c>
      <c r="I13" s="93">
        <v>70916</v>
      </c>
      <c r="J13" s="93">
        <v>71548</v>
      </c>
      <c r="K13" s="93">
        <v>74617</v>
      </c>
      <c r="L13" s="93">
        <v>75528</v>
      </c>
      <c r="M13" s="93">
        <v>77261</v>
      </c>
      <c r="N13" s="93">
        <v>84502</v>
      </c>
      <c r="O13" s="93">
        <v>85690</v>
      </c>
      <c r="P13" s="93">
        <v>83710</v>
      </c>
      <c r="Q13" s="93">
        <v>88090</v>
      </c>
      <c r="R13" s="93">
        <v>89099</v>
      </c>
      <c r="S13" s="93">
        <v>92127</v>
      </c>
      <c r="T13" s="93">
        <v>90502</v>
      </c>
    </row>
    <row r="14" spans="1:20" ht="13.25" customHeight="1">
      <c r="A14" s="83"/>
      <c r="B14" s="23" t="s">
        <v>30</v>
      </c>
      <c r="C14" s="222">
        <v>171696</v>
      </c>
      <c r="D14" s="222">
        <v>165436</v>
      </c>
      <c r="E14" s="93">
        <v>162067</v>
      </c>
      <c r="F14" s="93">
        <v>174756</v>
      </c>
      <c r="G14" s="93">
        <v>181032</v>
      </c>
      <c r="H14" s="93">
        <v>180997</v>
      </c>
      <c r="I14" s="93">
        <v>181021</v>
      </c>
      <c r="J14" s="93">
        <v>182009</v>
      </c>
      <c r="K14" s="93">
        <v>185348</v>
      </c>
      <c r="L14" s="93">
        <v>179640</v>
      </c>
      <c r="M14" s="808">
        <v>184777</v>
      </c>
      <c r="N14" s="808">
        <v>174016</v>
      </c>
      <c r="O14" s="808">
        <v>170334</v>
      </c>
      <c r="P14" s="808">
        <v>172620</v>
      </c>
      <c r="Q14" s="808">
        <v>171477</v>
      </c>
      <c r="R14" s="808">
        <v>170544</v>
      </c>
      <c r="S14" s="808">
        <v>171027</v>
      </c>
      <c r="T14" s="808">
        <v>180785.5</v>
      </c>
    </row>
    <row r="15" spans="1:20" ht="13.25" customHeight="1">
      <c r="A15" s="83"/>
      <c r="B15" s="23" t="s">
        <v>31</v>
      </c>
      <c r="C15" s="222">
        <v>417780</v>
      </c>
      <c r="D15" s="222">
        <v>415000</v>
      </c>
      <c r="E15" s="93">
        <v>391175</v>
      </c>
      <c r="F15" s="93">
        <v>390670</v>
      </c>
      <c r="G15" s="93">
        <v>395300</v>
      </c>
      <c r="H15" s="93">
        <v>402985</v>
      </c>
      <c r="I15" s="93">
        <v>404507</v>
      </c>
      <c r="J15" s="93">
        <v>455740</v>
      </c>
      <c r="K15" s="93">
        <v>430570</v>
      </c>
      <c r="L15" s="93">
        <v>457793</v>
      </c>
      <c r="M15" s="808">
        <v>462797</v>
      </c>
      <c r="N15" s="808">
        <v>450072</v>
      </c>
      <c r="O15" s="808">
        <v>460253</v>
      </c>
      <c r="P15" s="808">
        <v>469546</v>
      </c>
      <c r="Q15" s="808">
        <v>464899.5</v>
      </c>
      <c r="R15" s="808">
        <v>470025</v>
      </c>
      <c r="S15" s="808">
        <v>490151</v>
      </c>
      <c r="T15" s="808">
        <v>501088</v>
      </c>
    </row>
    <row r="16" spans="1:20" ht="13.25" customHeight="1">
      <c r="A16" s="83"/>
      <c r="B16" s="23" t="s">
        <v>32</v>
      </c>
      <c r="C16" s="222">
        <v>22684</v>
      </c>
      <c r="D16" s="222">
        <v>21690</v>
      </c>
      <c r="E16" s="93">
        <v>21548</v>
      </c>
      <c r="F16" s="93">
        <v>22290</v>
      </c>
      <c r="G16" s="93">
        <v>30790</v>
      </c>
      <c r="H16" s="93">
        <v>32800</v>
      </c>
      <c r="I16" s="93">
        <v>32998</v>
      </c>
      <c r="J16" s="93">
        <v>36673</v>
      </c>
      <c r="K16" s="93">
        <v>34648</v>
      </c>
      <c r="L16" s="93">
        <v>44196</v>
      </c>
      <c r="M16" s="93">
        <v>48256</v>
      </c>
      <c r="N16" s="93">
        <v>51510</v>
      </c>
      <c r="O16" s="93">
        <v>54124</v>
      </c>
      <c r="P16" s="93">
        <v>66840</v>
      </c>
      <c r="Q16" s="93">
        <v>102767</v>
      </c>
      <c r="R16" s="93">
        <v>101225</v>
      </c>
      <c r="S16" s="93">
        <v>99656</v>
      </c>
      <c r="T16" s="93">
        <v>190521</v>
      </c>
    </row>
    <row r="17" spans="1:20" ht="13.25" customHeight="1">
      <c r="A17" s="83"/>
      <c r="B17" s="23" t="s">
        <v>33</v>
      </c>
      <c r="C17" s="222">
        <v>352051</v>
      </c>
      <c r="D17" s="222">
        <v>388866</v>
      </c>
      <c r="E17" s="93">
        <v>407065</v>
      </c>
      <c r="F17" s="93">
        <v>379247</v>
      </c>
      <c r="G17" s="93">
        <v>380150</v>
      </c>
      <c r="H17" s="93">
        <v>371476</v>
      </c>
      <c r="I17" s="93">
        <v>339405</v>
      </c>
      <c r="J17" s="93">
        <v>219320</v>
      </c>
      <c r="K17" s="93">
        <v>318436</v>
      </c>
      <c r="L17" s="93">
        <v>392998</v>
      </c>
      <c r="M17" s="808">
        <v>402607</v>
      </c>
      <c r="N17" s="808">
        <v>403917</v>
      </c>
      <c r="O17" s="808">
        <v>405230</v>
      </c>
      <c r="P17" s="808">
        <v>406220</v>
      </c>
      <c r="Q17" s="808">
        <v>405725</v>
      </c>
      <c r="R17" s="808">
        <v>402365</v>
      </c>
      <c r="S17" s="808">
        <v>405632</v>
      </c>
      <c r="T17" s="808">
        <v>403998.5</v>
      </c>
    </row>
    <row r="18" spans="1:20" ht="13.25" customHeight="1">
      <c r="A18" s="83"/>
      <c r="B18" s="23" t="s">
        <v>34</v>
      </c>
      <c r="C18" s="222">
        <v>119154</v>
      </c>
      <c r="D18" s="222">
        <v>117838</v>
      </c>
      <c r="E18" s="93">
        <v>122330</v>
      </c>
      <c r="F18" s="93">
        <v>123587</v>
      </c>
      <c r="G18" s="93">
        <v>124821</v>
      </c>
      <c r="H18" s="93">
        <v>127325</v>
      </c>
      <c r="I18" s="93">
        <v>129039</v>
      </c>
      <c r="J18" s="93">
        <v>110339</v>
      </c>
      <c r="K18" s="93">
        <v>98671</v>
      </c>
      <c r="L18" s="93">
        <v>89157</v>
      </c>
      <c r="M18" s="808">
        <v>89872</v>
      </c>
      <c r="N18" s="808">
        <v>51355</v>
      </c>
      <c r="O18" s="808">
        <v>51993</v>
      </c>
      <c r="P18" s="808">
        <v>55140</v>
      </c>
      <c r="Q18" s="808">
        <v>53566.5</v>
      </c>
      <c r="R18" s="808">
        <v>52698</v>
      </c>
      <c r="S18" s="808">
        <v>53247</v>
      </c>
      <c r="T18" s="808">
        <v>52972.5</v>
      </c>
    </row>
    <row r="19" spans="1:20" ht="13.25" customHeight="1">
      <c r="A19" s="83"/>
      <c r="B19" s="23" t="s">
        <v>35</v>
      </c>
      <c r="C19" s="222">
        <v>107640</v>
      </c>
      <c r="D19" s="222">
        <v>105560</v>
      </c>
      <c r="E19" s="93">
        <v>106600</v>
      </c>
      <c r="F19" s="93">
        <v>106692</v>
      </c>
      <c r="G19" s="93">
        <v>110100</v>
      </c>
      <c r="H19" s="93">
        <v>117318</v>
      </c>
      <c r="I19" s="93">
        <v>121673</v>
      </c>
      <c r="J19" s="93">
        <v>146182</v>
      </c>
      <c r="K19" s="93">
        <v>158559</v>
      </c>
      <c r="L19" s="93">
        <v>142667</v>
      </c>
      <c r="M19" s="808">
        <v>152638</v>
      </c>
      <c r="N19" s="808">
        <v>154609</v>
      </c>
      <c r="O19" s="808">
        <v>168586</v>
      </c>
      <c r="P19" s="808">
        <v>175222</v>
      </c>
      <c r="Q19" s="808">
        <v>171904</v>
      </c>
      <c r="R19" s="808">
        <v>178317</v>
      </c>
      <c r="S19" s="808">
        <v>193340</v>
      </c>
      <c r="T19" s="808">
        <v>195420</v>
      </c>
    </row>
    <row r="20" spans="1:20" ht="13.25" customHeight="1">
      <c r="A20" s="83"/>
      <c r="B20" s="23" t="s">
        <v>36</v>
      </c>
      <c r="C20" s="222">
        <v>109121</v>
      </c>
      <c r="D20" s="222">
        <v>109259</v>
      </c>
      <c r="E20" s="93">
        <v>109257</v>
      </c>
      <c r="F20" s="93">
        <v>109776</v>
      </c>
      <c r="G20" s="93">
        <v>195256</v>
      </c>
      <c r="H20" s="93">
        <v>186534</v>
      </c>
      <c r="I20" s="93">
        <v>179537</v>
      </c>
      <c r="J20" s="93">
        <v>138085</v>
      </c>
      <c r="K20" s="93">
        <v>148793</v>
      </c>
      <c r="L20" s="93">
        <v>133152</v>
      </c>
      <c r="M20" s="808">
        <v>128103</v>
      </c>
      <c r="N20" s="808">
        <v>136938</v>
      </c>
      <c r="O20" s="808">
        <v>174439</v>
      </c>
      <c r="P20" s="808">
        <v>160430</v>
      </c>
      <c r="Q20" s="808">
        <v>157545</v>
      </c>
      <c r="R20" s="808">
        <v>155475</v>
      </c>
      <c r="S20" s="808">
        <v>156489</v>
      </c>
      <c r="T20" s="808">
        <v>155982</v>
      </c>
    </row>
    <row r="21" spans="1:20" ht="13.25" customHeight="1">
      <c r="A21" s="83"/>
      <c r="B21" s="23" t="s">
        <v>37</v>
      </c>
      <c r="C21" s="222">
        <v>84471</v>
      </c>
      <c r="D21" s="222">
        <v>74212</v>
      </c>
      <c r="E21" s="93">
        <v>82465</v>
      </c>
      <c r="F21" s="93">
        <v>86806</v>
      </c>
      <c r="G21" s="93">
        <v>82798</v>
      </c>
      <c r="H21" s="93">
        <v>81392</v>
      </c>
      <c r="I21" s="93">
        <v>82320</v>
      </c>
      <c r="J21" s="93">
        <v>79117</v>
      </c>
      <c r="K21" s="93">
        <v>62376</v>
      </c>
      <c r="L21" s="93">
        <v>72376</v>
      </c>
      <c r="M21" s="808">
        <v>82913</v>
      </c>
      <c r="N21" s="808">
        <v>91511</v>
      </c>
      <c r="O21" s="808">
        <v>95391</v>
      </c>
      <c r="P21" s="808">
        <v>92760</v>
      </c>
      <c r="Q21" s="808">
        <v>107120</v>
      </c>
      <c r="R21" s="808">
        <v>109210</v>
      </c>
      <c r="S21" s="808">
        <v>116838</v>
      </c>
      <c r="T21" s="808">
        <v>101411</v>
      </c>
    </row>
    <row r="22" spans="1:20" ht="13.25" customHeight="1">
      <c r="A22" s="83"/>
      <c r="B22" s="23" t="s">
        <v>38</v>
      </c>
      <c r="C22" s="222">
        <v>11191</v>
      </c>
      <c r="D22" s="222">
        <v>10249</v>
      </c>
      <c r="E22" s="93">
        <v>10403</v>
      </c>
      <c r="F22" s="93">
        <v>12450</v>
      </c>
      <c r="G22" s="93">
        <v>13560</v>
      </c>
      <c r="H22" s="93">
        <v>13571</v>
      </c>
      <c r="I22" s="93">
        <v>15195</v>
      </c>
      <c r="J22" s="93">
        <v>16382</v>
      </c>
      <c r="K22" s="93">
        <v>20410</v>
      </c>
      <c r="L22" s="93">
        <v>13760</v>
      </c>
      <c r="M22" s="808">
        <v>12226</v>
      </c>
      <c r="N22" s="808">
        <v>12837</v>
      </c>
      <c r="O22" s="808">
        <v>13480</v>
      </c>
      <c r="P22" s="808">
        <v>12970</v>
      </c>
      <c r="Q22" s="808">
        <v>13225</v>
      </c>
      <c r="R22" s="808">
        <v>13102</v>
      </c>
      <c r="S22" s="808">
        <v>13247</v>
      </c>
      <c r="T22" s="808">
        <v>13174.5</v>
      </c>
    </row>
    <row r="23" spans="1:20" ht="13.25" customHeight="1">
      <c r="A23" s="83"/>
      <c r="B23" s="23" t="s">
        <v>39</v>
      </c>
      <c r="C23" s="222">
        <v>25294</v>
      </c>
      <c r="D23" s="222">
        <v>25695</v>
      </c>
      <c r="E23" s="93">
        <v>28087</v>
      </c>
      <c r="F23" s="93">
        <v>24467</v>
      </c>
      <c r="G23" s="93">
        <v>25204</v>
      </c>
      <c r="H23" s="93">
        <v>25720</v>
      </c>
      <c r="I23" s="93">
        <v>34383</v>
      </c>
      <c r="J23" s="93">
        <v>31763</v>
      </c>
      <c r="K23" s="93">
        <v>40520</v>
      </c>
      <c r="L23" s="93">
        <v>44712</v>
      </c>
      <c r="M23" s="808">
        <v>32678</v>
      </c>
      <c r="N23" s="808">
        <v>34312</v>
      </c>
      <c r="O23" s="808">
        <v>36232</v>
      </c>
      <c r="P23" s="808">
        <v>36232</v>
      </c>
      <c r="Q23" s="808">
        <v>36232</v>
      </c>
      <c r="R23" s="808">
        <v>37050</v>
      </c>
      <c r="S23" s="808">
        <v>38942</v>
      </c>
      <c r="T23" s="808">
        <v>37996</v>
      </c>
    </row>
    <row r="24" spans="1:20" ht="13.25" customHeight="1">
      <c r="A24" s="83"/>
      <c r="B24" s="23" t="s">
        <v>40</v>
      </c>
      <c r="C24" s="222">
        <v>158020</v>
      </c>
      <c r="D24" s="222">
        <v>147505</v>
      </c>
      <c r="E24" s="93">
        <v>156990</v>
      </c>
      <c r="F24" s="93">
        <v>164001</v>
      </c>
      <c r="G24" s="93">
        <v>160482</v>
      </c>
      <c r="H24" s="93">
        <v>161298</v>
      </c>
      <c r="I24" s="93">
        <v>179000</v>
      </c>
      <c r="J24" s="93">
        <v>187764</v>
      </c>
      <c r="K24" s="93">
        <v>164590</v>
      </c>
      <c r="L24" s="93">
        <v>103432</v>
      </c>
      <c r="M24" s="808">
        <v>95792</v>
      </c>
      <c r="N24" s="808">
        <v>91554</v>
      </c>
      <c r="O24" s="808">
        <v>106597</v>
      </c>
      <c r="P24" s="808">
        <v>102314</v>
      </c>
      <c r="Q24" s="808">
        <v>118454</v>
      </c>
      <c r="R24" s="808">
        <v>111843</v>
      </c>
      <c r="S24" s="808">
        <v>112392</v>
      </c>
      <c r="T24" s="808">
        <v>128847</v>
      </c>
    </row>
    <row r="25" spans="1:20" ht="13.25" customHeight="1">
      <c r="A25" s="83"/>
      <c r="B25" s="23" t="s">
        <v>41</v>
      </c>
      <c r="C25" s="222">
        <v>130410</v>
      </c>
      <c r="D25" s="222">
        <v>146560</v>
      </c>
      <c r="E25" s="93">
        <v>147834</v>
      </c>
      <c r="F25" s="93">
        <v>153613</v>
      </c>
      <c r="G25" s="93">
        <v>157250</v>
      </c>
      <c r="H25" s="93">
        <v>155133</v>
      </c>
      <c r="I25" s="93">
        <v>150575</v>
      </c>
      <c r="J25" s="93">
        <v>123073</v>
      </c>
      <c r="K25" s="93">
        <v>118825</v>
      </c>
      <c r="L25" s="93">
        <v>120390</v>
      </c>
      <c r="M25" s="808">
        <v>122310</v>
      </c>
      <c r="N25" s="808">
        <v>128426</v>
      </c>
      <c r="O25" s="808">
        <v>134847</v>
      </c>
      <c r="P25" s="808">
        <v>131226</v>
      </c>
      <c r="Q25" s="808">
        <v>133036.5</v>
      </c>
      <c r="R25" s="808">
        <v>140538</v>
      </c>
      <c r="S25" s="808">
        <v>137715</v>
      </c>
      <c r="T25" s="808">
        <v>139126.5</v>
      </c>
    </row>
    <row r="26" spans="1:20" ht="13.25" customHeight="1">
      <c r="A26" s="83"/>
      <c r="B26" s="23" t="s">
        <v>44</v>
      </c>
      <c r="C26" s="222">
        <v>265338</v>
      </c>
      <c r="D26" s="222">
        <v>267100</v>
      </c>
      <c r="E26" s="93">
        <v>268350</v>
      </c>
      <c r="F26" s="93">
        <v>253263</v>
      </c>
      <c r="G26" s="93">
        <v>211104</v>
      </c>
      <c r="H26" s="93">
        <v>205975</v>
      </c>
      <c r="I26" s="93">
        <v>182940</v>
      </c>
      <c r="J26" s="93">
        <v>141726</v>
      </c>
      <c r="K26" s="93">
        <v>195864</v>
      </c>
      <c r="L26" s="93">
        <v>195646</v>
      </c>
      <c r="M26" s="808">
        <v>195861</v>
      </c>
      <c r="N26" s="808">
        <v>160877</v>
      </c>
      <c r="O26" s="808">
        <v>160173</v>
      </c>
      <c r="P26" s="808">
        <v>137479</v>
      </c>
      <c r="Q26" s="808">
        <v>127738</v>
      </c>
      <c r="R26" s="808">
        <v>123995</v>
      </c>
      <c r="S26" s="808">
        <v>121716</v>
      </c>
      <c r="T26" s="808">
        <v>122375</v>
      </c>
    </row>
    <row r="27" spans="1:20" ht="13.25" customHeight="1">
      <c r="A27" s="83"/>
      <c r="B27" s="23" t="s">
        <v>45</v>
      </c>
      <c r="C27" s="222">
        <v>99570</v>
      </c>
      <c r="D27" s="222">
        <v>106860</v>
      </c>
      <c r="E27" s="93">
        <v>108710</v>
      </c>
      <c r="F27" s="93">
        <v>113680</v>
      </c>
      <c r="G27" s="93">
        <v>121030</v>
      </c>
      <c r="H27" s="93">
        <v>124610</v>
      </c>
      <c r="I27" s="93">
        <v>127085</v>
      </c>
      <c r="J27" s="93">
        <v>128580</v>
      </c>
      <c r="K27" s="93">
        <v>126020</v>
      </c>
      <c r="L27" s="93">
        <v>119330</v>
      </c>
      <c r="M27" s="808">
        <v>119340</v>
      </c>
      <c r="N27" s="808">
        <v>112310</v>
      </c>
      <c r="O27" s="808">
        <v>112320</v>
      </c>
      <c r="P27" s="808">
        <v>114885</v>
      </c>
      <c r="Q27" s="808">
        <v>119760</v>
      </c>
      <c r="R27" s="808">
        <v>120306</v>
      </c>
      <c r="S27" s="808">
        <v>122635</v>
      </c>
      <c r="T27" s="808">
        <v>120520</v>
      </c>
    </row>
    <row r="28" spans="1:20" ht="13.25" customHeight="1">
      <c r="A28" s="83"/>
      <c r="B28" s="82" t="s">
        <v>46</v>
      </c>
      <c r="C28" s="222">
        <v>117692</v>
      </c>
      <c r="D28" s="222">
        <v>138201</v>
      </c>
      <c r="E28" s="93">
        <v>126924</v>
      </c>
      <c r="F28" s="93">
        <v>141468</v>
      </c>
      <c r="G28" s="93">
        <v>148200</v>
      </c>
      <c r="H28" s="93">
        <v>154497</v>
      </c>
      <c r="I28" s="93">
        <v>167652</v>
      </c>
      <c r="J28" s="93">
        <v>141075</v>
      </c>
      <c r="K28" s="93">
        <v>140570</v>
      </c>
      <c r="L28" s="93">
        <v>146193</v>
      </c>
      <c r="M28" s="808">
        <v>148910</v>
      </c>
      <c r="N28" s="808">
        <v>141355</v>
      </c>
      <c r="O28" s="808">
        <v>159292</v>
      </c>
      <c r="P28" s="808">
        <v>181290</v>
      </c>
      <c r="Q28" s="808">
        <v>170291</v>
      </c>
      <c r="R28" s="808">
        <v>180451</v>
      </c>
      <c r="S28" s="808">
        <v>179258</v>
      </c>
      <c r="T28" s="808">
        <v>179854.5</v>
      </c>
    </row>
    <row r="29" spans="1:20" ht="13.25" customHeight="1">
      <c r="A29" s="83"/>
      <c r="B29" s="23" t="s">
        <v>47</v>
      </c>
      <c r="C29" s="222">
        <v>99263</v>
      </c>
      <c r="D29" s="222">
        <v>99263</v>
      </c>
      <c r="E29" s="93">
        <v>96021</v>
      </c>
      <c r="F29" s="93">
        <v>91743</v>
      </c>
      <c r="G29" s="93">
        <v>89300</v>
      </c>
      <c r="H29" s="93">
        <v>81490</v>
      </c>
      <c r="I29" s="93">
        <v>82800</v>
      </c>
      <c r="J29" s="93">
        <v>83145</v>
      </c>
      <c r="K29" s="93">
        <v>744649</v>
      </c>
      <c r="L29" s="93">
        <v>68240</v>
      </c>
      <c r="M29" s="808">
        <v>79200</v>
      </c>
      <c r="N29" s="808">
        <v>83160</v>
      </c>
      <c r="O29" s="808">
        <v>85320</v>
      </c>
      <c r="P29" s="808">
        <v>89710</v>
      </c>
      <c r="Q29" s="808">
        <v>95430</v>
      </c>
      <c r="R29" s="808">
        <v>95430</v>
      </c>
      <c r="S29" s="808">
        <v>97342</v>
      </c>
      <c r="T29" s="808">
        <v>93896</v>
      </c>
    </row>
    <row r="30" spans="1:20" ht="13.25" customHeight="1">
      <c r="A30" s="83"/>
      <c r="B30" s="23" t="s">
        <v>48</v>
      </c>
      <c r="C30" s="222">
        <v>42788</v>
      </c>
      <c r="D30" s="222">
        <v>44500</v>
      </c>
      <c r="E30" s="93">
        <v>40949</v>
      </c>
      <c r="F30" s="93">
        <v>46668</v>
      </c>
      <c r="G30" s="93">
        <v>48350</v>
      </c>
      <c r="H30" s="93">
        <v>50651</v>
      </c>
      <c r="I30" s="93">
        <v>53927</v>
      </c>
      <c r="J30" s="93">
        <v>52289</v>
      </c>
      <c r="K30" s="93">
        <v>52140</v>
      </c>
      <c r="L30" s="93">
        <v>48014</v>
      </c>
      <c r="M30" s="808">
        <v>45014</v>
      </c>
      <c r="N30" s="808">
        <v>47265</v>
      </c>
      <c r="O30" s="808">
        <v>49630</v>
      </c>
      <c r="P30" s="808">
        <v>47302</v>
      </c>
      <c r="Q30" s="808">
        <v>47430</v>
      </c>
      <c r="R30" s="808">
        <v>47430</v>
      </c>
      <c r="S30" s="808">
        <v>46273</v>
      </c>
      <c r="T30" s="808">
        <v>46851.5</v>
      </c>
    </row>
    <row r="31" spans="1:20" ht="13.25" customHeight="1" thickBot="1">
      <c r="A31" s="88"/>
      <c r="B31" s="577" t="s">
        <v>49</v>
      </c>
      <c r="C31" s="581">
        <v>16968</v>
      </c>
      <c r="D31" s="581">
        <v>17439</v>
      </c>
      <c r="E31" s="809">
        <v>16952</v>
      </c>
      <c r="F31" s="809">
        <v>17640</v>
      </c>
      <c r="G31" s="809">
        <v>18069</v>
      </c>
      <c r="H31" s="809">
        <v>12537</v>
      </c>
      <c r="I31" s="809">
        <v>13253</v>
      </c>
      <c r="J31" s="809">
        <v>12895</v>
      </c>
      <c r="K31" s="809">
        <v>15765</v>
      </c>
      <c r="L31" s="809">
        <v>14330</v>
      </c>
      <c r="M31" s="810">
        <v>12476</v>
      </c>
      <c r="N31" s="810">
        <v>13100</v>
      </c>
      <c r="O31" s="810">
        <v>13750</v>
      </c>
      <c r="P31" s="810">
        <v>13240</v>
      </c>
      <c r="Q31" s="810">
        <v>10715</v>
      </c>
      <c r="R31" s="810">
        <v>11220</v>
      </c>
      <c r="S31" s="810">
        <v>12680</v>
      </c>
      <c r="T31" s="810">
        <v>10964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Q35" s="84"/>
      <c r="R35" s="84"/>
      <c r="S35" s="84"/>
      <c r="T35" s="84"/>
    </row>
    <row r="36" spans="1:20" ht="13.25" customHeight="1">
      <c r="Q36" s="84"/>
      <c r="R36" s="84"/>
      <c r="S36" s="84"/>
      <c r="T36" s="84"/>
    </row>
    <row r="37" spans="1:20" ht="13.25" customHeight="1">
      <c r="Q37" s="84"/>
      <c r="R37" s="84"/>
      <c r="S37" s="84"/>
      <c r="T37" s="84"/>
    </row>
    <row r="38" spans="1:20" ht="13.25" customHeight="1">
      <c r="Q38" s="84"/>
      <c r="R38" s="84"/>
      <c r="S38" s="84"/>
      <c r="T38" s="84"/>
    </row>
    <row r="39" spans="1:20" ht="13.25" customHeight="1">
      <c r="Q39" s="84"/>
      <c r="R39" s="84"/>
      <c r="S39" s="84"/>
      <c r="T39" s="84"/>
    </row>
    <row r="40" spans="1:20" ht="13.25" customHeight="1">
      <c r="Q40" s="84"/>
      <c r="R40" s="84"/>
      <c r="S40" s="84"/>
      <c r="T40" s="84"/>
    </row>
    <row r="41" spans="1:20" ht="13.25" customHeight="1">
      <c r="T41" s="84"/>
    </row>
    <row r="42" spans="1:20" ht="13.25" customHeight="1">
      <c r="T42" s="84"/>
    </row>
    <row r="43" spans="1:20" ht="13.25" customHeight="1">
      <c r="T43" s="84"/>
    </row>
    <row r="44" spans="1:20" ht="13.25" customHeight="1">
      <c r="T44" s="84"/>
    </row>
    <row r="45" spans="1:20" ht="13.25" customHeight="1">
      <c r="T45" s="84"/>
    </row>
    <row r="46" spans="1:20" ht="13.25" customHeight="1">
      <c r="T46" s="84"/>
    </row>
    <row r="47" spans="1:20" ht="13.25" customHeight="1">
      <c r="T47" s="84"/>
    </row>
    <row r="48" spans="1:20" ht="13.25" customHeight="1">
      <c r="T48" s="84"/>
    </row>
    <row r="49" spans="20:20" ht="13.25" customHeight="1">
      <c r="T49" s="84"/>
    </row>
    <row r="50" spans="20:20" ht="13.25" customHeight="1">
      <c r="T50" s="84"/>
    </row>
    <row r="51" spans="20:20" ht="13.25" customHeight="1">
      <c r="T51" s="84"/>
    </row>
    <row r="52" spans="20:20" ht="13.25" customHeight="1">
      <c r="T52" s="84"/>
    </row>
    <row r="53" spans="20:20" ht="13.25" customHeight="1">
      <c r="T53" s="84"/>
    </row>
    <row r="54" spans="20:20" ht="13.25" customHeight="1">
      <c r="T54" s="84"/>
    </row>
    <row r="55" spans="20:20" ht="13.25" customHeight="1">
      <c r="T55" s="84"/>
    </row>
    <row r="56" spans="20:20" ht="13.25" customHeight="1">
      <c r="T56" s="84"/>
    </row>
    <row r="57" spans="20:20" ht="13.25" customHeight="1">
      <c r="T57" s="84"/>
    </row>
    <row r="58" spans="20:20" ht="13.25" customHeight="1">
      <c r="T58" s="84"/>
    </row>
    <row r="59" spans="20:20" ht="13.25" customHeight="1">
      <c r="T59" s="84"/>
    </row>
    <row r="60" spans="20:20" ht="13.25" customHeight="1">
      <c r="T60" s="84"/>
    </row>
    <row r="61" spans="20:20" ht="13.25" customHeight="1">
      <c r="T61" s="84"/>
    </row>
    <row r="62" spans="20:20" ht="13.25" customHeight="1">
      <c r="T62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4">
    <tabColor theme="9" tint="0.59999389629810485"/>
  </sheetPr>
  <dimension ref="A2:V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8" style="82" customWidth="1"/>
    <col min="22" max="16384" width="7" style="82"/>
  </cols>
  <sheetData>
    <row r="2" spans="1:22" ht="13.25" customHeight="1">
      <c r="A2" s="230" t="s">
        <v>507</v>
      </c>
      <c r="B2" s="231"/>
    </row>
    <row r="3" spans="1:22" ht="13.25" customHeight="1">
      <c r="A3" s="232" t="s">
        <v>238</v>
      </c>
      <c r="B3" s="232"/>
    </row>
    <row r="4" spans="1:22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2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2" ht="15" customHeight="1">
      <c r="A6" s="963" t="s">
        <v>96</v>
      </c>
      <c r="B6" s="963"/>
      <c r="C6" s="574">
        <f t="shared" ref="C6:N6" si="0">(C8+C9+C10+C11+C12+C13+C14+C15+C16+C17+C18+C19+C20+C21+C22+C23+C24+C25+C26+C27+C28+C29+C30+C31)</f>
        <v>1991346</v>
      </c>
      <c r="D6" s="574">
        <f t="shared" si="0"/>
        <v>2074715</v>
      </c>
      <c r="E6" s="806">
        <f t="shared" si="0"/>
        <v>2153141</v>
      </c>
      <c r="F6" s="806">
        <f t="shared" si="0"/>
        <v>2131518</v>
      </c>
      <c r="G6" s="806">
        <f t="shared" si="0"/>
        <v>2213057</v>
      </c>
      <c r="H6" s="806">
        <f t="shared" si="0"/>
        <v>2186978</v>
      </c>
      <c r="I6" s="806">
        <f t="shared" si="0"/>
        <v>2298432</v>
      </c>
      <c r="J6" s="806">
        <f t="shared" si="0"/>
        <v>2401633</v>
      </c>
      <c r="K6" s="806">
        <f t="shared" si="0"/>
        <v>2499032</v>
      </c>
      <c r="L6" s="806">
        <f t="shared" si="0"/>
        <v>2629566</v>
      </c>
      <c r="M6" s="806">
        <f t="shared" si="0"/>
        <v>2764884</v>
      </c>
      <c r="N6" s="806">
        <f t="shared" si="0"/>
        <v>2876803</v>
      </c>
      <c r="O6" s="806">
        <f t="shared" ref="O6:T6" si="1">(O8+O9+O10+O11+O12+O13+O14+O15+O16+O17+O18+O19+O20+O21+O22+O23+O24+O25+O26+O27+O28+O29+O30+O31)</f>
        <v>3073656</v>
      </c>
      <c r="P6" s="806">
        <f t="shared" si="1"/>
        <v>3090907</v>
      </c>
      <c r="Q6" s="806">
        <f t="shared" si="1"/>
        <v>3284606.4369907742</v>
      </c>
      <c r="R6" s="806">
        <f t="shared" si="1"/>
        <v>3191164.0689750351</v>
      </c>
      <c r="S6" s="806">
        <f t="shared" si="1"/>
        <v>3314890.5509742717</v>
      </c>
      <c r="T6" s="806">
        <f t="shared" si="1"/>
        <v>3458391.6204906497</v>
      </c>
    </row>
    <row r="7" spans="1:22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2" ht="13.25" customHeight="1">
      <c r="A8" s="83"/>
      <c r="B8" s="23" t="s">
        <v>21</v>
      </c>
      <c r="C8" s="222">
        <v>5736</v>
      </c>
      <c r="D8" s="222">
        <v>7869</v>
      </c>
      <c r="E8" s="93">
        <v>9080</v>
      </c>
      <c r="F8" s="93">
        <v>10918</v>
      </c>
      <c r="G8" s="93">
        <v>11209</v>
      </c>
      <c r="H8" s="93">
        <v>14190</v>
      </c>
      <c r="I8" s="93">
        <v>15640</v>
      </c>
      <c r="J8" s="93">
        <v>19998</v>
      </c>
      <c r="K8" s="93">
        <v>24652</v>
      </c>
      <c r="L8" s="93">
        <v>21552</v>
      </c>
      <c r="M8" s="808">
        <v>20650</v>
      </c>
      <c r="N8" s="808">
        <v>6572</v>
      </c>
      <c r="O8" s="808">
        <v>7991</v>
      </c>
      <c r="P8" s="808">
        <v>6650</v>
      </c>
      <c r="Q8" s="808">
        <v>6339</v>
      </c>
      <c r="R8" s="808">
        <v>6827.8</v>
      </c>
      <c r="S8" s="808">
        <v>6016</v>
      </c>
      <c r="T8" s="808">
        <v>5942</v>
      </c>
    </row>
    <row r="9" spans="1:22" ht="13.25" customHeight="1">
      <c r="A9" s="83"/>
      <c r="B9" s="23" t="s">
        <v>22</v>
      </c>
      <c r="C9" s="222">
        <v>152979</v>
      </c>
      <c r="D9" s="222">
        <v>170014</v>
      </c>
      <c r="E9" s="93">
        <v>145669</v>
      </c>
      <c r="F9" s="93">
        <v>149359</v>
      </c>
      <c r="G9" s="93">
        <v>135724</v>
      </c>
      <c r="H9" s="93">
        <v>137639</v>
      </c>
      <c r="I9" s="93">
        <v>122597</v>
      </c>
      <c r="J9" s="93">
        <v>139342</v>
      </c>
      <c r="K9" s="93">
        <v>130455</v>
      </c>
      <c r="L9" s="93">
        <v>120101</v>
      </c>
      <c r="M9" s="808">
        <v>112784</v>
      </c>
      <c r="N9" s="808">
        <v>90860</v>
      </c>
      <c r="O9" s="808">
        <v>110734</v>
      </c>
      <c r="P9" s="808">
        <v>105011</v>
      </c>
      <c r="Q9" s="808">
        <v>113620.03612707199</v>
      </c>
      <c r="R9" s="808">
        <v>114836.53633406</v>
      </c>
      <c r="S9" s="808">
        <v>116132.96516227201</v>
      </c>
      <c r="T9" s="808">
        <v>114661.91179065</v>
      </c>
      <c r="V9" s="90"/>
    </row>
    <row r="10" spans="1:22" ht="13.25" customHeight="1">
      <c r="A10" s="83"/>
      <c r="B10" s="23" t="s">
        <v>23</v>
      </c>
      <c r="C10" s="222">
        <v>33542</v>
      </c>
      <c r="D10" s="222">
        <v>31247</v>
      </c>
      <c r="E10" s="93">
        <v>39613</v>
      </c>
      <c r="F10" s="93">
        <v>26657</v>
      </c>
      <c r="G10" s="93">
        <v>27764</v>
      </c>
      <c r="H10" s="93">
        <v>29463</v>
      </c>
      <c r="I10" s="93">
        <v>29848</v>
      </c>
      <c r="J10" s="93">
        <v>28328</v>
      </c>
      <c r="K10" s="93">
        <v>32765</v>
      </c>
      <c r="L10" s="93">
        <v>34051</v>
      </c>
      <c r="M10" s="93">
        <v>28202</v>
      </c>
      <c r="N10" s="93">
        <v>29575</v>
      </c>
      <c r="O10" s="93">
        <v>29483</v>
      </c>
      <c r="P10" s="93">
        <v>30218</v>
      </c>
      <c r="Q10" s="93">
        <v>31654</v>
      </c>
      <c r="R10" s="93">
        <v>29989.179858279316</v>
      </c>
      <c r="S10" s="93">
        <v>29327.577072</v>
      </c>
      <c r="T10" s="93">
        <v>30240</v>
      </c>
      <c r="V10" s="90"/>
    </row>
    <row r="11" spans="1:22" ht="13.25" customHeight="1">
      <c r="A11" s="83"/>
      <c r="B11" s="23" t="s">
        <v>24</v>
      </c>
      <c r="C11" s="222">
        <v>139090</v>
      </c>
      <c r="D11" s="222">
        <v>144342</v>
      </c>
      <c r="E11" s="93">
        <v>150446</v>
      </c>
      <c r="F11" s="93">
        <v>154816</v>
      </c>
      <c r="G11" s="93">
        <v>160211</v>
      </c>
      <c r="H11" s="93">
        <v>166714</v>
      </c>
      <c r="I11" s="93">
        <v>175710</v>
      </c>
      <c r="J11" s="93">
        <v>178913</v>
      </c>
      <c r="K11" s="93">
        <v>185442</v>
      </c>
      <c r="L11" s="93">
        <v>234537</v>
      </c>
      <c r="M11" s="808">
        <v>253558</v>
      </c>
      <c r="N11" s="808">
        <v>264408</v>
      </c>
      <c r="O11" s="808">
        <v>298028</v>
      </c>
      <c r="P11" s="808">
        <v>306250</v>
      </c>
      <c r="Q11" s="808">
        <v>309578</v>
      </c>
      <c r="R11" s="808">
        <v>326814</v>
      </c>
      <c r="S11" s="808">
        <v>337947</v>
      </c>
      <c r="T11" s="808">
        <v>346595</v>
      </c>
      <c r="V11" s="90"/>
    </row>
    <row r="12" spans="1:22" ht="13.25" customHeight="1">
      <c r="A12" s="83"/>
      <c r="B12" s="23" t="s">
        <v>25</v>
      </c>
      <c r="C12" s="222">
        <v>84639</v>
      </c>
      <c r="D12" s="222">
        <v>98925</v>
      </c>
      <c r="E12" s="93">
        <v>105153</v>
      </c>
      <c r="F12" s="93">
        <v>105587</v>
      </c>
      <c r="G12" s="93">
        <v>108232</v>
      </c>
      <c r="H12" s="93">
        <v>116202</v>
      </c>
      <c r="I12" s="93">
        <v>119828</v>
      </c>
      <c r="J12" s="93">
        <v>119415</v>
      </c>
      <c r="K12" s="93">
        <v>142525</v>
      </c>
      <c r="L12" s="93">
        <v>148397</v>
      </c>
      <c r="M12" s="808">
        <v>162359</v>
      </c>
      <c r="N12" s="808">
        <v>155454</v>
      </c>
      <c r="O12" s="808">
        <v>147970</v>
      </c>
      <c r="P12" s="808">
        <v>145709</v>
      </c>
      <c r="Q12" s="808">
        <v>150866</v>
      </c>
      <c r="R12" s="808">
        <v>131905</v>
      </c>
      <c r="S12" s="808">
        <v>138143.4</v>
      </c>
      <c r="T12" s="808">
        <v>142637</v>
      </c>
      <c r="V12" s="90"/>
    </row>
    <row r="13" spans="1:22" ht="13.25" customHeight="1">
      <c r="A13" s="83"/>
      <c r="B13" s="23" t="s">
        <v>29</v>
      </c>
      <c r="C13" s="222">
        <v>18668</v>
      </c>
      <c r="D13" s="222">
        <v>19397</v>
      </c>
      <c r="E13" s="93">
        <v>19950</v>
      </c>
      <c r="F13" s="93">
        <v>19849</v>
      </c>
      <c r="G13" s="93">
        <v>20993</v>
      </c>
      <c r="H13" s="93">
        <v>22991</v>
      </c>
      <c r="I13" s="93">
        <v>23235</v>
      </c>
      <c r="J13" s="93">
        <v>24958</v>
      </c>
      <c r="K13" s="93">
        <v>27777</v>
      </c>
      <c r="L13" s="93">
        <v>29076</v>
      </c>
      <c r="M13" s="93">
        <v>28474</v>
      </c>
      <c r="N13" s="93">
        <v>31085</v>
      </c>
      <c r="O13" s="93">
        <v>33563</v>
      </c>
      <c r="P13" s="93">
        <v>33636</v>
      </c>
      <c r="Q13" s="93">
        <v>34042</v>
      </c>
      <c r="R13" s="93">
        <v>30202</v>
      </c>
      <c r="S13" s="93">
        <v>28738</v>
      </c>
      <c r="T13" s="93">
        <v>32121</v>
      </c>
      <c r="V13" s="90"/>
    </row>
    <row r="14" spans="1:22" ht="13.25" customHeight="1">
      <c r="A14" s="83"/>
      <c r="B14" s="23" t="s">
        <v>30</v>
      </c>
      <c r="C14" s="222">
        <v>34091</v>
      </c>
      <c r="D14" s="222">
        <v>32063</v>
      </c>
      <c r="E14" s="93">
        <v>30399</v>
      </c>
      <c r="F14" s="93">
        <v>30933</v>
      </c>
      <c r="G14" s="93">
        <v>32536</v>
      </c>
      <c r="H14" s="93">
        <v>33286</v>
      </c>
      <c r="I14" s="93">
        <v>34841</v>
      </c>
      <c r="J14" s="93">
        <v>35664</v>
      </c>
      <c r="K14" s="93">
        <v>36073</v>
      </c>
      <c r="L14" s="93">
        <v>36192</v>
      </c>
      <c r="M14" s="808">
        <v>38450</v>
      </c>
      <c r="N14" s="808">
        <v>41738</v>
      </c>
      <c r="O14" s="808">
        <v>42272</v>
      </c>
      <c r="P14" s="808">
        <v>49016</v>
      </c>
      <c r="Q14" s="808">
        <v>49555</v>
      </c>
      <c r="R14" s="808">
        <v>49768</v>
      </c>
      <c r="S14" s="808">
        <v>60397</v>
      </c>
      <c r="T14" s="808">
        <v>61807</v>
      </c>
      <c r="V14" s="90"/>
    </row>
    <row r="15" spans="1:22" ht="13.25" customHeight="1">
      <c r="A15" s="83"/>
      <c r="B15" s="23" t="s">
        <v>31</v>
      </c>
      <c r="C15" s="222">
        <v>670896</v>
      </c>
      <c r="D15" s="222">
        <v>687025</v>
      </c>
      <c r="E15" s="93">
        <v>752628</v>
      </c>
      <c r="F15" s="93">
        <v>750189</v>
      </c>
      <c r="G15" s="93">
        <v>806438</v>
      </c>
      <c r="H15" s="93">
        <v>716445</v>
      </c>
      <c r="I15" s="93">
        <v>771492</v>
      </c>
      <c r="J15" s="93">
        <v>815897</v>
      </c>
      <c r="K15" s="93">
        <v>871136</v>
      </c>
      <c r="L15" s="93">
        <v>929600</v>
      </c>
      <c r="M15" s="808">
        <v>989849</v>
      </c>
      <c r="N15" s="808">
        <v>1027092</v>
      </c>
      <c r="O15" s="808">
        <v>1132149</v>
      </c>
      <c r="P15" s="808">
        <v>1127542</v>
      </c>
      <c r="Q15" s="808">
        <v>1178439</v>
      </c>
      <c r="R15" s="808">
        <v>1147785.67</v>
      </c>
      <c r="S15" s="808">
        <v>1182774</v>
      </c>
      <c r="T15" s="808">
        <v>1241576.4887000001</v>
      </c>
      <c r="V15" s="90"/>
    </row>
    <row r="16" spans="1:22" ht="13.25" customHeight="1">
      <c r="A16" s="83"/>
      <c r="B16" s="23" t="s">
        <v>32</v>
      </c>
      <c r="C16" s="222">
        <v>33677</v>
      </c>
      <c r="D16" s="222">
        <v>32195</v>
      </c>
      <c r="E16" s="93">
        <v>10888</v>
      </c>
      <c r="F16" s="93">
        <v>24262</v>
      </c>
      <c r="G16" s="93">
        <v>27101</v>
      </c>
      <c r="H16" s="93">
        <v>34977</v>
      </c>
      <c r="I16" s="93">
        <v>38138</v>
      </c>
      <c r="J16" s="93">
        <v>33913</v>
      </c>
      <c r="K16" s="93">
        <v>33367</v>
      </c>
      <c r="L16" s="93">
        <v>41179</v>
      </c>
      <c r="M16" s="93">
        <v>51202</v>
      </c>
      <c r="N16" s="93">
        <v>66046</v>
      </c>
      <c r="O16" s="93">
        <v>93401</v>
      </c>
      <c r="P16" s="93">
        <v>102194</v>
      </c>
      <c r="Q16" s="93">
        <v>212080</v>
      </c>
      <c r="R16" s="93">
        <v>218375</v>
      </c>
      <c r="S16" s="93">
        <v>246350</v>
      </c>
      <c r="T16" s="93">
        <v>280296</v>
      </c>
      <c r="V16" s="90"/>
    </row>
    <row r="17" spans="1:22" ht="13.25" customHeight="1">
      <c r="A17" s="83"/>
      <c r="B17" s="23" t="s">
        <v>33</v>
      </c>
      <c r="C17" s="222">
        <v>207248</v>
      </c>
      <c r="D17" s="222">
        <v>212324</v>
      </c>
      <c r="E17" s="93">
        <v>213191</v>
      </c>
      <c r="F17" s="93">
        <v>208343</v>
      </c>
      <c r="G17" s="93">
        <v>216791</v>
      </c>
      <c r="H17" s="93">
        <v>211314</v>
      </c>
      <c r="I17" s="93">
        <v>186646</v>
      </c>
      <c r="J17" s="93">
        <v>168580</v>
      </c>
      <c r="K17" s="93">
        <v>157253</v>
      </c>
      <c r="L17" s="93">
        <v>178281</v>
      </c>
      <c r="M17" s="808">
        <v>186154</v>
      </c>
      <c r="N17" s="808">
        <v>195634</v>
      </c>
      <c r="O17" s="808">
        <v>207816</v>
      </c>
      <c r="P17" s="808">
        <v>219610</v>
      </c>
      <c r="Q17" s="808">
        <v>208424</v>
      </c>
      <c r="R17" s="808">
        <v>208063</v>
      </c>
      <c r="S17" s="808">
        <v>211032</v>
      </c>
      <c r="T17" s="808">
        <v>211891</v>
      </c>
      <c r="V17" s="90"/>
    </row>
    <row r="18" spans="1:22" ht="13.25" customHeight="1">
      <c r="A18" s="83"/>
      <c r="B18" s="23" t="s">
        <v>34</v>
      </c>
      <c r="C18" s="222">
        <v>42504</v>
      </c>
      <c r="D18" s="222">
        <v>57967</v>
      </c>
      <c r="E18" s="93">
        <v>62155</v>
      </c>
      <c r="F18" s="93">
        <v>48615</v>
      </c>
      <c r="G18" s="93">
        <v>57733</v>
      </c>
      <c r="H18" s="93">
        <v>63216</v>
      </c>
      <c r="I18" s="93">
        <v>68788</v>
      </c>
      <c r="J18" s="93">
        <v>70533</v>
      </c>
      <c r="K18" s="93">
        <v>60559</v>
      </c>
      <c r="L18" s="93">
        <v>54680</v>
      </c>
      <c r="M18" s="808">
        <v>50254</v>
      </c>
      <c r="N18" s="808">
        <v>31465</v>
      </c>
      <c r="O18" s="808">
        <v>34316</v>
      </c>
      <c r="P18" s="808">
        <v>34195</v>
      </c>
      <c r="Q18" s="808">
        <v>36228</v>
      </c>
      <c r="R18" s="808">
        <v>36484</v>
      </c>
      <c r="S18" s="808">
        <v>38656</v>
      </c>
      <c r="T18" s="808">
        <v>38987</v>
      </c>
      <c r="V18" s="90"/>
    </row>
    <row r="19" spans="1:22" ht="13.25" customHeight="1">
      <c r="A19" s="83"/>
      <c r="B19" s="23" t="s">
        <v>35</v>
      </c>
      <c r="C19" s="222">
        <v>59570</v>
      </c>
      <c r="D19" s="222">
        <v>58120</v>
      </c>
      <c r="E19" s="93">
        <v>58844</v>
      </c>
      <c r="F19" s="93">
        <v>54863</v>
      </c>
      <c r="G19" s="93">
        <v>54207</v>
      </c>
      <c r="H19" s="93">
        <v>62646</v>
      </c>
      <c r="I19" s="93">
        <v>64691</v>
      </c>
      <c r="J19" s="93">
        <v>72184</v>
      </c>
      <c r="K19" s="93">
        <v>80903</v>
      </c>
      <c r="L19" s="93">
        <v>83141</v>
      </c>
      <c r="M19" s="808">
        <v>88757</v>
      </c>
      <c r="N19" s="808">
        <v>97680</v>
      </c>
      <c r="O19" s="808">
        <v>106651</v>
      </c>
      <c r="P19" s="808">
        <v>102607</v>
      </c>
      <c r="Q19" s="808">
        <v>114370.82004178473</v>
      </c>
      <c r="R19" s="808">
        <v>105858</v>
      </c>
      <c r="S19" s="808">
        <v>116573</v>
      </c>
      <c r="T19" s="808">
        <v>122779</v>
      </c>
      <c r="V19" s="90"/>
    </row>
    <row r="20" spans="1:22" ht="13.25" customHeight="1">
      <c r="A20" s="83"/>
      <c r="B20" s="23" t="s">
        <v>36</v>
      </c>
      <c r="C20" s="222">
        <v>59124</v>
      </c>
      <c r="D20" s="222">
        <v>53014</v>
      </c>
      <c r="E20" s="93">
        <v>49515</v>
      </c>
      <c r="F20" s="93">
        <v>48110</v>
      </c>
      <c r="G20" s="93">
        <v>43753</v>
      </c>
      <c r="H20" s="93">
        <v>47029</v>
      </c>
      <c r="I20" s="93">
        <v>41748</v>
      </c>
      <c r="J20" s="93">
        <v>41090</v>
      </c>
      <c r="K20" s="93">
        <v>37437</v>
      </c>
      <c r="L20" s="93">
        <v>38621</v>
      </c>
      <c r="M20" s="808">
        <v>42079</v>
      </c>
      <c r="N20" s="808">
        <v>43268</v>
      </c>
      <c r="O20" s="808">
        <v>42772</v>
      </c>
      <c r="P20" s="808">
        <v>43012</v>
      </c>
      <c r="Q20" s="808">
        <v>44440</v>
      </c>
      <c r="R20" s="808">
        <v>40726.149999999994</v>
      </c>
      <c r="S20" s="808">
        <v>40870.400000000001</v>
      </c>
      <c r="T20" s="808">
        <v>35892.300000000003</v>
      </c>
      <c r="V20" s="90"/>
    </row>
    <row r="21" spans="1:22" ht="13.25" customHeight="1">
      <c r="A21" s="83"/>
      <c r="B21" s="23" t="s">
        <v>37</v>
      </c>
      <c r="C21" s="222">
        <v>74147</v>
      </c>
      <c r="D21" s="222">
        <v>75679</v>
      </c>
      <c r="E21" s="93">
        <v>71886</v>
      </c>
      <c r="F21" s="93">
        <v>72778</v>
      </c>
      <c r="G21" s="93">
        <v>72373</v>
      </c>
      <c r="H21" s="93">
        <v>79886</v>
      </c>
      <c r="I21" s="93">
        <v>115045</v>
      </c>
      <c r="J21" s="93">
        <v>136298</v>
      </c>
      <c r="K21" s="93">
        <v>140564</v>
      </c>
      <c r="L21" s="93">
        <v>153230</v>
      </c>
      <c r="M21" s="808">
        <v>179746</v>
      </c>
      <c r="N21" s="808">
        <v>209932</v>
      </c>
      <c r="O21" s="808">
        <v>202875</v>
      </c>
      <c r="P21" s="808">
        <v>210205</v>
      </c>
      <c r="Q21" s="808">
        <v>198540</v>
      </c>
      <c r="R21" s="808">
        <v>203325</v>
      </c>
      <c r="S21" s="808">
        <v>205510</v>
      </c>
      <c r="T21" s="808">
        <v>214046</v>
      </c>
      <c r="V21" s="90"/>
    </row>
    <row r="22" spans="1:22" ht="13.25" customHeight="1">
      <c r="A22" s="83"/>
      <c r="B22" s="23" t="s">
        <v>38</v>
      </c>
      <c r="C22" s="222">
        <v>8360</v>
      </c>
      <c r="D22" s="222">
        <v>8564</v>
      </c>
      <c r="E22" s="93">
        <v>8440</v>
      </c>
      <c r="F22" s="93">
        <v>8278</v>
      </c>
      <c r="G22" s="93">
        <v>8228</v>
      </c>
      <c r="H22" s="93">
        <v>8362</v>
      </c>
      <c r="I22" s="93">
        <v>9442</v>
      </c>
      <c r="J22" s="93">
        <v>10196</v>
      </c>
      <c r="K22" s="93">
        <v>14259</v>
      </c>
      <c r="L22" s="93">
        <v>12897</v>
      </c>
      <c r="M22" s="808">
        <v>13571</v>
      </c>
      <c r="N22" s="808">
        <v>15778</v>
      </c>
      <c r="O22" s="808">
        <v>21597</v>
      </c>
      <c r="P22" s="808">
        <v>27007</v>
      </c>
      <c r="Q22" s="808">
        <v>26011</v>
      </c>
      <c r="R22" s="808">
        <v>21353</v>
      </c>
      <c r="S22" s="808">
        <v>25858</v>
      </c>
      <c r="T22" s="808">
        <v>26968</v>
      </c>
      <c r="V22" s="90"/>
    </row>
    <row r="23" spans="1:22" ht="13.25" customHeight="1">
      <c r="A23" s="83"/>
      <c r="B23" s="23" t="s">
        <v>39</v>
      </c>
      <c r="C23" s="222">
        <v>8680</v>
      </c>
      <c r="D23" s="222">
        <v>8081</v>
      </c>
      <c r="E23" s="93">
        <v>13017</v>
      </c>
      <c r="F23" s="93">
        <v>16309</v>
      </c>
      <c r="G23" s="93">
        <v>15257</v>
      </c>
      <c r="H23" s="93">
        <v>17790</v>
      </c>
      <c r="I23" s="93">
        <v>21907</v>
      </c>
      <c r="J23" s="93">
        <v>51387</v>
      </c>
      <c r="K23" s="93">
        <v>54494</v>
      </c>
      <c r="L23" s="93">
        <v>59747</v>
      </c>
      <c r="M23" s="808">
        <v>63535</v>
      </c>
      <c r="N23" s="808">
        <v>65876</v>
      </c>
      <c r="O23" s="808">
        <v>66586</v>
      </c>
      <c r="P23" s="808">
        <v>68005</v>
      </c>
      <c r="Q23" s="808">
        <v>68881</v>
      </c>
      <c r="R23" s="808">
        <v>69594</v>
      </c>
      <c r="S23" s="808">
        <v>69763</v>
      </c>
      <c r="T23" s="808">
        <v>70732</v>
      </c>
      <c r="V23" s="90"/>
    </row>
    <row r="24" spans="1:22" ht="13.25" customHeight="1">
      <c r="A24" s="83"/>
      <c r="B24" s="23" t="s">
        <v>40</v>
      </c>
      <c r="C24" s="222">
        <v>70324</v>
      </c>
      <c r="D24" s="222">
        <v>68753</v>
      </c>
      <c r="E24" s="93">
        <v>72178</v>
      </c>
      <c r="F24" s="93">
        <v>71902</v>
      </c>
      <c r="G24" s="93">
        <v>74631</v>
      </c>
      <c r="H24" s="93">
        <v>73600</v>
      </c>
      <c r="I24" s="93">
        <v>82863</v>
      </c>
      <c r="J24" s="93">
        <v>89760</v>
      </c>
      <c r="K24" s="93">
        <v>90100</v>
      </c>
      <c r="L24" s="93">
        <v>53101</v>
      </c>
      <c r="M24" s="808">
        <v>52336</v>
      </c>
      <c r="N24" s="808">
        <v>55804</v>
      </c>
      <c r="O24" s="808">
        <v>52959</v>
      </c>
      <c r="P24" s="808">
        <v>56117</v>
      </c>
      <c r="Q24" s="808">
        <v>62319</v>
      </c>
      <c r="R24" s="808">
        <v>54161</v>
      </c>
      <c r="S24" s="808">
        <v>57183.408739999999</v>
      </c>
      <c r="T24" s="808">
        <v>61979.82</v>
      </c>
      <c r="V24" s="90"/>
    </row>
    <row r="25" spans="1:22" ht="13.25" customHeight="1">
      <c r="A25" s="83"/>
      <c r="B25" s="23" t="s">
        <v>41</v>
      </c>
      <c r="C25" s="222">
        <v>50014</v>
      </c>
      <c r="D25" s="222">
        <v>49653</v>
      </c>
      <c r="E25" s="93">
        <v>56896</v>
      </c>
      <c r="F25" s="93">
        <v>57388</v>
      </c>
      <c r="G25" s="93">
        <v>60425</v>
      </c>
      <c r="H25" s="93">
        <v>68563</v>
      </c>
      <c r="I25" s="93">
        <v>78775</v>
      </c>
      <c r="J25" s="93">
        <v>68365</v>
      </c>
      <c r="K25" s="93">
        <v>68786</v>
      </c>
      <c r="L25" s="93">
        <v>68452</v>
      </c>
      <c r="M25" s="808">
        <v>68592</v>
      </c>
      <c r="N25" s="808">
        <v>69841</v>
      </c>
      <c r="O25" s="808">
        <v>70374</v>
      </c>
      <c r="P25" s="808">
        <v>67544</v>
      </c>
      <c r="Q25" s="808">
        <v>71343</v>
      </c>
      <c r="R25" s="808">
        <v>70472.479999999996</v>
      </c>
      <c r="S25" s="808">
        <v>65607.8</v>
      </c>
      <c r="T25" s="808">
        <v>60118.1</v>
      </c>
      <c r="V25" s="90"/>
    </row>
    <row r="26" spans="1:22" ht="13.25" customHeight="1">
      <c r="A26" s="83"/>
      <c r="B26" s="23" t="s">
        <v>44</v>
      </c>
      <c r="C26" s="222">
        <v>68518</v>
      </c>
      <c r="D26" s="222">
        <v>85572</v>
      </c>
      <c r="E26" s="93">
        <v>103885</v>
      </c>
      <c r="F26" s="93">
        <v>85657</v>
      </c>
      <c r="G26" s="93">
        <v>85163</v>
      </c>
      <c r="H26" s="93">
        <v>79138</v>
      </c>
      <c r="I26" s="93">
        <v>85945</v>
      </c>
      <c r="J26" s="93">
        <v>90217</v>
      </c>
      <c r="K26" s="93">
        <v>102863</v>
      </c>
      <c r="L26" s="93">
        <v>112898</v>
      </c>
      <c r="M26" s="808">
        <v>127768</v>
      </c>
      <c r="N26" s="808">
        <v>154212</v>
      </c>
      <c r="O26" s="808">
        <v>144583</v>
      </c>
      <c r="P26" s="808">
        <v>108714</v>
      </c>
      <c r="Q26" s="808">
        <v>120446</v>
      </c>
      <c r="R26" s="808">
        <v>91405</v>
      </c>
      <c r="S26" s="808">
        <v>104462</v>
      </c>
      <c r="T26" s="808">
        <v>128736</v>
      </c>
      <c r="V26" s="90"/>
    </row>
    <row r="27" spans="1:22" ht="13.25" customHeight="1">
      <c r="A27" s="83"/>
      <c r="B27" s="23" t="s">
        <v>45</v>
      </c>
      <c r="C27" s="222">
        <v>61930</v>
      </c>
      <c r="D27" s="222">
        <v>65520</v>
      </c>
      <c r="E27" s="93">
        <v>67990</v>
      </c>
      <c r="F27" s="93">
        <v>70540</v>
      </c>
      <c r="G27" s="93">
        <v>75600</v>
      </c>
      <c r="H27" s="93">
        <v>78270</v>
      </c>
      <c r="I27" s="93">
        <v>77874</v>
      </c>
      <c r="J27" s="93">
        <v>80049</v>
      </c>
      <c r="K27" s="93">
        <v>78825</v>
      </c>
      <c r="L27" s="93">
        <v>80179</v>
      </c>
      <c r="M27" s="808">
        <v>71591</v>
      </c>
      <c r="N27" s="808">
        <v>76134</v>
      </c>
      <c r="O27" s="808">
        <v>76729</v>
      </c>
      <c r="P27" s="808">
        <v>77010</v>
      </c>
      <c r="Q27" s="808">
        <v>77140</v>
      </c>
      <c r="R27" s="808">
        <v>77325</v>
      </c>
      <c r="S27" s="808">
        <v>77120</v>
      </c>
      <c r="T27" s="808">
        <v>77210</v>
      </c>
      <c r="V27" s="90"/>
    </row>
    <row r="28" spans="1:22" ht="13.25" customHeight="1">
      <c r="A28" s="83"/>
      <c r="B28" s="82" t="s">
        <v>46</v>
      </c>
      <c r="C28" s="222">
        <v>57291</v>
      </c>
      <c r="D28" s="222">
        <v>59772</v>
      </c>
      <c r="E28" s="93">
        <v>60709</v>
      </c>
      <c r="F28" s="93">
        <v>61993</v>
      </c>
      <c r="G28" s="93">
        <v>59283</v>
      </c>
      <c r="H28" s="93">
        <v>60312</v>
      </c>
      <c r="I28" s="93">
        <v>58235</v>
      </c>
      <c r="J28" s="93">
        <v>47912</v>
      </c>
      <c r="K28" s="93">
        <v>46967</v>
      </c>
      <c r="L28" s="93">
        <v>55436</v>
      </c>
      <c r="M28" s="808">
        <v>53943</v>
      </c>
      <c r="N28" s="808">
        <v>59422</v>
      </c>
      <c r="O28" s="808">
        <v>59704</v>
      </c>
      <c r="P28" s="808">
        <v>67277</v>
      </c>
      <c r="Q28" s="808">
        <v>70713</v>
      </c>
      <c r="R28" s="808">
        <v>67171</v>
      </c>
      <c r="S28" s="808">
        <v>74226</v>
      </c>
      <c r="T28" s="808">
        <v>74443</v>
      </c>
      <c r="V28" s="90"/>
    </row>
    <row r="29" spans="1:22" ht="13.25" customHeight="1">
      <c r="A29" s="83"/>
      <c r="B29" s="23" t="s">
        <v>47</v>
      </c>
      <c r="C29" s="222">
        <v>30732</v>
      </c>
      <c r="D29" s="222">
        <v>28215</v>
      </c>
      <c r="E29" s="93">
        <v>29327</v>
      </c>
      <c r="F29" s="93">
        <v>31280</v>
      </c>
      <c r="G29" s="93">
        <v>32759</v>
      </c>
      <c r="H29" s="93">
        <v>37863</v>
      </c>
      <c r="I29" s="93">
        <v>45225</v>
      </c>
      <c r="J29" s="93">
        <v>47774</v>
      </c>
      <c r="K29" s="93">
        <v>49718</v>
      </c>
      <c r="L29" s="93">
        <v>50870</v>
      </c>
      <c r="M29" s="808">
        <v>46770</v>
      </c>
      <c r="N29" s="808">
        <v>49351</v>
      </c>
      <c r="O29" s="808">
        <v>55401</v>
      </c>
      <c r="P29" s="808">
        <v>65574</v>
      </c>
      <c r="Q29" s="808">
        <v>60322</v>
      </c>
      <c r="R29" s="808">
        <v>54911.252782695839</v>
      </c>
      <c r="S29" s="808">
        <v>47120</v>
      </c>
      <c r="T29" s="808">
        <v>44014</v>
      </c>
      <c r="V29" s="90"/>
    </row>
    <row r="30" spans="1:22" ht="13.25" customHeight="1">
      <c r="A30" s="83"/>
      <c r="B30" s="23" t="s">
        <v>48</v>
      </c>
      <c r="C30" s="222">
        <v>15411</v>
      </c>
      <c r="D30" s="222">
        <v>16336</v>
      </c>
      <c r="E30" s="93">
        <v>17156</v>
      </c>
      <c r="F30" s="93">
        <v>18211</v>
      </c>
      <c r="G30" s="93">
        <v>20564</v>
      </c>
      <c r="H30" s="93">
        <v>22341</v>
      </c>
      <c r="I30" s="93">
        <v>24618</v>
      </c>
      <c r="J30" s="93">
        <v>24595</v>
      </c>
      <c r="K30" s="93">
        <v>24998</v>
      </c>
      <c r="L30" s="93">
        <v>25440</v>
      </c>
      <c r="M30" s="808">
        <v>26496</v>
      </c>
      <c r="N30" s="808">
        <v>27683</v>
      </c>
      <c r="O30" s="808">
        <v>21547</v>
      </c>
      <c r="P30" s="808">
        <v>23330</v>
      </c>
      <c r="Q30" s="808">
        <v>21738.5808219178</v>
      </c>
      <c r="R30" s="808">
        <v>16326</v>
      </c>
      <c r="S30" s="808">
        <v>16005</v>
      </c>
      <c r="T30" s="808">
        <v>15032</v>
      </c>
      <c r="V30" s="90"/>
    </row>
    <row r="31" spans="1:22" ht="13.25" customHeight="1" thickBot="1">
      <c r="A31" s="88"/>
      <c r="B31" s="577" t="s">
        <v>49</v>
      </c>
      <c r="C31" s="581">
        <v>4175</v>
      </c>
      <c r="D31" s="581">
        <v>4068</v>
      </c>
      <c r="E31" s="809">
        <v>4126</v>
      </c>
      <c r="F31" s="809">
        <v>4681</v>
      </c>
      <c r="G31" s="809">
        <v>6082</v>
      </c>
      <c r="H31" s="809">
        <v>4741</v>
      </c>
      <c r="I31" s="809">
        <v>5301</v>
      </c>
      <c r="J31" s="809">
        <v>6265</v>
      </c>
      <c r="K31" s="809">
        <v>7114</v>
      </c>
      <c r="L31" s="809">
        <v>7908</v>
      </c>
      <c r="M31" s="810">
        <v>7764</v>
      </c>
      <c r="N31" s="810">
        <v>11893</v>
      </c>
      <c r="O31" s="810">
        <v>14155</v>
      </c>
      <c r="P31" s="810">
        <v>14474</v>
      </c>
      <c r="Q31" s="810">
        <v>17517</v>
      </c>
      <c r="R31" s="810">
        <v>17486</v>
      </c>
      <c r="S31" s="810">
        <v>19078</v>
      </c>
      <c r="T31" s="810">
        <v>19687</v>
      </c>
      <c r="V31" s="90"/>
    </row>
    <row r="32" spans="1:22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5">
    <tabColor theme="9" tint="0.59999389629810485"/>
  </sheetPr>
  <dimension ref="A2:T35"/>
  <sheetViews>
    <sheetView showGridLines="0" topLeftCell="A3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16384" width="7" style="82"/>
  </cols>
  <sheetData>
    <row r="2" spans="1:20" ht="13.25" customHeight="1">
      <c r="A2" s="230" t="s">
        <v>508</v>
      </c>
      <c r="B2" s="231"/>
    </row>
    <row r="3" spans="1:20" ht="13.25" customHeight="1">
      <c r="A3" s="232" t="s">
        <v>236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96</v>
      </c>
      <c r="B6" s="963"/>
      <c r="C6" s="573">
        <f t="shared" ref="C6:N6" si="0">(C8+C9+C10+C11+C12+C13+C14+C15+C16+C17+C18+C19+C20+C21+C22+C23+C24+C25+C26+C27+C28+C29+C30+C31)</f>
        <v>104254</v>
      </c>
      <c r="D6" s="573">
        <f t="shared" si="0"/>
        <v>109012</v>
      </c>
      <c r="E6" s="574">
        <f t="shared" si="0"/>
        <v>114520</v>
      </c>
      <c r="F6" s="574">
        <f t="shared" si="0"/>
        <v>115197</v>
      </c>
      <c r="G6" s="574">
        <f t="shared" si="0"/>
        <v>114717</v>
      </c>
      <c r="H6" s="574">
        <f t="shared" si="0"/>
        <v>115654</v>
      </c>
      <c r="I6" s="574">
        <f t="shared" si="0"/>
        <v>117588</v>
      </c>
      <c r="J6" s="574">
        <f t="shared" si="0"/>
        <v>122352</v>
      </c>
      <c r="K6" s="574">
        <f t="shared" si="0"/>
        <v>127685</v>
      </c>
      <c r="L6" s="574">
        <f t="shared" si="0"/>
        <v>135393</v>
      </c>
      <c r="M6" s="574">
        <f t="shared" si="0"/>
        <v>142927</v>
      </c>
      <c r="N6" s="574">
        <f t="shared" si="0"/>
        <v>149399</v>
      </c>
      <c r="O6" s="574">
        <f t="shared" ref="O6:T6" si="1">(O8+O9+O10+O11+O12+O13+O14+O15+O16+O17+O18+O19+O20+O21+O22+O23+O24+O25+O26+O27+O28+O29+O30+O31)</f>
        <v>157823</v>
      </c>
      <c r="P6" s="574">
        <f t="shared" si="1"/>
        <v>162421</v>
      </c>
      <c r="Q6" s="574">
        <f t="shared" si="1"/>
        <v>173258.7</v>
      </c>
      <c r="R6" s="574">
        <f t="shared" si="1"/>
        <v>169804.79999999996</v>
      </c>
      <c r="S6" s="574">
        <f t="shared" si="1"/>
        <v>176149.69999999998</v>
      </c>
      <c r="T6" s="574">
        <f t="shared" si="1"/>
        <v>181404.90000000002</v>
      </c>
    </row>
    <row r="7" spans="1:20" ht="3" customHeight="1">
      <c r="A7" s="83"/>
      <c r="B7" s="84"/>
      <c r="C7" s="233"/>
      <c r="D7" s="23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0" ht="13.25" customHeight="1">
      <c r="A8" s="83"/>
      <c r="B8" s="23" t="s">
        <v>21</v>
      </c>
      <c r="C8" s="234">
        <v>190</v>
      </c>
      <c r="D8" s="234">
        <v>228</v>
      </c>
      <c r="E8" s="222">
        <v>306</v>
      </c>
      <c r="F8" s="222">
        <v>408</v>
      </c>
      <c r="G8" s="222">
        <v>420</v>
      </c>
      <c r="H8" s="222">
        <v>582</v>
      </c>
      <c r="I8" s="222">
        <v>626</v>
      </c>
      <c r="J8" s="222">
        <v>863</v>
      </c>
      <c r="K8" s="222">
        <v>998</v>
      </c>
      <c r="L8" s="222">
        <v>827</v>
      </c>
      <c r="M8" s="174">
        <v>780</v>
      </c>
      <c r="N8" s="174">
        <v>316</v>
      </c>
      <c r="O8" s="174">
        <v>398</v>
      </c>
      <c r="P8" s="174">
        <v>279</v>
      </c>
      <c r="Q8" s="174">
        <v>344.5</v>
      </c>
      <c r="R8" s="174">
        <v>332.7</v>
      </c>
      <c r="S8" s="174">
        <v>306</v>
      </c>
      <c r="T8" s="174">
        <v>285.10000000000002</v>
      </c>
    </row>
    <row r="9" spans="1:20" ht="13.25" customHeight="1">
      <c r="A9" s="83"/>
      <c r="B9" s="23" t="s">
        <v>22</v>
      </c>
      <c r="C9" s="234">
        <v>6387</v>
      </c>
      <c r="D9" s="234">
        <v>7231</v>
      </c>
      <c r="E9" s="222">
        <v>6857</v>
      </c>
      <c r="F9" s="222">
        <v>6388</v>
      </c>
      <c r="G9" s="222">
        <v>6499</v>
      </c>
      <c r="H9" s="222">
        <v>7171</v>
      </c>
      <c r="I9" s="222">
        <v>6138</v>
      </c>
      <c r="J9" s="222">
        <v>5969</v>
      </c>
      <c r="K9" s="222">
        <v>5987</v>
      </c>
      <c r="L9" s="222">
        <v>5651</v>
      </c>
      <c r="M9" s="174">
        <v>6266</v>
      </c>
      <c r="N9" s="174">
        <v>4635</v>
      </c>
      <c r="O9" s="174">
        <v>4739</v>
      </c>
      <c r="P9" s="174">
        <v>5048</v>
      </c>
      <c r="Q9" s="174">
        <v>5825</v>
      </c>
      <c r="R9" s="174">
        <v>6007</v>
      </c>
      <c r="S9" s="174">
        <v>6077.6</v>
      </c>
      <c r="T9" s="174">
        <v>6003.7</v>
      </c>
    </row>
    <row r="10" spans="1:20" ht="13.25" customHeight="1">
      <c r="A10" s="83"/>
      <c r="B10" s="23" t="s">
        <v>23</v>
      </c>
      <c r="C10" s="234">
        <v>1565</v>
      </c>
      <c r="D10" s="234">
        <v>1452</v>
      </c>
      <c r="E10" s="222">
        <v>2022</v>
      </c>
      <c r="F10" s="222">
        <v>1210</v>
      </c>
      <c r="G10" s="222">
        <v>1214</v>
      </c>
      <c r="H10" s="222">
        <v>1283</v>
      </c>
      <c r="I10" s="222">
        <v>1480</v>
      </c>
      <c r="J10" s="222">
        <v>1244</v>
      </c>
      <c r="K10" s="222">
        <v>1317</v>
      </c>
      <c r="L10" s="222">
        <v>1486</v>
      </c>
      <c r="M10" s="222">
        <v>1400</v>
      </c>
      <c r="N10" s="222">
        <v>1529</v>
      </c>
      <c r="O10" s="222">
        <v>1665</v>
      </c>
      <c r="P10" s="222">
        <v>1732</v>
      </c>
      <c r="Q10" s="222">
        <v>1720.9</v>
      </c>
      <c r="R10" s="222">
        <v>1625.3</v>
      </c>
      <c r="S10" s="222">
        <v>1523</v>
      </c>
      <c r="T10" s="222">
        <v>1521.3</v>
      </c>
    </row>
    <row r="11" spans="1:20" ht="13.25" customHeight="1">
      <c r="A11" s="83"/>
      <c r="B11" s="23" t="s">
        <v>24</v>
      </c>
      <c r="C11" s="234">
        <v>8050</v>
      </c>
      <c r="D11" s="234">
        <v>8378</v>
      </c>
      <c r="E11" s="222">
        <v>8663</v>
      </c>
      <c r="F11" s="222">
        <v>8965</v>
      </c>
      <c r="G11" s="222">
        <v>9251</v>
      </c>
      <c r="H11" s="222">
        <v>9748</v>
      </c>
      <c r="I11" s="222">
        <v>10226</v>
      </c>
      <c r="J11" s="222">
        <v>10412</v>
      </c>
      <c r="K11" s="222">
        <v>10789</v>
      </c>
      <c r="L11" s="222">
        <v>14105</v>
      </c>
      <c r="M11" s="174">
        <v>14504</v>
      </c>
      <c r="N11" s="174">
        <v>15047</v>
      </c>
      <c r="O11" s="174">
        <v>16879</v>
      </c>
      <c r="P11" s="174">
        <v>17459</v>
      </c>
      <c r="Q11" s="174">
        <v>17654</v>
      </c>
      <c r="R11" s="174">
        <v>18996.599999999999</v>
      </c>
      <c r="S11" s="174">
        <v>19651.8</v>
      </c>
      <c r="T11" s="174">
        <v>20469.400000000001</v>
      </c>
    </row>
    <row r="12" spans="1:20" ht="13.25" customHeight="1">
      <c r="A12" s="83"/>
      <c r="B12" s="23" t="s">
        <v>25</v>
      </c>
      <c r="C12" s="234">
        <v>3547</v>
      </c>
      <c r="D12" s="234">
        <v>4158</v>
      </c>
      <c r="E12" s="222">
        <v>4663</v>
      </c>
      <c r="F12" s="222">
        <v>4426</v>
      </c>
      <c r="G12" s="222">
        <v>4781</v>
      </c>
      <c r="H12" s="222">
        <v>5128</v>
      </c>
      <c r="I12" s="222">
        <v>5122</v>
      </c>
      <c r="J12" s="222">
        <v>4931</v>
      </c>
      <c r="K12" s="222">
        <v>5786</v>
      </c>
      <c r="L12" s="222">
        <v>5981</v>
      </c>
      <c r="M12" s="174">
        <v>6169</v>
      </c>
      <c r="N12" s="174">
        <v>6590</v>
      </c>
      <c r="O12" s="174">
        <v>6393</v>
      </c>
      <c r="P12" s="174">
        <v>6251</v>
      </c>
      <c r="Q12" s="174">
        <v>6484.1</v>
      </c>
      <c r="R12" s="174">
        <v>5721.8</v>
      </c>
      <c r="S12" s="174">
        <v>5799.7</v>
      </c>
      <c r="T12" s="174">
        <v>5891.3</v>
      </c>
    </row>
    <row r="13" spans="1:20" ht="13.25" customHeight="1">
      <c r="A13" s="83"/>
      <c r="B13" s="23" t="s">
        <v>29</v>
      </c>
      <c r="C13" s="234">
        <v>994</v>
      </c>
      <c r="D13" s="234">
        <v>1085</v>
      </c>
      <c r="E13" s="222">
        <v>1109</v>
      </c>
      <c r="F13" s="222">
        <v>1052</v>
      </c>
      <c r="G13" s="222">
        <v>1129</v>
      </c>
      <c r="H13" s="222">
        <v>1202</v>
      </c>
      <c r="I13" s="222">
        <v>1227</v>
      </c>
      <c r="J13" s="222">
        <v>1340</v>
      </c>
      <c r="K13" s="222">
        <v>1470</v>
      </c>
      <c r="L13" s="222">
        <v>1551</v>
      </c>
      <c r="M13" s="222">
        <v>1537</v>
      </c>
      <c r="N13" s="222">
        <v>1662</v>
      </c>
      <c r="O13" s="222">
        <v>1712</v>
      </c>
      <c r="P13" s="222">
        <v>1781</v>
      </c>
      <c r="Q13" s="222">
        <v>1806.4</v>
      </c>
      <c r="R13" s="222">
        <v>1707.2</v>
      </c>
      <c r="S13" s="222">
        <v>1513.3</v>
      </c>
      <c r="T13" s="222">
        <v>1688.1</v>
      </c>
    </row>
    <row r="14" spans="1:20" ht="13.25" customHeight="1">
      <c r="A14" s="83"/>
      <c r="B14" s="23" t="s">
        <v>30</v>
      </c>
      <c r="C14" s="234">
        <v>1095</v>
      </c>
      <c r="D14" s="234">
        <v>1048</v>
      </c>
      <c r="E14" s="222">
        <v>976</v>
      </c>
      <c r="F14" s="222">
        <v>994</v>
      </c>
      <c r="G14" s="222">
        <v>1043</v>
      </c>
      <c r="H14" s="222">
        <v>1068</v>
      </c>
      <c r="I14" s="222">
        <v>1133</v>
      </c>
      <c r="J14" s="222">
        <v>1168</v>
      </c>
      <c r="K14" s="222">
        <v>1186</v>
      </c>
      <c r="L14" s="222">
        <v>1190</v>
      </c>
      <c r="M14" s="174">
        <v>1265</v>
      </c>
      <c r="N14" s="174">
        <v>1375</v>
      </c>
      <c r="O14" s="174">
        <v>1375</v>
      </c>
      <c r="P14" s="174">
        <v>1579</v>
      </c>
      <c r="Q14" s="174">
        <v>1593.2</v>
      </c>
      <c r="R14" s="174">
        <v>1605.4</v>
      </c>
      <c r="S14" s="174">
        <v>1799.3</v>
      </c>
      <c r="T14" s="174">
        <v>1856.9</v>
      </c>
    </row>
    <row r="15" spans="1:20" ht="13.25" customHeight="1">
      <c r="A15" s="83"/>
      <c r="B15" s="23" t="s">
        <v>31</v>
      </c>
      <c r="C15" s="234">
        <v>45295</v>
      </c>
      <c r="D15" s="234">
        <v>46669</v>
      </c>
      <c r="E15" s="222">
        <v>50069</v>
      </c>
      <c r="F15" s="222">
        <v>51802</v>
      </c>
      <c r="G15" s="222">
        <v>49670</v>
      </c>
      <c r="H15" s="222">
        <v>47735</v>
      </c>
      <c r="I15" s="222">
        <v>48882</v>
      </c>
      <c r="J15" s="222">
        <v>51971</v>
      </c>
      <c r="K15" s="222">
        <v>55446</v>
      </c>
      <c r="L15" s="222">
        <v>59187</v>
      </c>
      <c r="M15" s="174">
        <v>62813</v>
      </c>
      <c r="N15" s="174">
        <v>65479</v>
      </c>
      <c r="O15" s="174">
        <v>71500</v>
      </c>
      <c r="P15" s="174">
        <v>72791</v>
      </c>
      <c r="Q15" s="174">
        <v>74812.600000000006</v>
      </c>
      <c r="R15" s="174">
        <v>73425.7</v>
      </c>
      <c r="S15" s="174">
        <v>75883.199999999997</v>
      </c>
      <c r="T15" s="174">
        <v>78327.100000000006</v>
      </c>
    </row>
    <row r="16" spans="1:20" ht="13.25" customHeight="1">
      <c r="A16" s="83"/>
      <c r="B16" s="23" t="s">
        <v>32</v>
      </c>
      <c r="C16" s="234">
        <v>1343</v>
      </c>
      <c r="D16" s="234">
        <v>1336</v>
      </c>
      <c r="E16" s="222">
        <v>637</v>
      </c>
      <c r="F16" s="222">
        <v>1621</v>
      </c>
      <c r="G16" s="222">
        <v>1825</v>
      </c>
      <c r="H16" s="222">
        <v>1971</v>
      </c>
      <c r="I16" s="222">
        <v>2174</v>
      </c>
      <c r="J16" s="222">
        <v>2249</v>
      </c>
      <c r="K16" s="222">
        <v>2218</v>
      </c>
      <c r="L16" s="222">
        <v>2514</v>
      </c>
      <c r="M16" s="222">
        <v>3494</v>
      </c>
      <c r="N16" s="222">
        <v>3621</v>
      </c>
      <c r="O16" s="222">
        <v>3935</v>
      </c>
      <c r="P16" s="222">
        <v>4101</v>
      </c>
      <c r="Q16" s="222">
        <v>11483.8</v>
      </c>
      <c r="R16" s="222">
        <v>11271.7</v>
      </c>
      <c r="S16" s="222">
        <v>12576.5</v>
      </c>
      <c r="T16" s="222">
        <v>13365.9</v>
      </c>
    </row>
    <row r="17" spans="1:20" ht="13.25" customHeight="1">
      <c r="A17" s="83"/>
      <c r="B17" s="23" t="s">
        <v>33</v>
      </c>
      <c r="C17" s="234">
        <v>11654</v>
      </c>
      <c r="D17" s="234">
        <v>12043</v>
      </c>
      <c r="E17" s="222">
        <v>12160</v>
      </c>
      <c r="F17" s="222">
        <v>11073</v>
      </c>
      <c r="G17" s="222">
        <v>10418</v>
      </c>
      <c r="H17" s="222">
        <v>9920</v>
      </c>
      <c r="I17" s="222">
        <v>7964</v>
      </c>
      <c r="J17" s="222">
        <v>6312</v>
      </c>
      <c r="K17" s="222">
        <v>5409</v>
      </c>
      <c r="L17" s="222">
        <v>5745</v>
      </c>
      <c r="M17" s="174">
        <v>6100</v>
      </c>
      <c r="N17" s="174">
        <v>6628</v>
      </c>
      <c r="O17" s="174">
        <v>6784</v>
      </c>
      <c r="P17" s="174">
        <v>7946</v>
      </c>
      <c r="Q17" s="174">
        <v>8078.9</v>
      </c>
      <c r="R17" s="174">
        <v>7374.3</v>
      </c>
      <c r="S17" s="174">
        <v>8094.2</v>
      </c>
      <c r="T17" s="174">
        <v>8017.1</v>
      </c>
    </row>
    <row r="18" spans="1:20" ht="13.25" customHeight="1">
      <c r="A18" s="83"/>
      <c r="B18" s="23" t="s">
        <v>34</v>
      </c>
      <c r="C18" s="234">
        <v>1361</v>
      </c>
      <c r="D18" s="234">
        <v>1971</v>
      </c>
      <c r="E18" s="222">
        <v>1937</v>
      </c>
      <c r="F18" s="222">
        <v>2049</v>
      </c>
      <c r="G18" s="222">
        <v>2281</v>
      </c>
      <c r="H18" s="222">
        <v>2221</v>
      </c>
      <c r="I18" s="222">
        <v>2347</v>
      </c>
      <c r="J18" s="222">
        <v>2450</v>
      </c>
      <c r="K18" s="222">
        <v>2045</v>
      </c>
      <c r="L18" s="222">
        <v>1878</v>
      </c>
      <c r="M18" s="174">
        <v>1755</v>
      </c>
      <c r="N18" s="174">
        <v>1144</v>
      </c>
      <c r="O18" s="174">
        <v>1265</v>
      </c>
      <c r="P18" s="174">
        <v>1345</v>
      </c>
      <c r="Q18" s="174">
        <v>1328</v>
      </c>
      <c r="R18" s="174">
        <v>1334.8</v>
      </c>
      <c r="S18" s="174">
        <v>1403.4</v>
      </c>
      <c r="T18" s="174">
        <v>1451.1</v>
      </c>
    </row>
    <row r="19" spans="1:20" ht="13.25" customHeight="1">
      <c r="A19" s="83"/>
      <c r="B19" s="23" t="s">
        <v>35</v>
      </c>
      <c r="C19" s="234">
        <v>2414</v>
      </c>
      <c r="D19" s="234">
        <v>2351</v>
      </c>
      <c r="E19" s="222">
        <v>2407</v>
      </c>
      <c r="F19" s="222">
        <v>2227</v>
      </c>
      <c r="G19" s="222">
        <v>2346</v>
      </c>
      <c r="H19" s="222">
        <v>2576</v>
      </c>
      <c r="I19" s="222">
        <v>2678</v>
      </c>
      <c r="J19" s="222">
        <v>3045</v>
      </c>
      <c r="K19" s="222">
        <v>3434</v>
      </c>
      <c r="L19" s="222">
        <v>3479</v>
      </c>
      <c r="M19" s="174">
        <v>3695</v>
      </c>
      <c r="N19" s="174">
        <v>4081</v>
      </c>
      <c r="O19" s="174">
        <v>4447</v>
      </c>
      <c r="P19" s="174">
        <v>4347</v>
      </c>
      <c r="Q19" s="174">
        <v>4855.2</v>
      </c>
      <c r="R19" s="174">
        <v>4716.1000000000004</v>
      </c>
      <c r="S19" s="174">
        <v>5225.3</v>
      </c>
      <c r="T19" s="174">
        <v>5510.9</v>
      </c>
    </row>
    <row r="20" spans="1:20" ht="13.25" customHeight="1">
      <c r="A20" s="83"/>
      <c r="B20" s="23" t="s">
        <v>36</v>
      </c>
      <c r="C20" s="234">
        <v>1731</v>
      </c>
      <c r="D20" s="234">
        <v>1571</v>
      </c>
      <c r="E20" s="222">
        <v>1465</v>
      </c>
      <c r="F20" s="222">
        <v>1412</v>
      </c>
      <c r="G20" s="222">
        <v>1388</v>
      </c>
      <c r="H20" s="222">
        <v>1475</v>
      </c>
      <c r="I20" s="222">
        <v>1455</v>
      </c>
      <c r="J20" s="222">
        <v>1432</v>
      </c>
      <c r="K20" s="222">
        <v>1321</v>
      </c>
      <c r="L20" s="222">
        <v>1309</v>
      </c>
      <c r="M20" s="174">
        <v>1357</v>
      </c>
      <c r="N20" s="174">
        <v>1506</v>
      </c>
      <c r="O20" s="174">
        <v>1486</v>
      </c>
      <c r="P20" s="174">
        <v>1546</v>
      </c>
      <c r="Q20" s="174">
        <v>1632.7</v>
      </c>
      <c r="R20" s="174">
        <v>1583.3</v>
      </c>
      <c r="S20" s="174">
        <v>1536.4</v>
      </c>
      <c r="T20" s="174">
        <v>1466.5</v>
      </c>
    </row>
    <row r="21" spans="1:20" ht="13.25" customHeight="1">
      <c r="A21" s="83"/>
      <c r="B21" s="23" t="s">
        <v>37</v>
      </c>
      <c r="C21" s="234">
        <v>4184</v>
      </c>
      <c r="D21" s="234">
        <v>4285</v>
      </c>
      <c r="E21" s="222">
        <v>4118</v>
      </c>
      <c r="F21" s="222">
        <v>4178</v>
      </c>
      <c r="G21" s="222">
        <v>4235</v>
      </c>
      <c r="H21" s="222">
        <v>4760</v>
      </c>
      <c r="I21" s="222">
        <v>6075</v>
      </c>
      <c r="J21" s="222">
        <v>7640</v>
      </c>
      <c r="K21" s="222">
        <v>7851</v>
      </c>
      <c r="L21" s="222">
        <v>8593</v>
      </c>
      <c r="M21" s="174">
        <v>10045</v>
      </c>
      <c r="N21" s="174">
        <v>11755</v>
      </c>
      <c r="O21" s="174">
        <v>11362</v>
      </c>
      <c r="P21" s="174">
        <v>11512</v>
      </c>
      <c r="Q21" s="174">
        <v>11061.5</v>
      </c>
      <c r="R21" s="174">
        <v>11395.3</v>
      </c>
      <c r="S21" s="174">
        <v>11518.1</v>
      </c>
      <c r="T21" s="174">
        <v>11997.6</v>
      </c>
    </row>
    <row r="22" spans="1:20" ht="13.25" customHeight="1">
      <c r="A22" s="83"/>
      <c r="B22" s="23" t="s">
        <v>38</v>
      </c>
      <c r="C22" s="234">
        <v>376</v>
      </c>
      <c r="D22" s="234">
        <v>386</v>
      </c>
      <c r="E22" s="222">
        <v>391</v>
      </c>
      <c r="F22" s="222">
        <v>395</v>
      </c>
      <c r="G22" s="222">
        <v>457</v>
      </c>
      <c r="H22" s="222">
        <v>402</v>
      </c>
      <c r="I22" s="222">
        <v>459</v>
      </c>
      <c r="J22" s="222">
        <v>461</v>
      </c>
      <c r="K22" s="222">
        <v>562</v>
      </c>
      <c r="L22" s="222">
        <v>568</v>
      </c>
      <c r="M22" s="174">
        <v>590</v>
      </c>
      <c r="N22" s="174">
        <v>665</v>
      </c>
      <c r="O22" s="174">
        <v>885</v>
      </c>
      <c r="P22" s="174">
        <v>1200</v>
      </c>
      <c r="Q22" s="174">
        <v>1163.0999999999999</v>
      </c>
      <c r="R22" s="174">
        <v>1010.9</v>
      </c>
      <c r="S22" s="174">
        <v>1228.8</v>
      </c>
      <c r="T22" s="174">
        <v>1264.7</v>
      </c>
    </row>
    <row r="23" spans="1:20" ht="13.25" customHeight="1">
      <c r="A23" s="83"/>
      <c r="B23" s="23" t="s">
        <v>39</v>
      </c>
      <c r="C23" s="234">
        <v>401</v>
      </c>
      <c r="D23" s="234">
        <v>377</v>
      </c>
      <c r="E23" s="222">
        <v>623</v>
      </c>
      <c r="F23" s="222">
        <v>782</v>
      </c>
      <c r="G23" s="222">
        <v>781</v>
      </c>
      <c r="H23" s="222">
        <v>912</v>
      </c>
      <c r="I23" s="222">
        <v>1370</v>
      </c>
      <c r="J23" s="222">
        <v>2096</v>
      </c>
      <c r="K23" s="222">
        <v>2447</v>
      </c>
      <c r="L23" s="222">
        <v>2448</v>
      </c>
      <c r="M23" s="174">
        <v>2464</v>
      </c>
      <c r="N23" s="174">
        <v>2471</v>
      </c>
      <c r="O23" s="174">
        <v>2621</v>
      </c>
      <c r="P23" s="174">
        <v>2677</v>
      </c>
      <c r="Q23" s="174">
        <v>2707.4</v>
      </c>
      <c r="R23" s="174">
        <v>2793.7</v>
      </c>
      <c r="S23" s="174">
        <v>2827.5</v>
      </c>
      <c r="T23" s="174">
        <v>2888.6</v>
      </c>
    </row>
    <row r="24" spans="1:20" ht="13.25" customHeight="1">
      <c r="A24" s="83"/>
      <c r="B24" s="23" t="s">
        <v>40</v>
      </c>
      <c r="C24" s="234">
        <v>2705</v>
      </c>
      <c r="D24" s="234">
        <v>2632</v>
      </c>
      <c r="E24" s="222">
        <v>2714</v>
      </c>
      <c r="F24" s="222">
        <v>3142</v>
      </c>
      <c r="G24" s="222">
        <v>3268</v>
      </c>
      <c r="H24" s="222">
        <v>3179</v>
      </c>
      <c r="I24" s="222">
        <v>3476</v>
      </c>
      <c r="J24" s="222">
        <v>3766</v>
      </c>
      <c r="K24" s="222">
        <v>3773</v>
      </c>
      <c r="L24" s="222">
        <v>2252</v>
      </c>
      <c r="M24" s="174">
        <v>2251</v>
      </c>
      <c r="N24" s="174">
        <v>2394</v>
      </c>
      <c r="O24" s="174">
        <v>2332</v>
      </c>
      <c r="P24" s="174">
        <v>2480</v>
      </c>
      <c r="Q24" s="174">
        <v>2757.4</v>
      </c>
      <c r="R24" s="174">
        <v>2431.8000000000002</v>
      </c>
      <c r="S24" s="174">
        <v>2551.9</v>
      </c>
      <c r="T24" s="174">
        <v>2811.2</v>
      </c>
    </row>
    <row r="25" spans="1:20" ht="13.25" customHeight="1">
      <c r="A25" s="83"/>
      <c r="B25" s="23" t="s">
        <v>41</v>
      </c>
      <c r="C25" s="234">
        <v>1856</v>
      </c>
      <c r="D25" s="234">
        <v>1746</v>
      </c>
      <c r="E25" s="222">
        <v>2067</v>
      </c>
      <c r="F25" s="222">
        <v>2261</v>
      </c>
      <c r="G25" s="222">
        <v>2501</v>
      </c>
      <c r="H25" s="222">
        <v>2561</v>
      </c>
      <c r="I25" s="222">
        <v>2875</v>
      </c>
      <c r="J25" s="222">
        <v>2978</v>
      </c>
      <c r="K25" s="222">
        <v>3274</v>
      </c>
      <c r="L25" s="222">
        <v>3112</v>
      </c>
      <c r="M25" s="174">
        <v>3017</v>
      </c>
      <c r="N25" s="174">
        <v>2973</v>
      </c>
      <c r="O25" s="174">
        <v>2874</v>
      </c>
      <c r="P25" s="174">
        <v>2796</v>
      </c>
      <c r="Q25" s="174">
        <v>2774.9</v>
      </c>
      <c r="R25" s="174">
        <v>2741.1</v>
      </c>
      <c r="S25" s="174">
        <v>2655.8</v>
      </c>
      <c r="T25" s="174">
        <v>2536.4</v>
      </c>
    </row>
    <row r="26" spans="1:20" ht="13.25" customHeight="1">
      <c r="A26" s="83"/>
      <c r="B26" s="23" t="s">
        <v>44</v>
      </c>
      <c r="C26" s="234">
        <v>2180</v>
      </c>
      <c r="D26" s="234">
        <v>2931</v>
      </c>
      <c r="E26" s="222">
        <v>3891</v>
      </c>
      <c r="F26" s="222">
        <v>3324</v>
      </c>
      <c r="G26" s="222">
        <v>3148</v>
      </c>
      <c r="H26" s="222">
        <v>3483</v>
      </c>
      <c r="I26" s="222">
        <v>3320</v>
      </c>
      <c r="J26" s="222">
        <v>3549</v>
      </c>
      <c r="K26" s="222">
        <v>3841</v>
      </c>
      <c r="L26" s="222">
        <v>4423</v>
      </c>
      <c r="M26" s="174">
        <v>4878</v>
      </c>
      <c r="N26" s="174">
        <v>6050</v>
      </c>
      <c r="O26" s="174">
        <v>5824</v>
      </c>
      <c r="P26" s="174">
        <v>5292</v>
      </c>
      <c r="Q26" s="174">
        <v>4946.3</v>
      </c>
      <c r="R26" s="174">
        <v>3945.5</v>
      </c>
      <c r="S26" s="174">
        <v>4221.5</v>
      </c>
      <c r="T26" s="174">
        <v>4584</v>
      </c>
    </row>
    <row r="27" spans="1:20" ht="13.25" customHeight="1">
      <c r="A27" s="83"/>
      <c r="B27" s="23" t="s">
        <v>45</v>
      </c>
      <c r="C27" s="234">
        <v>2054</v>
      </c>
      <c r="D27" s="234">
        <v>2114</v>
      </c>
      <c r="E27" s="222">
        <v>2154</v>
      </c>
      <c r="F27" s="222">
        <v>2197</v>
      </c>
      <c r="G27" s="222">
        <v>2327</v>
      </c>
      <c r="H27" s="222">
        <v>2404</v>
      </c>
      <c r="I27" s="222">
        <v>2505</v>
      </c>
      <c r="J27" s="222">
        <v>2569</v>
      </c>
      <c r="K27" s="222">
        <v>2588</v>
      </c>
      <c r="L27" s="222">
        <v>2628</v>
      </c>
      <c r="M27" s="174">
        <v>2372</v>
      </c>
      <c r="N27" s="174">
        <v>2501</v>
      </c>
      <c r="O27" s="174">
        <v>2540</v>
      </c>
      <c r="P27" s="174">
        <v>2563</v>
      </c>
      <c r="Q27" s="174">
        <v>2578.8000000000002</v>
      </c>
      <c r="R27" s="174">
        <v>2603.1999999999998</v>
      </c>
      <c r="S27" s="174">
        <v>2611.1999999999998</v>
      </c>
      <c r="T27" s="174">
        <v>2636.1</v>
      </c>
    </row>
    <row r="28" spans="1:20" ht="13.25" customHeight="1">
      <c r="A28" s="83"/>
      <c r="B28" s="82" t="s">
        <v>46</v>
      </c>
      <c r="C28" s="234">
        <v>2844</v>
      </c>
      <c r="D28" s="234">
        <v>3057</v>
      </c>
      <c r="E28" s="222">
        <v>3228</v>
      </c>
      <c r="F28" s="222">
        <v>3053</v>
      </c>
      <c r="G28" s="222">
        <v>3084</v>
      </c>
      <c r="H28" s="222">
        <v>2939</v>
      </c>
      <c r="I28" s="222">
        <v>2762</v>
      </c>
      <c r="J28" s="222">
        <v>2357</v>
      </c>
      <c r="K28" s="222">
        <v>2289</v>
      </c>
      <c r="L28" s="222">
        <v>2650</v>
      </c>
      <c r="M28" s="174">
        <v>2606</v>
      </c>
      <c r="N28" s="174">
        <v>2861</v>
      </c>
      <c r="O28" s="174">
        <v>2636</v>
      </c>
      <c r="P28" s="174">
        <v>2933</v>
      </c>
      <c r="Q28" s="174">
        <v>3034.1</v>
      </c>
      <c r="R28" s="174">
        <v>2820.3</v>
      </c>
      <c r="S28" s="174">
        <v>3077.3</v>
      </c>
      <c r="T28" s="174">
        <v>3036.3</v>
      </c>
    </row>
    <row r="29" spans="1:20" ht="13.25" customHeight="1">
      <c r="A29" s="83"/>
      <c r="B29" s="23" t="s">
        <v>47</v>
      </c>
      <c r="C29" s="234">
        <v>1199</v>
      </c>
      <c r="D29" s="234">
        <v>1103</v>
      </c>
      <c r="E29" s="222">
        <v>1147</v>
      </c>
      <c r="F29" s="222">
        <v>1325</v>
      </c>
      <c r="G29" s="222">
        <v>1562</v>
      </c>
      <c r="H29" s="222">
        <v>1796</v>
      </c>
      <c r="I29" s="222">
        <v>2027</v>
      </c>
      <c r="J29" s="222">
        <v>2192</v>
      </c>
      <c r="K29" s="222">
        <v>2265</v>
      </c>
      <c r="L29" s="222">
        <v>2371</v>
      </c>
      <c r="M29" s="174">
        <v>2026</v>
      </c>
      <c r="N29" s="174">
        <v>2083</v>
      </c>
      <c r="O29" s="174">
        <v>2381</v>
      </c>
      <c r="P29" s="174">
        <v>2998</v>
      </c>
      <c r="Q29" s="174">
        <v>2717.8</v>
      </c>
      <c r="R29" s="174">
        <v>2515.9</v>
      </c>
      <c r="S29" s="174">
        <v>2108.6</v>
      </c>
      <c r="T29" s="174">
        <v>1824.1</v>
      </c>
    </row>
    <row r="30" spans="1:20" ht="13.25" customHeight="1">
      <c r="A30" s="83"/>
      <c r="B30" s="23" t="s">
        <v>48</v>
      </c>
      <c r="C30" s="234">
        <v>668</v>
      </c>
      <c r="D30" s="234">
        <v>704</v>
      </c>
      <c r="E30" s="222">
        <v>745</v>
      </c>
      <c r="F30" s="222">
        <v>725</v>
      </c>
      <c r="G30" s="222">
        <v>821</v>
      </c>
      <c r="H30" s="222">
        <v>922</v>
      </c>
      <c r="I30" s="222">
        <v>1089</v>
      </c>
      <c r="J30" s="222">
        <v>1104</v>
      </c>
      <c r="K30" s="222">
        <v>1114</v>
      </c>
      <c r="L30" s="222">
        <v>1145</v>
      </c>
      <c r="M30" s="174">
        <v>1189</v>
      </c>
      <c r="N30" s="174">
        <v>1235</v>
      </c>
      <c r="O30" s="174">
        <v>873</v>
      </c>
      <c r="P30" s="174">
        <v>863</v>
      </c>
      <c r="Q30" s="174">
        <v>848.1</v>
      </c>
      <c r="R30" s="174">
        <v>737.3</v>
      </c>
      <c r="S30" s="174">
        <v>719.2</v>
      </c>
      <c r="T30" s="174">
        <v>712.4</v>
      </c>
    </row>
    <row r="31" spans="1:20" ht="13.25" customHeight="1" thickBot="1">
      <c r="A31" s="88"/>
      <c r="B31" s="577" t="s">
        <v>49</v>
      </c>
      <c r="C31" s="583">
        <v>161</v>
      </c>
      <c r="D31" s="583">
        <v>156</v>
      </c>
      <c r="E31" s="581">
        <v>171</v>
      </c>
      <c r="F31" s="581">
        <v>188</v>
      </c>
      <c r="G31" s="581">
        <v>268</v>
      </c>
      <c r="H31" s="581">
        <v>216</v>
      </c>
      <c r="I31" s="581">
        <v>178</v>
      </c>
      <c r="J31" s="581">
        <v>254</v>
      </c>
      <c r="K31" s="581">
        <v>275</v>
      </c>
      <c r="L31" s="581">
        <v>300</v>
      </c>
      <c r="M31" s="584">
        <v>354</v>
      </c>
      <c r="N31" s="584">
        <v>798</v>
      </c>
      <c r="O31" s="584">
        <v>917</v>
      </c>
      <c r="P31" s="584">
        <v>902</v>
      </c>
      <c r="Q31" s="584">
        <v>1050</v>
      </c>
      <c r="R31" s="584">
        <v>1107.9000000000001</v>
      </c>
      <c r="S31" s="584">
        <v>1240.0999999999999</v>
      </c>
      <c r="T31" s="584">
        <v>1259.0999999999999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6">
    <tabColor theme="9" tint="0.59999389629810485"/>
  </sheetPr>
  <dimension ref="A2:W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3" width="8.19921875" style="82" customWidth="1"/>
    <col min="24" max="16384" width="7" style="82"/>
  </cols>
  <sheetData>
    <row r="2" spans="1:23" ht="13.25" customHeight="1">
      <c r="A2" s="230" t="s">
        <v>509</v>
      </c>
      <c r="B2" s="231"/>
    </row>
    <row r="3" spans="1:23" ht="13.25" customHeight="1">
      <c r="A3" s="232" t="s">
        <v>421</v>
      </c>
      <c r="B3" s="232"/>
    </row>
    <row r="4" spans="1:23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3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3" ht="15" customHeight="1">
      <c r="A6" s="963" t="s">
        <v>103</v>
      </c>
      <c r="B6" s="963"/>
      <c r="C6" s="570">
        <v>3.43</v>
      </c>
      <c r="D6" s="570">
        <v>3.47</v>
      </c>
      <c r="E6" s="570">
        <v>3.5</v>
      </c>
      <c r="F6" s="570">
        <v>3.8</v>
      </c>
      <c r="G6" s="570">
        <v>4.12</v>
      </c>
      <c r="H6" s="570">
        <v>4.25</v>
      </c>
      <c r="I6" s="570">
        <v>5.05</v>
      </c>
      <c r="J6" s="570">
        <v>5.24</v>
      </c>
      <c r="K6" s="570">
        <v>5.91</v>
      </c>
      <c r="L6" s="570">
        <v>6.08</v>
      </c>
      <c r="M6" s="570">
        <v>6.43</v>
      </c>
      <c r="N6" s="570">
        <v>6.8</v>
      </c>
      <c r="O6" s="570">
        <v>6.97</v>
      </c>
      <c r="P6" s="570">
        <v>7.05</v>
      </c>
      <c r="Q6" s="570">
        <v>6.95</v>
      </c>
      <c r="R6" s="570">
        <v>6.95</v>
      </c>
      <c r="S6" s="570">
        <v>6.95</v>
      </c>
      <c r="T6" s="570">
        <v>7.05</v>
      </c>
      <c r="V6" s="161"/>
      <c r="W6" s="161"/>
    </row>
    <row r="7" spans="1:23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3" ht="13.25" customHeight="1">
      <c r="A8" s="83"/>
      <c r="B8" s="23" t="s">
        <v>21</v>
      </c>
      <c r="C8" s="238">
        <v>3.6</v>
      </c>
      <c r="D8" s="238">
        <v>3.49</v>
      </c>
      <c r="E8" s="238">
        <v>3.47</v>
      </c>
      <c r="F8" s="238">
        <v>3.67</v>
      </c>
      <c r="G8" s="238">
        <v>3.75</v>
      </c>
      <c r="H8" s="238">
        <v>3.42</v>
      </c>
      <c r="I8" s="238">
        <v>3.45</v>
      </c>
      <c r="J8" s="238">
        <v>3.75</v>
      </c>
      <c r="K8" s="238">
        <v>4.99</v>
      </c>
      <c r="L8" s="238">
        <v>6.56</v>
      </c>
      <c r="M8" s="238">
        <v>6.61</v>
      </c>
      <c r="N8" s="238">
        <v>6.45</v>
      </c>
      <c r="O8" s="238">
        <v>6.21</v>
      </c>
      <c r="P8" s="238">
        <v>5.9</v>
      </c>
      <c r="Q8" s="238">
        <v>5.91</v>
      </c>
      <c r="R8" s="238">
        <v>5.91</v>
      </c>
      <c r="S8" s="238">
        <v>6.88</v>
      </c>
      <c r="T8" s="238">
        <v>6.97</v>
      </c>
      <c r="V8" s="161"/>
      <c r="W8" s="161"/>
    </row>
    <row r="9" spans="1:23" ht="13.25" customHeight="1">
      <c r="A9" s="83"/>
      <c r="B9" s="23" t="s">
        <v>22</v>
      </c>
      <c r="C9" s="238">
        <v>3.11</v>
      </c>
      <c r="D9" s="238">
        <v>3.22</v>
      </c>
      <c r="E9" s="238">
        <v>3.27</v>
      </c>
      <c r="F9" s="238">
        <v>3.93</v>
      </c>
      <c r="G9" s="238">
        <v>4.05</v>
      </c>
      <c r="H9" s="238">
        <v>3.45</v>
      </c>
      <c r="I9" s="238">
        <v>3.58</v>
      </c>
      <c r="J9" s="238">
        <v>4.21</v>
      </c>
      <c r="K9" s="238">
        <v>4.38</v>
      </c>
      <c r="L9" s="238">
        <v>6.6</v>
      </c>
      <c r="M9" s="238">
        <v>6.38</v>
      </c>
      <c r="N9" s="238">
        <v>6.81</v>
      </c>
      <c r="O9" s="238">
        <v>6.61</v>
      </c>
      <c r="P9" s="238">
        <v>6.75</v>
      </c>
      <c r="Q9" s="238">
        <v>6.76</v>
      </c>
      <c r="R9" s="238">
        <v>6.76</v>
      </c>
      <c r="S9" s="238">
        <v>6.15</v>
      </c>
      <c r="T9" s="238">
        <v>6.36</v>
      </c>
      <c r="V9" s="161"/>
      <c r="W9" s="161"/>
    </row>
    <row r="10" spans="1:23" ht="13.25" customHeight="1">
      <c r="A10" s="83"/>
      <c r="B10" s="23" t="s">
        <v>23</v>
      </c>
      <c r="C10" s="238">
        <v>3.36</v>
      </c>
      <c r="D10" s="238">
        <v>3.74</v>
      </c>
      <c r="E10" s="238">
        <v>3.59</v>
      </c>
      <c r="F10" s="238">
        <v>3.5</v>
      </c>
      <c r="G10" s="238">
        <v>4</v>
      </c>
      <c r="H10" s="238">
        <v>3.84</v>
      </c>
      <c r="I10" s="238">
        <v>4.1500000000000004</v>
      </c>
      <c r="J10" s="238">
        <v>4.32</v>
      </c>
      <c r="K10" s="238">
        <v>4.46</v>
      </c>
      <c r="L10" s="238">
        <v>6.72</v>
      </c>
      <c r="M10" s="238">
        <v>6.53</v>
      </c>
      <c r="N10" s="238">
        <v>6.7</v>
      </c>
      <c r="O10" s="238">
        <v>6.68</v>
      </c>
      <c r="P10" s="238">
        <v>6.88</v>
      </c>
      <c r="Q10" s="238">
        <v>6.88</v>
      </c>
      <c r="R10" s="238">
        <v>6.88</v>
      </c>
      <c r="S10" s="238">
        <v>6.17</v>
      </c>
      <c r="T10" s="238">
        <v>6.32</v>
      </c>
      <c r="V10" s="161"/>
      <c r="W10" s="161"/>
    </row>
    <row r="11" spans="1:23" ht="13.25" customHeight="1">
      <c r="A11" s="83"/>
      <c r="B11" s="23" t="s">
        <v>24</v>
      </c>
      <c r="C11" s="238">
        <v>3.51</v>
      </c>
      <c r="D11" s="238">
        <v>3.31</v>
      </c>
      <c r="E11" s="238">
        <v>3.39</v>
      </c>
      <c r="F11" s="238">
        <v>3.75</v>
      </c>
      <c r="G11" s="238">
        <v>3.67</v>
      </c>
      <c r="H11" s="238">
        <v>3.67</v>
      </c>
      <c r="I11" s="238">
        <v>3.82</v>
      </c>
      <c r="J11" s="238">
        <v>4.58</v>
      </c>
      <c r="K11" s="238">
        <v>7.19</v>
      </c>
      <c r="L11" s="238">
        <v>7.19</v>
      </c>
      <c r="M11" s="238">
        <v>7.16</v>
      </c>
      <c r="N11" s="238">
        <v>7.15</v>
      </c>
      <c r="O11" s="238">
        <v>7.82</v>
      </c>
      <c r="P11" s="238">
        <v>7.72</v>
      </c>
      <c r="Q11" s="238">
        <v>7.69</v>
      </c>
      <c r="R11" s="238">
        <v>7.69</v>
      </c>
      <c r="S11" s="238">
        <v>7</v>
      </c>
      <c r="T11" s="238">
        <v>7.15</v>
      </c>
      <c r="V11" s="161"/>
      <c r="W11" s="161"/>
    </row>
    <row r="12" spans="1:23" ht="13.25" customHeight="1">
      <c r="A12" s="83"/>
      <c r="B12" s="23" t="s">
        <v>25</v>
      </c>
      <c r="C12" s="238">
        <v>3.67</v>
      </c>
      <c r="D12" s="238">
        <v>3.57</v>
      </c>
      <c r="E12" s="238">
        <v>3.62</v>
      </c>
      <c r="F12" s="238">
        <v>3.81</v>
      </c>
      <c r="G12" s="238">
        <v>3.95</v>
      </c>
      <c r="H12" s="238">
        <v>4.4400000000000004</v>
      </c>
      <c r="I12" s="238">
        <v>4</v>
      </c>
      <c r="J12" s="238">
        <v>4.32</v>
      </c>
      <c r="K12" s="238">
        <v>4.5599999999999996</v>
      </c>
      <c r="L12" s="238">
        <v>5.81</v>
      </c>
      <c r="M12" s="238">
        <v>6.07</v>
      </c>
      <c r="N12" s="238">
        <v>6.38</v>
      </c>
      <c r="O12" s="238">
        <v>6.1</v>
      </c>
      <c r="P12" s="238">
        <v>6.19</v>
      </c>
      <c r="Q12" s="238">
        <v>5.92</v>
      </c>
      <c r="R12" s="238">
        <v>5.92</v>
      </c>
      <c r="S12" s="238">
        <v>6.38</v>
      </c>
      <c r="T12" s="238">
        <v>6.2</v>
      </c>
      <c r="V12" s="161"/>
      <c r="W12" s="161"/>
    </row>
    <row r="13" spans="1:23" ht="13.25" customHeight="1">
      <c r="A13" s="83"/>
      <c r="B13" s="23" t="s">
        <v>29</v>
      </c>
      <c r="C13" s="238">
        <v>3.61</v>
      </c>
      <c r="D13" s="238">
        <v>3.61</v>
      </c>
      <c r="E13" s="238">
        <v>3.77</v>
      </c>
      <c r="F13" s="238">
        <v>3.75</v>
      </c>
      <c r="G13" s="238">
        <v>3.94</v>
      </c>
      <c r="H13" s="238">
        <v>3.95</v>
      </c>
      <c r="I13" s="238">
        <v>4.79</v>
      </c>
      <c r="J13" s="238">
        <v>4.4000000000000004</v>
      </c>
      <c r="K13" s="238">
        <v>4.58</v>
      </c>
      <c r="L13" s="238">
        <v>6.2</v>
      </c>
      <c r="M13" s="238">
        <v>5.25</v>
      </c>
      <c r="N13" s="238">
        <v>5.63</v>
      </c>
      <c r="O13" s="238">
        <v>5.76</v>
      </c>
      <c r="P13" s="238">
        <v>6.1</v>
      </c>
      <c r="Q13" s="238">
        <v>6.15</v>
      </c>
      <c r="R13" s="238">
        <v>6.15</v>
      </c>
      <c r="S13" s="238">
        <v>6.36</v>
      </c>
      <c r="T13" s="238">
        <v>6.51</v>
      </c>
      <c r="V13" s="161"/>
      <c r="W13" s="161"/>
    </row>
    <row r="14" spans="1:23" ht="13.25" customHeight="1">
      <c r="A14" s="83"/>
      <c r="B14" s="23" t="s">
        <v>30</v>
      </c>
      <c r="C14" s="238">
        <v>3.32</v>
      </c>
      <c r="D14" s="238">
        <v>3.35</v>
      </c>
      <c r="E14" s="238">
        <v>3.69</v>
      </c>
      <c r="F14" s="238">
        <v>3.83</v>
      </c>
      <c r="G14" s="238">
        <v>4.09</v>
      </c>
      <c r="H14" s="238">
        <v>4.43</v>
      </c>
      <c r="I14" s="238">
        <v>4.1500000000000004</v>
      </c>
      <c r="J14" s="238">
        <v>4.28</v>
      </c>
      <c r="K14" s="238">
        <v>5.57</v>
      </c>
      <c r="L14" s="238">
        <v>7.23</v>
      </c>
      <c r="M14" s="238">
        <v>6.79</v>
      </c>
      <c r="N14" s="238">
        <v>6.66</v>
      </c>
      <c r="O14" s="238">
        <v>6.27</v>
      </c>
      <c r="P14" s="238">
        <v>7.02</v>
      </c>
      <c r="Q14" s="238">
        <v>6.97</v>
      </c>
      <c r="R14" s="238">
        <v>6.97</v>
      </c>
      <c r="S14" s="238">
        <v>6.93</v>
      </c>
      <c r="T14" s="238">
        <v>6.9</v>
      </c>
      <c r="V14" s="161"/>
      <c r="W14" s="161"/>
    </row>
    <row r="15" spans="1:23" ht="13.25" customHeight="1">
      <c r="A15" s="83"/>
      <c r="B15" s="23" t="s">
        <v>31</v>
      </c>
      <c r="C15" s="238">
        <v>3.53</v>
      </c>
      <c r="D15" s="238">
        <v>3.6</v>
      </c>
      <c r="E15" s="238">
        <v>3.55</v>
      </c>
      <c r="F15" s="238">
        <v>3.85</v>
      </c>
      <c r="G15" s="238">
        <v>4.3</v>
      </c>
      <c r="H15" s="238">
        <v>4.3</v>
      </c>
      <c r="I15" s="238">
        <v>5.22</v>
      </c>
      <c r="J15" s="238">
        <v>5.33</v>
      </c>
      <c r="K15" s="238">
        <v>6.03</v>
      </c>
      <c r="L15" s="238">
        <v>5.67</v>
      </c>
      <c r="M15" s="238">
        <v>5.78</v>
      </c>
      <c r="N15" s="238">
        <v>6.32</v>
      </c>
      <c r="O15" s="238">
        <v>6.49</v>
      </c>
      <c r="P15" s="238">
        <v>6.72</v>
      </c>
      <c r="Q15" s="238">
        <v>6.71</v>
      </c>
      <c r="R15" s="238">
        <v>6.71</v>
      </c>
      <c r="S15" s="238">
        <v>6.93</v>
      </c>
      <c r="T15" s="238">
        <v>7.13</v>
      </c>
      <c r="V15" s="161"/>
      <c r="W15" s="161"/>
    </row>
    <row r="16" spans="1:23" ht="13.25" customHeight="1">
      <c r="A16" s="83"/>
      <c r="B16" s="23" t="s">
        <v>32</v>
      </c>
      <c r="C16" s="238">
        <v>2.38</v>
      </c>
      <c r="D16" s="238">
        <v>2.4900000000000002</v>
      </c>
      <c r="E16" s="238">
        <v>2.94</v>
      </c>
      <c r="F16" s="238">
        <v>4.03</v>
      </c>
      <c r="G16" s="238">
        <v>4.34</v>
      </c>
      <c r="H16" s="238">
        <v>4.6900000000000004</v>
      </c>
      <c r="I16" s="238">
        <v>6.32</v>
      </c>
      <c r="J16" s="238">
        <v>6.9</v>
      </c>
      <c r="K16" s="238">
        <v>7.55</v>
      </c>
      <c r="L16" s="238">
        <v>5.92</v>
      </c>
      <c r="M16" s="238">
        <v>6.04</v>
      </c>
      <c r="N16" s="238">
        <v>7.14</v>
      </c>
      <c r="O16" s="238">
        <v>6.15</v>
      </c>
      <c r="P16" s="238">
        <v>6.47</v>
      </c>
      <c r="Q16" s="238">
        <v>6.39</v>
      </c>
      <c r="R16" s="238">
        <v>6.39</v>
      </c>
      <c r="S16" s="238">
        <v>6.57</v>
      </c>
      <c r="T16" s="238">
        <v>6.77</v>
      </c>
      <c r="V16" s="161"/>
      <c r="W16" s="161"/>
    </row>
    <row r="17" spans="1:23" ht="13.25" customHeight="1">
      <c r="A17" s="83"/>
      <c r="B17" s="23" t="s">
        <v>33</v>
      </c>
      <c r="C17" s="238">
        <v>3.5</v>
      </c>
      <c r="D17" s="238">
        <v>3.46</v>
      </c>
      <c r="E17" s="238">
        <v>3.54</v>
      </c>
      <c r="F17" s="238">
        <v>3.62</v>
      </c>
      <c r="G17" s="238">
        <v>4.0199999999999996</v>
      </c>
      <c r="H17" s="238">
        <v>4.3600000000000003</v>
      </c>
      <c r="I17" s="238">
        <v>6.21</v>
      </c>
      <c r="J17" s="238">
        <v>5.87</v>
      </c>
      <c r="K17" s="238">
        <v>6.13</v>
      </c>
      <c r="L17" s="238">
        <v>6.68</v>
      </c>
      <c r="M17" s="238">
        <v>7.29</v>
      </c>
      <c r="N17" s="238">
        <v>7.12</v>
      </c>
      <c r="O17" s="238">
        <v>6.84</v>
      </c>
      <c r="P17" s="238">
        <v>7.12</v>
      </c>
      <c r="Q17" s="238">
        <v>7.06</v>
      </c>
      <c r="R17" s="238">
        <v>7.06</v>
      </c>
      <c r="S17" s="238">
        <v>6.95</v>
      </c>
      <c r="T17" s="238">
        <v>7.01</v>
      </c>
      <c r="V17" s="161"/>
      <c r="W17" s="161"/>
    </row>
    <row r="18" spans="1:23" ht="13.25" customHeight="1">
      <c r="A18" s="83"/>
      <c r="B18" s="23" t="s">
        <v>34</v>
      </c>
      <c r="C18" s="238">
        <v>2.63</v>
      </c>
      <c r="D18" s="238">
        <v>2.75</v>
      </c>
      <c r="E18" s="238">
        <v>3.39</v>
      </c>
      <c r="F18" s="238">
        <v>3.62</v>
      </c>
      <c r="G18" s="238">
        <v>3.84</v>
      </c>
      <c r="H18" s="238">
        <v>4.1399999999999997</v>
      </c>
      <c r="I18" s="238">
        <v>5.64</v>
      </c>
      <c r="J18" s="238">
        <v>5.92</v>
      </c>
      <c r="K18" s="238">
        <v>5.69</v>
      </c>
      <c r="L18" s="238">
        <v>6.69</v>
      </c>
      <c r="M18" s="238">
        <v>6.22</v>
      </c>
      <c r="N18" s="238">
        <v>6.1</v>
      </c>
      <c r="O18" s="238">
        <v>6.22</v>
      </c>
      <c r="P18" s="238">
        <v>6.4</v>
      </c>
      <c r="Q18" s="238">
        <v>6.31</v>
      </c>
      <c r="R18" s="238">
        <v>6.31</v>
      </c>
      <c r="S18" s="238">
        <v>6.35</v>
      </c>
      <c r="T18" s="238">
        <v>6.44</v>
      </c>
      <c r="V18" s="161"/>
      <c r="W18" s="161"/>
    </row>
    <row r="19" spans="1:23" ht="13.25" customHeight="1">
      <c r="A19" s="83"/>
      <c r="B19" s="23" t="s">
        <v>35</v>
      </c>
      <c r="C19" s="238">
        <v>2.82</v>
      </c>
      <c r="D19" s="238">
        <v>2.91</v>
      </c>
      <c r="E19" s="238">
        <v>3.13</v>
      </c>
      <c r="F19" s="238">
        <v>4.07</v>
      </c>
      <c r="G19" s="238">
        <v>3.96</v>
      </c>
      <c r="H19" s="238">
        <v>5.04</v>
      </c>
      <c r="I19" s="238">
        <v>6.48</v>
      </c>
      <c r="J19" s="238">
        <v>5.17</v>
      </c>
      <c r="K19" s="238">
        <v>5.58</v>
      </c>
      <c r="L19" s="238">
        <v>5.72</v>
      </c>
      <c r="M19" s="238">
        <v>6.35</v>
      </c>
      <c r="N19" s="238">
        <v>7.15</v>
      </c>
      <c r="O19" s="238">
        <v>6.8</v>
      </c>
      <c r="P19" s="238">
        <v>6.75</v>
      </c>
      <c r="Q19" s="238">
        <v>6.73</v>
      </c>
      <c r="R19" s="238">
        <v>6.73</v>
      </c>
      <c r="S19" s="238">
        <v>6.9</v>
      </c>
      <c r="T19" s="238">
        <v>6.98</v>
      </c>
      <c r="V19" s="161"/>
      <c r="W19" s="161"/>
    </row>
    <row r="20" spans="1:23" ht="13.25" customHeight="1">
      <c r="A20" s="83"/>
      <c r="B20" s="23" t="s">
        <v>36</v>
      </c>
      <c r="C20" s="238">
        <v>3.61</v>
      </c>
      <c r="D20" s="238">
        <v>3.72</v>
      </c>
      <c r="E20" s="238">
        <v>3.25</v>
      </c>
      <c r="F20" s="238">
        <v>3.85</v>
      </c>
      <c r="G20" s="238">
        <v>3.73</v>
      </c>
      <c r="H20" s="238">
        <v>3.86</v>
      </c>
      <c r="I20" s="238">
        <v>5.21</v>
      </c>
      <c r="J20" s="238">
        <v>4.88</v>
      </c>
      <c r="K20" s="238">
        <v>5.57</v>
      </c>
      <c r="L20" s="238">
        <v>5.56</v>
      </c>
      <c r="M20" s="238">
        <v>5.53</v>
      </c>
      <c r="N20" s="238">
        <v>5.79</v>
      </c>
      <c r="O20" s="238">
        <v>5.64</v>
      </c>
      <c r="P20" s="238">
        <v>5.83</v>
      </c>
      <c r="Q20" s="238">
        <v>5.79</v>
      </c>
      <c r="R20" s="238">
        <v>5.79</v>
      </c>
      <c r="S20" s="238">
        <v>5.83</v>
      </c>
      <c r="T20" s="238">
        <v>5.89</v>
      </c>
      <c r="V20" s="161"/>
      <c r="W20" s="161"/>
    </row>
    <row r="21" spans="1:23" ht="13.25" customHeight="1">
      <c r="A21" s="83"/>
      <c r="B21" s="23" t="s">
        <v>37</v>
      </c>
      <c r="C21" s="238">
        <v>3.67</v>
      </c>
      <c r="D21" s="238">
        <v>3.62</v>
      </c>
      <c r="E21" s="238">
        <v>3.26</v>
      </c>
      <c r="F21" s="238">
        <v>3.79</v>
      </c>
      <c r="G21" s="238">
        <v>4.09</v>
      </c>
      <c r="H21" s="238">
        <v>4.7300000000000004</v>
      </c>
      <c r="I21" s="238">
        <v>4.6900000000000004</v>
      </c>
      <c r="J21" s="238">
        <v>5.29</v>
      </c>
      <c r="K21" s="238">
        <v>6.39</v>
      </c>
      <c r="L21" s="238">
        <v>5.67</v>
      </c>
      <c r="M21" s="238">
        <v>6.02</v>
      </c>
      <c r="N21" s="238">
        <v>6.17</v>
      </c>
      <c r="O21" s="238">
        <v>5.88</v>
      </c>
      <c r="P21" s="238">
        <v>5.93</v>
      </c>
      <c r="Q21" s="238">
        <v>5.95</v>
      </c>
      <c r="R21" s="238">
        <v>5.95</v>
      </c>
      <c r="S21" s="238">
        <v>5.99</v>
      </c>
      <c r="T21" s="238">
        <v>6.12</v>
      </c>
      <c r="V21" s="161"/>
      <c r="W21" s="161"/>
    </row>
    <row r="22" spans="1:23" ht="13.25" customHeight="1">
      <c r="A22" s="83"/>
      <c r="B22" s="23" t="s">
        <v>38</v>
      </c>
      <c r="C22" s="238">
        <v>3.24</v>
      </c>
      <c r="D22" s="238">
        <v>3.29</v>
      </c>
      <c r="E22" s="238">
        <v>3.3</v>
      </c>
      <c r="F22" s="238">
        <v>3.57</v>
      </c>
      <c r="G22" s="238">
        <v>4.01</v>
      </c>
      <c r="H22" s="238">
        <v>4.17</v>
      </c>
      <c r="I22" s="238">
        <v>5.33</v>
      </c>
      <c r="J22" s="238">
        <v>4.82</v>
      </c>
      <c r="K22" s="238">
        <v>5.0199999999999996</v>
      </c>
      <c r="L22" s="238">
        <v>5.05</v>
      </c>
      <c r="M22" s="238">
        <v>5.52</v>
      </c>
      <c r="N22" s="238">
        <v>5.64</v>
      </c>
      <c r="O22" s="238">
        <v>5.6</v>
      </c>
      <c r="P22" s="238">
        <v>5.64</v>
      </c>
      <c r="Q22" s="238">
        <v>5.73</v>
      </c>
      <c r="R22" s="238">
        <v>5.73</v>
      </c>
      <c r="S22" s="238">
        <v>5.8</v>
      </c>
      <c r="T22" s="238">
        <v>5.88</v>
      </c>
      <c r="V22" s="161"/>
      <c r="W22" s="161"/>
    </row>
    <row r="23" spans="1:23" ht="13.25" customHeight="1">
      <c r="A23" s="83"/>
      <c r="B23" s="23" t="s">
        <v>39</v>
      </c>
      <c r="C23" s="238">
        <v>3.59</v>
      </c>
      <c r="D23" s="238">
        <v>3.34</v>
      </c>
      <c r="E23" s="238">
        <v>3.48</v>
      </c>
      <c r="F23" s="238">
        <v>3.59</v>
      </c>
      <c r="G23" s="238">
        <v>4.0199999999999996</v>
      </c>
      <c r="H23" s="238">
        <v>4.33</v>
      </c>
      <c r="I23" s="238">
        <v>4.54</v>
      </c>
      <c r="J23" s="238">
        <v>4.88</v>
      </c>
      <c r="K23" s="238">
        <v>5.12</v>
      </c>
      <c r="L23" s="238">
        <v>5.24</v>
      </c>
      <c r="M23" s="238">
        <v>5.93</v>
      </c>
      <c r="N23" s="238">
        <v>6.21</v>
      </c>
      <c r="O23" s="238">
        <v>5.93</v>
      </c>
      <c r="P23" s="238">
        <v>6.2</v>
      </c>
      <c r="Q23" s="238">
        <v>6.24</v>
      </c>
      <c r="R23" s="238">
        <v>6.24</v>
      </c>
      <c r="S23" s="238">
        <v>6.32</v>
      </c>
      <c r="T23" s="238">
        <v>6.49</v>
      </c>
      <c r="V23" s="161"/>
      <c r="W23" s="161"/>
    </row>
    <row r="24" spans="1:23" ht="13.25" customHeight="1">
      <c r="A24" s="83"/>
      <c r="B24" s="23" t="s">
        <v>40</v>
      </c>
      <c r="C24" s="238">
        <v>3.6</v>
      </c>
      <c r="D24" s="238">
        <v>3.65</v>
      </c>
      <c r="E24" s="238">
        <v>3.7</v>
      </c>
      <c r="F24" s="238">
        <v>3.82</v>
      </c>
      <c r="G24" s="238">
        <v>4.09</v>
      </c>
      <c r="H24" s="238">
        <v>4.3099999999999996</v>
      </c>
      <c r="I24" s="238">
        <v>5.66</v>
      </c>
      <c r="J24" s="238">
        <v>5.48</v>
      </c>
      <c r="K24" s="238">
        <v>5.33</v>
      </c>
      <c r="L24" s="238">
        <v>6.08</v>
      </c>
      <c r="M24" s="238">
        <v>6.34</v>
      </c>
      <c r="N24" s="238">
        <v>6.55</v>
      </c>
      <c r="O24" s="238">
        <v>6.23</v>
      </c>
      <c r="P24" s="238">
        <v>6.27</v>
      </c>
      <c r="Q24" s="238">
        <v>6.22</v>
      </c>
      <c r="R24" s="238">
        <v>6.22</v>
      </c>
      <c r="S24" s="238">
        <v>6.24</v>
      </c>
      <c r="T24" s="238">
        <v>6.34</v>
      </c>
      <c r="V24" s="161"/>
      <c r="W24" s="161"/>
    </row>
    <row r="25" spans="1:23" ht="13.25" customHeight="1">
      <c r="A25" s="83"/>
      <c r="B25" s="23" t="s">
        <v>41</v>
      </c>
      <c r="C25" s="238">
        <v>3.5</v>
      </c>
      <c r="D25" s="238">
        <v>3.53</v>
      </c>
      <c r="E25" s="238">
        <v>3.56</v>
      </c>
      <c r="F25" s="238">
        <v>3.74</v>
      </c>
      <c r="G25" s="238">
        <v>3.79</v>
      </c>
      <c r="H25" s="238">
        <v>4.24</v>
      </c>
      <c r="I25" s="238">
        <v>5.31</v>
      </c>
      <c r="J25" s="238">
        <v>5</v>
      </c>
      <c r="K25" s="238">
        <v>4.87</v>
      </c>
      <c r="L25" s="238">
        <v>5.28</v>
      </c>
      <c r="M25" s="238">
        <v>6.37</v>
      </c>
      <c r="N25" s="238">
        <v>5.85</v>
      </c>
      <c r="O25" s="238">
        <v>5.75</v>
      </c>
      <c r="P25" s="238">
        <v>6.12</v>
      </c>
      <c r="Q25" s="238">
        <v>6.15</v>
      </c>
      <c r="R25" s="238">
        <v>6.15</v>
      </c>
      <c r="S25" s="238">
        <v>5.2</v>
      </c>
      <c r="T25" s="238">
        <v>5.3</v>
      </c>
      <c r="V25" s="161"/>
      <c r="W25" s="161"/>
    </row>
    <row r="26" spans="1:23" ht="13.25" customHeight="1">
      <c r="A26" s="83"/>
      <c r="B26" s="23" t="s">
        <v>44</v>
      </c>
      <c r="C26" s="238">
        <v>3.67</v>
      </c>
      <c r="D26" s="238">
        <v>3.64</v>
      </c>
      <c r="E26" s="238">
        <v>3.79</v>
      </c>
      <c r="F26" s="238">
        <v>3.84</v>
      </c>
      <c r="G26" s="238">
        <v>3.98</v>
      </c>
      <c r="H26" s="238">
        <v>4.66</v>
      </c>
      <c r="I26" s="238">
        <v>5.37</v>
      </c>
      <c r="J26" s="238">
        <v>5.94</v>
      </c>
      <c r="K26" s="238">
        <v>5.92</v>
      </c>
      <c r="L26" s="238">
        <v>6.79</v>
      </c>
      <c r="M26" s="238">
        <v>7.15</v>
      </c>
      <c r="N26" s="238">
        <v>8.18</v>
      </c>
      <c r="O26" s="238">
        <v>7.57</v>
      </c>
      <c r="P26" s="238">
        <v>7.37</v>
      </c>
      <c r="Q26" s="238">
        <v>7.37</v>
      </c>
      <c r="R26" s="238">
        <v>7.37</v>
      </c>
      <c r="S26" s="238">
        <v>7.97</v>
      </c>
      <c r="T26" s="238">
        <v>7.98</v>
      </c>
      <c r="V26" s="161"/>
      <c r="W26" s="161"/>
    </row>
    <row r="27" spans="1:23" ht="13.25" customHeight="1">
      <c r="A27" s="83"/>
      <c r="B27" s="23" t="s">
        <v>45</v>
      </c>
      <c r="C27" s="238">
        <v>2.77</v>
      </c>
      <c r="D27" s="238">
        <v>3.13</v>
      </c>
      <c r="E27" s="238">
        <v>3.37</v>
      </c>
      <c r="F27" s="238">
        <v>3.97</v>
      </c>
      <c r="G27" s="238">
        <v>4.33</v>
      </c>
      <c r="H27" s="238">
        <v>4.41</v>
      </c>
      <c r="I27" s="238">
        <v>4.95</v>
      </c>
      <c r="J27" s="238">
        <v>5.66</v>
      </c>
      <c r="K27" s="238">
        <v>6.25</v>
      </c>
      <c r="L27" s="238">
        <v>7.12</v>
      </c>
      <c r="M27" s="238">
        <v>7.93</v>
      </c>
      <c r="N27" s="238">
        <v>7.64</v>
      </c>
      <c r="O27" s="238">
        <v>7.1</v>
      </c>
      <c r="P27" s="238">
        <v>7.23</v>
      </c>
      <c r="Q27" s="238">
        <v>7.28</v>
      </c>
      <c r="R27" s="238">
        <v>7.28</v>
      </c>
      <c r="S27" s="238">
        <v>7.26</v>
      </c>
      <c r="T27" s="238">
        <v>7.3</v>
      </c>
      <c r="V27" s="161"/>
      <c r="W27" s="161"/>
    </row>
    <row r="28" spans="1:23" ht="13.25" customHeight="1">
      <c r="A28" s="83"/>
      <c r="B28" s="82" t="s">
        <v>46</v>
      </c>
      <c r="C28" s="238">
        <v>2.76</v>
      </c>
      <c r="D28" s="238">
        <v>3.02</v>
      </c>
      <c r="E28" s="238">
        <v>3.19</v>
      </c>
      <c r="F28" s="238">
        <v>3.41</v>
      </c>
      <c r="G28" s="238">
        <v>4.1100000000000003</v>
      </c>
      <c r="H28" s="238">
        <v>4.57</v>
      </c>
      <c r="I28" s="238">
        <v>6.93</v>
      </c>
      <c r="J28" s="238">
        <v>7.52</v>
      </c>
      <c r="K28" s="238">
        <v>7.6</v>
      </c>
      <c r="L28" s="238">
        <v>8</v>
      </c>
      <c r="M28" s="238">
        <v>6.56</v>
      </c>
      <c r="N28" s="238">
        <v>7.03</v>
      </c>
      <c r="O28" s="238">
        <v>7.3</v>
      </c>
      <c r="P28" s="238">
        <v>7.2</v>
      </c>
      <c r="Q28" s="238">
        <v>7.26</v>
      </c>
      <c r="R28" s="238">
        <v>7.26</v>
      </c>
      <c r="S28" s="238">
        <v>6.65</v>
      </c>
      <c r="T28" s="238">
        <v>6.78</v>
      </c>
      <c r="V28" s="161"/>
      <c r="W28" s="161"/>
    </row>
    <row r="29" spans="1:23" ht="13.25" customHeight="1">
      <c r="A29" s="83"/>
      <c r="B29" s="23" t="s">
        <v>47</v>
      </c>
      <c r="C29" s="238">
        <v>3.22</v>
      </c>
      <c r="D29" s="238">
        <v>3.15</v>
      </c>
      <c r="E29" s="238">
        <v>3.37</v>
      </c>
      <c r="F29" s="238">
        <v>3.85</v>
      </c>
      <c r="G29" s="238">
        <v>4.05</v>
      </c>
      <c r="H29" s="238">
        <v>4.3899999999999997</v>
      </c>
      <c r="I29" s="238">
        <v>4.67</v>
      </c>
      <c r="J29" s="238">
        <v>4.87</v>
      </c>
      <c r="K29" s="238">
        <v>5.32</v>
      </c>
      <c r="L29" s="238">
        <v>5.9</v>
      </c>
      <c r="M29" s="238">
        <v>5.29</v>
      </c>
      <c r="N29" s="238">
        <v>6.24</v>
      </c>
      <c r="O29" s="238">
        <v>5.13</v>
      </c>
      <c r="P29" s="238">
        <v>5.44</v>
      </c>
      <c r="Q29" s="238">
        <v>5.57</v>
      </c>
      <c r="R29" s="238">
        <v>5.57</v>
      </c>
      <c r="S29" s="238">
        <v>6.65</v>
      </c>
      <c r="T29" s="238">
        <v>6.73</v>
      </c>
      <c r="V29" s="161"/>
      <c r="W29" s="161"/>
    </row>
    <row r="30" spans="1:23" ht="13.25" customHeight="1">
      <c r="A30" s="83"/>
      <c r="B30" s="23" t="s">
        <v>48</v>
      </c>
      <c r="C30" s="238">
        <v>3.02</v>
      </c>
      <c r="D30" s="238">
        <v>3.09</v>
      </c>
      <c r="E30" s="238">
        <v>3.63</v>
      </c>
      <c r="F30" s="238">
        <v>3.98</v>
      </c>
      <c r="G30" s="238">
        <v>4.34</v>
      </c>
      <c r="H30" s="238">
        <v>4.71</v>
      </c>
      <c r="I30" s="238">
        <v>5.08</v>
      </c>
      <c r="J30" s="238">
        <v>5.39</v>
      </c>
      <c r="K30" s="238">
        <v>5.6</v>
      </c>
      <c r="L30" s="238">
        <v>5.82</v>
      </c>
      <c r="M30" s="238">
        <v>6.05</v>
      </c>
      <c r="N30" s="238">
        <v>6.33</v>
      </c>
      <c r="O30" s="238">
        <v>6.79</v>
      </c>
      <c r="P30" s="238">
        <v>7</v>
      </c>
      <c r="Q30" s="238">
        <v>6.67</v>
      </c>
      <c r="R30" s="238">
        <v>6.67</v>
      </c>
      <c r="S30" s="238">
        <v>6.79</v>
      </c>
      <c r="T30" s="238">
        <v>6.86</v>
      </c>
      <c r="V30" s="161"/>
      <c r="W30" s="161"/>
    </row>
    <row r="31" spans="1:23" ht="13.25" customHeight="1" thickBot="1">
      <c r="A31" s="88"/>
      <c r="B31" s="577" t="s">
        <v>49</v>
      </c>
      <c r="C31" s="576">
        <v>3.88</v>
      </c>
      <c r="D31" s="576">
        <v>3.89</v>
      </c>
      <c r="E31" s="576">
        <v>3.95</v>
      </c>
      <c r="F31" s="576">
        <v>4.01</v>
      </c>
      <c r="G31" s="576">
        <v>4.3600000000000003</v>
      </c>
      <c r="H31" s="576">
        <v>4.6100000000000003</v>
      </c>
      <c r="I31" s="576">
        <v>6.14</v>
      </c>
      <c r="J31" s="576">
        <v>6.85</v>
      </c>
      <c r="K31" s="576">
        <v>6.28</v>
      </c>
      <c r="L31" s="576">
        <v>6.22</v>
      </c>
      <c r="M31" s="576">
        <v>6.59</v>
      </c>
      <c r="N31" s="576">
        <v>6.47</v>
      </c>
      <c r="O31" s="576">
        <v>6.47</v>
      </c>
      <c r="P31" s="576">
        <v>6.32</v>
      </c>
      <c r="Q31" s="576">
        <v>6.37</v>
      </c>
      <c r="R31" s="576">
        <v>6.37</v>
      </c>
      <c r="S31" s="576">
        <v>6.29</v>
      </c>
      <c r="T31" s="576">
        <v>6.44</v>
      </c>
      <c r="V31" s="161"/>
      <c r="W31" s="161"/>
    </row>
    <row r="32" spans="1:23" ht="9" customHeight="1">
      <c r="A32" s="778" t="s">
        <v>402</v>
      </c>
      <c r="B32" s="780"/>
      <c r="C32" s="803"/>
      <c r="D32" s="803"/>
      <c r="E32" s="803"/>
      <c r="F32" s="803"/>
      <c r="G32" s="803"/>
      <c r="H32" s="882" t="s">
        <v>425</v>
      </c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7">
    <tabColor theme="9" tint="0.59999389629810485"/>
  </sheetPr>
  <dimension ref="A2:T61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3" width="8.19921875" style="82" customWidth="1"/>
    <col min="24" max="16384" width="7" style="82"/>
  </cols>
  <sheetData>
    <row r="2" spans="1:20" ht="13.25" customHeight="1">
      <c r="A2" s="230" t="s">
        <v>510</v>
      </c>
      <c r="B2" s="231"/>
    </row>
    <row r="3" spans="1:20" ht="13.25" customHeight="1">
      <c r="A3" s="232" t="s">
        <v>238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96</v>
      </c>
      <c r="B6" s="963"/>
      <c r="C6" s="574">
        <f>(C8+C9+C10+C11+C12+C13+C14+C15+C16+C17+C18+C19+C20+C21+C22+C23+C24+C25+C26+C27+C28+C29+C30+C31)</f>
        <v>3594515</v>
      </c>
      <c r="D6" s="574">
        <f>(D8+D9+D10+D11+D12+D13+D14+D15+D16+D17+D18+D19+D20+D21+D22+D23+D24+D25+D26+D27+D28+D29+D30+D31)</f>
        <v>3625627</v>
      </c>
      <c r="E6" s="806">
        <v>3687340</v>
      </c>
      <c r="F6" s="806">
        <v>3780806</v>
      </c>
      <c r="G6" s="806">
        <v>4105582</v>
      </c>
      <c r="H6" s="806">
        <v>4177499</v>
      </c>
      <c r="I6" s="806">
        <v>4322258</v>
      </c>
      <c r="J6" s="806">
        <v>3927361</v>
      </c>
      <c r="K6" s="806">
        <v>4005315</v>
      </c>
      <c r="L6" s="806">
        <v>4315793</v>
      </c>
      <c r="M6" s="806">
        <v>4318457</v>
      </c>
      <c r="N6" s="806">
        <v>4319228</v>
      </c>
      <c r="O6" s="806">
        <v>4330710</v>
      </c>
      <c r="P6" s="806">
        <v>4384848</v>
      </c>
      <c r="Q6" s="806">
        <v>4449505</v>
      </c>
      <c r="R6" s="806">
        <v>4492025</v>
      </c>
      <c r="S6" s="806">
        <f>SUM(S8:S27)</f>
        <v>4484888</v>
      </c>
      <c r="T6" s="806">
        <f>SUM(T8:T27)</f>
        <v>4533924</v>
      </c>
    </row>
    <row r="7" spans="1:20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0" ht="13.25" customHeight="1">
      <c r="A8" s="83"/>
      <c r="B8" s="23" t="s">
        <v>21</v>
      </c>
      <c r="C8" s="222">
        <v>0</v>
      </c>
      <c r="D8" s="222">
        <v>0</v>
      </c>
      <c r="E8" s="950" t="s">
        <v>637</v>
      </c>
      <c r="F8" s="950" t="s">
        <v>637</v>
      </c>
      <c r="G8" s="950" t="s">
        <v>637</v>
      </c>
      <c r="H8" s="950" t="s">
        <v>637</v>
      </c>
      <c r="I8" s="950" t="s">
        <v>637</v>
      </c>
      <c r="J8" s="950" t="s">
        <v>637</v>
      </c>
      <c r="K8" s="950" t="s">
        <v>637</v>
      </c>
      <c r="L8" s="950" t="s">
        <v>637</v>
      </c>
      <c r="M8" s="950" t="s">
        <v>637</v>
      </c>
      <c r="N8" s="950" t="s">
        <v>637</v>
      </c>
      <c r="O8" s="950" t="s">
        <v>637</v>
      </c>
      <c r="P8" s="950" t="s">
        <v>637</v>
      </c>
      <c r="Q8" s="950" t="s">
        <v>637</v>
      </c>
      <c r="R8" s="950" t="s">
        <v>637</v>
      </c>
      <c r="S8" s="950" t="s">
        <v>637</v>
      </c>
      <c r="T8" s="950" t="s">
        <v>637</v>
      </c>
    </row>
    <row r="9" spans="1:20" ht="13.25" customHeight="1">
      <c r="A9" s="83"/>
      <c r="B9" s="23" t="s">
        <v>22</v>
      </c>
      <c r="C9" s="222">
        <v>0</v>
      </c>
      <c r="D9" s="222">
        <v>0</v>
      </c>
      <c r="E9" s="950" t="s">
        <v>637</v>
      </c>
      <c r="F9" s="950" t="s">
        <v>637</v>
      </c>
      <c r="G9" s="950" t="s">
        <v>637</v>
      </c>
      <c r="H9" s="950" t="s">
        <v>637</v>
      </c>
      <c r="I9" s="950" t="s">
        <v>637</v>
      </c>
      <c r="J9" s="950" t="s">
        <v>637</v>
      </c>
      <c r="K9" s="950" t="s">
        <v>637</v>
      </c>
      <c r="L9" s="950" t="s">
        <v>637</v>
      </c>
      <c r="M9" s="808">
        <v>135</v>
      </c>
      <c r="N9" s="808">
        <v>82</v>
      </c>
      <c r="O9" s="808">
        <v>79</v>
      </c>
      <c r="P9" s="808">
        <v>97</v>
      </c>
      <c r="Q9" s="808">
        <v>100</v>
      </c>
      <c r="R9" s="808">
        <v>92</v>
      </c>
      <c r="S9" s="808">
        <v>98</v>
      </c>
      <c r="T9" s="808">
        <v>95</v>
      </c>
    </row>
    <row r="10" spans="1:20" ht="13.25" customHeight="1">
      <c r="A10" s="83"/>
      <c r="B10" s="23" t="s">
        <v>23</v>
      </c>
      <c r="C10" s="222">
        <v>0</v>
      </c>
      <c r="D10" s="222">
        <v>0</v>
      </c>
      <c r="E10" s="950" t="s">
        <v>637</v>
      </c>
      <c r="F10" s="950" t="s">
        <v>637</v>
      </c>
      <c r="G10" s="950" t="s">
        <v>637</v>
      </c>
      <c r="H10" s="950" t="s">
        <v>637</v>
      </c>
      <c r="I10" s="950" t="s">
        <v>637</v>
      </c>
      <c r="J10" s="950" t="s">
        <v>637</v>
      </c>
      <c r="K10" s="950" t="s">
        <v>637</v>
      </c>
      <c r="L10" s="950" t="s">
        <v>637</v>
      </c>
      <c r="M10" s="950" t="s">
        <v>637</v>
      </c>
      <c r="N10" s="950" t="s">
        <v>637</v>
      </c>
      <c r="O10" s="950" t="s">
        <v>637</v>
      </c>
      <c r="P10" s="950" t="s">
        <v>637</v>
      </c>
      <c r="Q10" s="950" t="s">
        <v>637</v>
      </c>
      <c r="R10" s="950" t="s">
        <v>637</v>
      </c>
      <c r="S10" s="950" t="s">
        <v>637</v>
      </c>
      <c r="T10" s="950" t="s">
        <v>637</v>
      </c>
    </row>
    <row r="11" spans="1:20" ht="13.25" customHeight="1">
      <c r="A11" s="83"/>
      <c r="B11" s="23" t="s">
        <v>24</v>
      </c>
      <c r="C11" s="222">
        <v>7505</v>
      </c>
      <c r="D11" s="222">
        <v>7529</v>
      </c>
      <c r="E11" s="93">
        <v>7913</v>
      </c>
      <c r="F11" s="93">
        <v>7815</v>
      </c>
      <c r="G11" s="93">
        <v>7740</v>
      </c>
      <c r="H11" s="93">
        <v>7624</v>
      </c>
      <c r="I11" s="93">
        <v>8018</v>
      </c>
      <c r="J11" s="93">
        <v>7767</v>
      </c>
      <c r="K11" s="93">
        <v>7878</v>
      </c>
      <c r="L11" s="93">
        <v>7902</v>
      </c>
      <c r="M11" s="808">
        <v>7998</v>
      </c>
      <c r="N11" s="808">
        <v>7999</v>
      </c>
      <c r="O11" s="808">
        <v>7851</v>
      </c>
      <c r="P11" s="808">
        <v>7562</v>
      </c>
      <c r="Q11" s="808">
        <v>7710</v>
      </c>
      <c r="R11" s="808">
        <v>7650</v>
      </c>
      <c r="S11" s="808">
        <v>7131</v>
      </c>
      <c r="T11" s="808">
        <v>7390.5</v>
      </c>
    </row>
    <row r="12" spans="1:20" ht="13.25" customHeight="1">
      <c r="A12" s="83"/>
      <c r="B12" s="23" t="s">
        <v>25</v>
      </c>
      <c r="C12" s="222">
        <v>1333</v>
      </c>
      <c r="D12" s="222">
        <v>1285</v>
      </c>
      <c r="E12" s="93">
        <v>1380</v>
      </c>
      <c r="F12" s="93">
        <v>1200</v>
      </c>
      <c r="G12" s="93">
        <v>1280</v>
      </c>
      <c r="H12" s="93">
        <v>1296</v>
      </c>
      <c r="I12" s="93">
        <v>1120</v>
      </c>
      <c r="J12" s="93">
        <v>1120</v>
      </c>
      <c r="K12" s="93">
        <v>1210</v>
      </c>
      <c r="L12" s="93">
        <v>1165</v>
      </c>
      <c r="M12" s="808">
        <v>1190</v>
      </c>
      <c r="N12" s="808">
        <v>1150</v>
      </c>
      <c r="O12" s="808">
        <v>1180</v>
      </c>
      <c r="P12" s="808">
        <v>1173</v>
      </c>
      <c r="Q12" s="808">
        <v>1190</v>
      </c>
      <c r="R12" s="808">
        <v>1181</v>
      </c>
      <c r="S12" s="808">
        <v>1196</v>
      </c>
      <c r="T12" s="808">
        <v>1188.5</v>
      </c>
    </row>
    <row r="13" spans="1:20" ht="13.25" customHeight="1">
      <c r="A13" s="83"/>
      <c r="B13" s="23" t="s">
        <v>29</v>
      </c>
      <c r="C13" s="222">
        <v>0</v>
      </c>
      <c r="D13" s="222">
        <v>0</v>
      </c>
      <c r="E13" s="950" t="s">
        <v>637</v>
      </c>
      <c r="F13" s="950" t="s">
        <v>637</v>
      </c>
      <c r="G13" s="950" t="s">
        <v>637</v>
      </c>
      <c r="H13" s="950" t="s">
        <v>637</v>
      </c>
      <c r="I13" s="950" t="s">
        <v>637</v>
      </c>
      <c r="J13" s="950" t="s">
        <v>637</v>
      </c>
      <c r="K13" s="950" t="s">
        <v>637</v>
      </c>
      <c r="L13" s="950" t="s">
        <v>637</v>
      </c>
      <c r="M13" s="950" t="s">
        <v>637</v>
      </c>
      <c r="N13" s="950" t="s">
        <v>637</v>
      </c>
      <c r="O13" s="950" t="s">
        <v>637</v>
      </c>
      <c r="P13" s="950" t="s">
        <v>637</v>
      </c>
      <c r="Q13" s="950" t="s">
        <v>637</v>
      </c>
      <c r="R13" s="950" t="s">
        <v>637</v>
      </c>
      <c r="S13" s="950" t="s">
        <v>637</v>
      </c>
      <c r="T13" s="950" t="s">
        <v>637</v>
      </c>
    </row>
    <row r="14" spans="1:20" ht="13.25" customHeight="1">
      <c r="A14" s="83"/>
      <c r="B14" s="23" t="s">
        <v>30</v>
      </c>
      <c r="C14" s="222">
        <v>12142</v>
      </c>
      <c r="D14" s="222">
        <v>11815</v>
      </c>
      <c r="E14" s="93">
        <v>12085</v>
      </c>
      <c r="F14" s="93">
        <v>12071</v>
      </c>
      <c r="G14" s="93">
        <v>11547</v>
      </c>
      <c r="H14" s="93">
        <v>11932</v>
      </c>
      <c r="I14" s="93">
        <v>11844</v>
      </c>
      <c r="J14" s="93">
        <v>10120</v>
      </c>
      <c r="K14" s="93">
        <v>8310</v>
      </c>
      <c r="L14" s="93">
        <v>10294</v>
      </c>
      <c r="M14" s="808">
        <v>9715</v>
      </c>
      <c r="N14" s="808">
        <v>10201</v>
      </c>
      <c r="O14" s="808">
        <v>10320</v>
      </c>
      <c r="P14" s="808">
        <v>10080</v>
      </c>
      <c r="Q14" s="808">
        <v>10200</v>
      </c>
      <c r="R14" s="808">
        <v>11654</v>
      </c>
      <c r="S14" s="808">
        <v>10940</v>
      </c>
      <c r="T14" s="808">
        <v>11297</v>
      </c>
    </row>
    <row r="15" spans="1:20" ht="13.25" customHeight="1">
      <c r="A15" s="83"/>
      <c r="B15" s="23" t="s">
        <v>31</v>
      </c>
      <c r="C15" s="222">
        <v>34173</v>
      </c>
      <c r="D15" s="222">
        <v>31300</v>
      </c>
      <c r="E15" s="93">
        <v>33948</v>
      </c>
      <c r="F15" s="93">
        <v>33888</v>
      </c>
      <c r="G15" s="93">
        <v>32560</v>
      </c>
      <c r="H15" s="93">
        <v>33174</v>
      </c>
      <c r="I15" s="93">
        <v>37345</v>
      </c>
      <c r="J15" s="93">
        <v>35259</v>
      </c>
      <c r="K15" s="93">
        <v>36140</v>
      </c>
      <c r="L15" s="93">
        <v>37044</v>
      </c>
      <c r="M15" s="808">
        <v>39756</v>
      </c>
      <c r="N15" s="808">
        <v>40511</v>
      </c>
      <c r="O15" s="808">
        <v>46625</v>
      </c>
      <c r="P15" s="808">
        <v>46870</v>
      </c>
      <c r="Q15" s="808">
        <v>46747.5</v>
      </c>
      <c r="R15" s="808">
        <v>46625</v>
      </c>
      <c r="S15" s="808">
        <v>46625</v>
      </c>
      <c r="T15" s="808">
        <v>46890</v>
      </c>
    </row>
    <row r="16" spans="1:20" ht="13.25" customHeight="1">
      <c r="A16" s="83"/>
      <c r="B16" s="23" t="s">
        <v>32</v>
      </c>
      <c r="C16" s="222">
        <v>0</v>
      </c>
      <c r="D16" s="222">
        <v>0</v>
      </c>
      <c r="E16" s="950" t="s">
        <v>637</v>
      </c>
      <c r="F16" s="950" t="s">
        <v>637</v>
      </c>
      <c r="G16" s="950" t="s">
        <v>637</v>
      </c>
      <c r="H16" s="950" t="s">
        <v>637</v>
      </c>
      <c r="I16" s="950" t="s">
        <v>637</v>
      </c>
      <c r="J16" s="950" t="s">
        <v>637</v>
      </c>
      <c r="K16" s="950" t="s">
        <v>637</v>
      </c>
      <c r="L16" s="950" t="s">
        <v>637</v>
      </c>
      <c r="M16" s="950" t="s">
        <v>637</v>
      </c>
      <c r="N16" s="950" t="s">
        <v>637</v>
      </c>
      <c r="O16" s="950" t="s">
        <v>637</v>
      </c>
      <c r="P16" s="950" t="s">
        <v>637</v>
      </c>
      <c r="Q16" s="950" t="s">
        <v>637</v>
      </c>
      <c r="R16" s="950" t="s">
        <v>637</v>
      </c>
      <c r="S16" s="950">
        <v>0</v>
      </c>
      <c r="T16" s="950">
        <v>0</v>
      </c>
    </row>
    <row r="17" spans="1:20" ht="13.25" customHeight="1">
      <c r="A17" s="83"/>
      <c r="B17" s="23" t="s">
        <v>33</v>
      </c>
      <c r="C17" s="222">
        <v>2637</v>
      </c>
      <c r="D17" s="222">
        <v>2583</v>
      </c>
      <c r="E17" s="93">
        <v>4386</v>
      </c>
      <c r="F17" s="93">
        <v>4343</v>
      </c>
      <c r="G17" s="93">
        <v>4200</v>
      </c>
      <c r="H17" s="93">
        <v>3630</v>
      </c>
      <c r="I17" s="93">
        <v>3250</v>
      </c>
      <c r="J17" s="93">
        <v>4151</v>
      </c>
      <c r="K17" s="93">
        <v>5072</v>
      </c>
      <c r="L17" s="93">
        <v>5173</v>
      </c>
      <c r="M17" s="808">
        <v>5915</v>
      </c>
      <c r="N17" s="808">
        <v>6967</v>
      </c>
      <c r="O17" s="808">
        <v>6850</v>
      </c>
      <c r="P17" s="808">
        <v>6670</v>
      </c>
      <c r="Q17" s="808">
        <v>6760</v>
      </c>
      <c r="R17" s="808">
        <v>6648</v>
      </c>
      <c r="S17" s="808">
        <v>6701</v>
      </c>
      <c r="T17" s="808">
        <v>6674.5</v>
      </c>
    </row>
    <row r="18" spans="1:20" ht="13.25" customHeight="1">
      <c r="A18" s="83"/>
      <c r="B18" s="23" t="s">
        <v>34</v>
      </c>
      <c r="C18" s="222">
        <v>31823</v>
      </c>
      <c r="D18" s="222">
        <v>32205</v>
      </c>
      <c r="E18" s="93">
        <v>35557</v>
      </c>
      <c r="F18" s="93">
        <v>44657</v>
      </c>
      <c r="G18" s="93">
        <v>48902</v>
      </c>
      <c r="H18" s="93">
        <v>66112</v>
      </c>
      <c r="I18" s="93">
        <v>69640</v>
      </c>
      <c r="J18" s="93">
        <v>89091</v>
      </c>
      <c r="K18" s="93">
        <v>97491</v>
      </c>
      <c r="L18" s="93">
        <v>108023</v>
      </c>
      <c r="M18" s="808">
        <v>116664</v>
      </c>
      <c r="N18" s="808">
        <v>125956</v>
      </c>
      <c r="O18" s="808">
        <v>133225</v>
      </c>
      <c r="P18" s="808">
        <v>128330</v>
      </c>
      <c r="Q18" s="808">
        <v>130777.5</v>
      </c>
      <c r="R18" s="808">
        <v>131241</v>
      </c>
      <c r="S18" s="808">
        <v>131020</v>
      </c>
      <c r="T18" s="808">
        <v>131130.5</v>
      </c>
    </row>
    <row r="19" spans="1:20" ht="13.25" customHeight="1">
      <c r="A19" s="83"/>
      <c r="B19" s="23" t="s">
        <v>35</v>
      </c>
      <c r="C19" s="222">
        <v>36687</v>
      </c>
      <c r="D19" s="222">
        <v>38717</v>
      </c>
      <c r="E19" s="93">
        <v>40707</v>
      </c>
      <c r="F19" s="93">
        <v>35115</v>
      </c>
      <c r="G19" s="93">
        <v>36000</v>
      </c>
      <c r="H19" s="93">
        <v>39445</v>
      </c>
      <c r="I19" s="93">
        <v>45498</v>
      </c>
      <c r="J19" s="93">
        <v>84791</v>
      </c>
      <c r="K19" s="93">
        <v>88418</v>
      </c>
      <c r="L19" s="93">
        <v>90222</v>
      </c>
      <c r="M19" s="808">
        <v>81434</v>
      </c>
      <c r="N19" s="808">
        <v>82535</v>
      </c>
      <c r="O19" s="808">
        <v>91678</v>
      </c>
      <c r="P19" s="808">
        <v>96543</v>
      </c>
      <c r="Q19" s="808">
        <v>100532</v>
      </c>
      <c r="R19" s="808">
        <v>100923</v>
      </c>
      <c r="S19" s="808">
        <v>105903</v>
      </c>
      <c r="T19" s="808">
        <v>108413</v>
      </c>
    </row>
    <row r="20" spans="1:20" ht="13.25" customHeight="1">
      <c r="A20" s="83"/>
      <c r="B20" s="23" t="s">
        <v>36</v>
      </c>
      <c r="C20" s="222">
        <v>223704</v>
      </c>
      <c r="D20" s="222">
        <v>224045</v>
      </c>
      <c r="E20" s="93">
        <v>224720</v>
      </c>
      <c r="F20" s="93">
        <v>220709</v>
      </c>
      <c r="G20" s="93">
        <v>246980</v>
      </c>
      <c r="H20" s="93">
        <v>243032</v>
      </c>
      <c r="I20" s="93">
        <v>245816</v>
      </c>
      <c r="J20" s="93">
        <v>225470</v>
      </c>
      <c r="K20" s="93">
        <v>269650</v>
      </c>
      <c r="L20" s="93">
        <v>258403</v>
      </c>
      <c r="M20" s="808">
        <v>264220</v>
      </c>
      <c r="N20" s="808">
        <v>273249</v>
      </c>
      <c r="O20" s="808">
        <v>252713</v>
      </c>
      <c r="P20" s="808">
        <v>263410</v>
      </c>
      <c r="Q20" s="808">
        <v>270053</v>
      </c>
      <c r="R20" s="808">
        <v>268457</v>
      </c>
      <c r="S20" s="808">
        <v>269324</v>
      </c>
      <c r="T20" s="808">
        <v>268890.5</v>
      </c>
    </row>
    <row r="21" spans="1:20" ht="13.25" customHeight="1">
      <c r="A21" s="83"/>
      <c r="B21" s="23" t="s">
        <v>37</v>
      </c>
      <c r="C21" s="222">
        <v>346625</v>
      </c>
      <c r="D21" s="222">
        <v>357461</v>
      </c>
      <c r="E21" s="93">
        <v>356776</v>
      </c>
      <c r="F21" s="93">
        <v>357866</v>
      </c>
      <c r="G21" s="93">
        <v>491768</v>
      </c>
      <c r="H21" s="93">
        <v>486110</v>
      </c>
      <c r="I21" s="93">
        <v>494004</v>
      </c>
      <c r="J21" s="93">
        <v>500211</v>
      </c>
      <c r="K21" s="93">
        <v>466010</v>
      </c>
      <c r="L21" s="93">
        <v>465020</v>
      </c>
      <c r="M21" s="808">
        <v>442336</v>
      </c>
      <c r="N21" s="808">
        <v>430271</v>
      </c>
      <c r="O21" s="808">
        <v>421292</v>
      </c>
      <c r="P21" s="808">
        <v>422680</v>
      </c>
      <c r="Q21" s="808">
        <v>430134</v>
      </c>
      <c r="R21" s="808">
        <v>430134</v>
      </c>
      <c r="S21" s="808">
        <v>471546</v>
      </c>
      <c r="T21" s="808">
        <v>478172</v>
      </c>
    </row>
    <row r="22" spans="1:20" ht="13.25" customHeight="1">
      <c r="A22" s="83"/>
      <c r="B22" s="23" t="s">
        <v>38</v>
      </c>
      <c r="C22" s="222">
        <v>75189</v>
      </c>
      <c r="D22" s="222">
        <v>83042</v>
      </c>
      <c r="E22" s="93">
        <v>97966</v>
      </c>
      <c r="F22" s="93">
        <v>88220</v>
      </c>
      <c r="G22" s="93">
        <v>89200</v>
      </c>
      <c r="H22" s="93">
        <v>88723</v>
      </c>
      <c r="I22" s="93">
        <v>93947</v>
      </c>
      <c r="J22" s="93">
        <v>91335</v>
      </c>
      <c r="K22" s="93">
        <v>92410</v>
      </c>
      <c r="L22" s="93">
        <v>147535</v>
      </c>
      <c r="M22" s="808">
        <v>140718</v>
      </c>
      <c r="N22" s="808">
        <v>147754</v>
      </c>
      <c r="O22" s="808">
        <v>145310</v>
      </c>
      <c r="P22" s="808">
        <v>144630</v>
      </c>
      <c r="Q22" s="808">
        <v>144970</v>
      </c>
      <c r="R22" s="808">
        <v>143658</v>
      </c>
      <c r="S22" s="808">
        <v>144322</v>
      </c>
      <c r="T22" s="808">
        <v>143990</v>
      </c>
    </row>
    <row r="23" spans="1:20" ht="13.25" customHeight="1">
      <c r="A23" s="83"/>
      <c r="B23" s="23" t="s">
        <v>39</v>
      </c>
      <c r="C23" s="222">
        <v>40000</v>
      </c>
      <c r="D23" s="222">
        <v>40830</v>
      </c>
      <c r="E23" s="93">
        <v>39670</v>
      </c>
      <c r="F23" s="93">
        <v>40736</v>
      </c>
      <c r="G23" s="93">
        <v>44282</v>
      </c>
      <c r="H23" s="93">
        <v>54328</v>
      </c>
      <c r="I23" s="93">
        <v>55078</v>
      </c>
      <c r="J23" s="93">
        <v>54141</v>
      </c>
      <c r="K23" s="93">
        <v>77515</v>
      </c>
      <c r="L23" s="93">
        <v>80352</v>
      </c>
      <c r="M23" s="808">
        <v>74512</v>
      </c>
      <c r="N23" s="808">
        <v>78238</v>
      </c>
      <c r="O23" s="808">
        <v>78245</v>
      </c>
      <c r="P23" s="808">
        <v>75869</v>
      </c>
      <c r="Q23" s="808">
        <v>77057</v>
      </c>
      <c r="R23" s="808">
        <v>76980</v>
      </c>
      <c r="S23" s="808">
        <v>77128</v>
      </c>
      <c r="T23" s="808">
        <v>77054</v>
      </c>
    </row>
    <row r="24" spans="1:20" ht="13.25" customHeight="1">
      <c r="A24" s="83"/>
      <c r="B24" s="23" t="s">
        <v>40</v>
      </c>
      <c r="C24" s="222">
        <v>193467</v>
      </c>
      <c r="D24" s="222">
        <v>156155</v>
      </c>
      <c r="E24" s="93">
        <v>166666</v>
      </c>
      <c r="F24" s="93">
        <v>191739</v>
      </c>
      <c r="G24" s="93">
        <v>203016</v>
      </c>
      <c r="H24" s="93">
        <v>194281</v>
      </c>
      <c r="I24" s="93">
        <v>220945</v>
      </c>
      <c r="J24" s="93">
        <v>203520</v>
      </c>
      <c r="K24" s="93">
        <v>209947</v>
      </c>
      <c r="L24" s="93">
        <v>261049</v>
      </c>
      <c r="M24" s="808">
        <v>267950</v>
      </c>
      <c r="N24" s="808">
        <v>255377</v>
      </c>
      <c r="O24" s="808">
        <v>209143</v>
      </c>
      <c r="P24" s="808">
        <v>259727</v>
      </c>
      <c r="Q24" s="808">
        <v>309833</v>
      </c>
      <c r="R24" s="808">
        <v>295233</v>
      </c>
      <c r="S24" s="808">
        <v>296478</v>
      </c>
      <c r="T24" s="808">
        <v>294675</v>
      </c>
    </row>
    <row r="25" spans="1:20" ht="13.25" customHeight="1">
      <c r="A25" s="83"/>
      <c r="B25" s="23" t="s">
        <v>41</v>
      </c>
      <c r="C25" s="222">
        <v>149250</v>
      </c>
      <c r="D25" s="222">
        <v>188860</v>
      </c>
      <c r="E25" s="93">
        <v>184766</v>
      </c>
      <c r="F25" s="93">
        <v>191249</v>
      </c>
      <c r="G25" s="93">
        <v>193122</v>
      </c>
      <c r="H25" s="93">
        <v>191449</v>
      </c>
      <c r="I25" s="93">
        <v>188587</v>
      </c>
      <c r="J25" s="93">
        <v>203967</v>
      </c>
      <c r="K25" s="93">
        <v>212360</v>
      </c>
      <c r="L25" s="93">
        <v>207969</v>
      </c>
      <c r="M25" s="808">
        <v>215490</v>
      </c>
      <c r="N25" s="808">
        <v>216265</v>
      </c>
      <c r="O25" s="808">
        <v>215050</v>
      </c>
      <c r="P25" s="808">
        <v>215600</v>
      </c>
      <c r="Q25" s="808">
        <v>215340</v>
      </c>
      <c r="R25" s="808">
        <v>214727</v>
      </c>
      <c r="S25" s="808">
        <v>212220</v>
      </c>
      <c r="T25" s="808">
        <v>213473.5</v>
      </c>
    </row>
    <row r="26" spans="1:20" ht="13.25" customHeight="1">
      <c r="A26" s="83"/>
      <c r="B26" s="23" t="s">
        <v>44</v>
      </c>
      <c r="C26" s="222">
        <v>453190</v>
      </c>
      <c r="D26" s="222">
        <v>450200</v>
      </c>
      <c r="E26" s="93">
        <v>454200</v>
      </c>
      <c r="F26" s="93">
        <v>485468</v>
      </c>
      <c r="G26" s="93">
        <v>553985</v>
      </c>
      <c r="H26" s="93">
        <v>584483</v>
      </c>
      <c r="I26" s="93">
        <v>654726</v>
      </c>
      <c r="J26" s="93">
        <v>608978</v>
      </c>
      <c r="K26" s="93">
        <v>552509</v>
      </c>
      <c r="L26" s="93">
        <v>569352</v>
      </c>
      <c r="M26" s="808">
        <v>577964</v>
      </c>
      <c r="N26" s="808">
        <v>610184</v>
      </c>
      <c r="O26" s="808">
        <v>674939</v>
      </c>
      <c r="P26" s="808">
        <v>671585</v>
      </c>
      <c r="Q26" s="808">
        <v>669365</v>
      </c>
      <c r="R26" s="808">
        <v>675889</v>
      </c>
      <c r="S26" s="808">
        <v>673731</v>
      </c>
      <c r="T26" s="808">
        <v>673455</v>
      </c>
    </row>
    <row r="27" spans="1:20" ht="13.25" customHeight="1">
      <c r="A27" s="83"/>
      <c r="B27" s="23" t="s">
        <v>45</v>
      </c>
      <c r="C27" s="222">
        <v>1986790</v>
      </c>
      <c r="D27" s="222">
        <v>1999600</v>
      </c>
      <c r="E27" s="93">
        <v>2026600</v>
      </c>
      <c r="F27" s="93">
        <v>2065730</v>
      </c>
      <c r="G27" s="93">
        <v>2141000</v>
      </c>
      <c r="H27" s="93">
        <v>2171880</v>
      </c>
      <c r="I27" s="93">
        <v>2192440</v>
      </c>
      <c r="J27" s="93">
        <v>1807440</v>
      </c>
      <c r="K27" s="93">
        <v>1880395</v>
      </c>
      <c r="L27" s="93">
        <v>2066290</v>
      </c>
      <c r="M27" s="808">
        <v>2072460</v>
      </c>
      <c r="N27" s="808">
        <v>2032490</v>
      </c>
      <c r="O27" s="808">
        <v>2036210</v>
      </c>
      <c r="P27" s="808">
        <v>2034020</v>
      </c>
      <c r="Q27" s="808">
        <v>2035280</v>
      </c>
      <c r="R27" s="808">
        <v>2039330</v>
      </c>
      <c r="S27" s="808">
        <v>2030525</v>
      </c>
      <c r="T27" s="808">
        <v>2071135</v>
      </c>
    </row>
    <row r="28" spans="1:20" ht="13.25" customHeight="1">
      <c r="A28" s="83"/>
      <c r="B28" s="82" t="s">
        <v>46</v>
      </c>
      <c r="C28" s="222">
        <v>0</v>
      </c>
      <c r="D28" s="222">
        <v>0</v>
      </c>
      <c r="E28" s="950" t="s">
        <v>637</v>
      </c>
      <c r="F28" s="950" t="s">
        <v>637</v>
      </c>
      <c r="G28" s="950" t="s">
        <v>637</v>
      </c>
      <c r="H28" s="950" t="s">
        <v>637</v>
      </c>
      <c r="I28" s="950" t="s">
        <v>637</v>
      </c>
      <c r="J28" s="950" t="s">
        <v>637</v>
      </c>
      <c r="K28" s="950" t="s">
        <v>637</v>
      </c>
      <c r="L28" s="950" t="s">
        <v>637</v>
      </c>
      <c r="M28" s="950" t="s">
        <v>637</v>
      </c>
      <c r="N28" s="950" t="s">
        <v>637</v>
      </c>
      <c r="O28" s="950" t="s">
        <v>637</v>
      </c>
      <c r="P28" s="950" t="s">
        <v>637</v>
      </c>
      <c r="Q28" s="950" t="s">
        <v>637</v>
      </c>
      <c r="R28" s="950" t="s">
        <v>637</v>
      </c>
      <c r="S28" s="950" t="s">
        <v>637</v>
      </c>
      <c r="T28" s="950" t="s">
        <v>637</v>
      </c>
    </row>
    <row r="29" spans="1:20" ht="13.25" customHeight="1">
      <c r="A29" s="83"/>
      <c r="B29" s="23" t="s">
        <v>47</v>
      </c>
      <c r="C29" s="222">
        <v>0</v>
      </c>
      <c r="D29" s="222">
        <v>0</v>
      </c>
      <c r="E29" s="950" t="s">
        <v>637</v>
      </c>
      <c r="F29" s="950" t="s">
        <v>637</v>
      </c>
      <c r="G29" s="950" t="s">
        <v>637</v>
      </c>
      <c r="H29" s="950" t="s">
        <v>637</v>
      </c>
      <c r="I29" s="950" t="s">
        <v>637</v>
      </c>
      <c r="J29" s="950" t="s">
        <v>637</v>
      </c>
      <c r="K29" s="950" t="s">
        <v>637</v>
      </c>
      <c r="L29" s="950" t="s">
        <v>637</v>
      </c>
      <c r="M29" s="950" t="s">
        <v>637</v>
      </c>
      <c r="N29" s="950" t="s">
        <v>637</v>
      </c>
      <c r="O29" s="950" t="s">
        <v>637</v>
      </c>
      <c r="P29" s="950" t="s">
        <v>637</v>
      </c>
      <c r="Q29" s="950" t="s">
        <v>637</v>
      </c>
      <c r="R29" s="950" t="s">
        <v>637</v>
      </c>
      <c r="S29" s="950" t="s">
        <v>637</v>
      </c>
      <c r="T29" s="950" t="s">
        <v>637</v>
      </c>
    </row>
    <row r="30" spans="1:20" ht="13.25" customHeight="1">
      <c r="A30" s="83"/>
      <c r="B30" s="23" t="s">
        <v>48</v>
      </c>
      <c r="C30" s="222">
        <v>0</v>
      </c>
      <c r="D30" s="222">
        <v>0</v>
      </c>
      <c r="E30" s="950" t="s">
        <v>637</v>
      </c>
      <c r="F30" s="950" t="s">
        <v>637</v>
      </c>
      <c r="G30" s="950" t="s">
        <v>637</v>
      </c>
      <c r="H30" s="950" t="s">
        <v>637</v>
      </c>
      <c r="I30" s="950" t="s">
        <v>637</v>
      </c>
      <c r="J30" s="950" t="s">
        <v>637</v>
      </c>
      <c r="K30" s="950" t="s">
        <v>637</v>
      </c>
      <c r="L30" s="950" t="s">
        <v>637</v>
      </c>
      <c r="M30" s="950" t="s">
        <v>637</v>
      </c>
      <c r="N30" s="950" t="s">
        <v>637</v>
      </c>
      <c r="O30" s="950" t="s">
        <v>637</v>
      </c>
      <c r="P30" s="950" t="s">
        <v>637</v>
      </c>
      <c r="Q30" s="950" t="s">
        <v>637</v>
      </c>
      <c r="R30" s="950" t="s">
        <v>637</v>
      </c>
      <c r="S30" s="950" t="s">
        <v>637</v>
      </c>
      <c r="T30" s="950" t="s">
        <v>637</v>
      </c>
    </row>
    <row r="31" spans="1:20" ht="13.25" customHeight="1" thickBot="1">
      <c r="A31" s="88"/>
      <c r="B31" s="577" t="s">
        <v>49</v>
      </c>
      <c r="C31" s="581">
        <v>0</v>
      </c>
      <c r="D31" s="581">
        <v>0</v>
      </c>
      <c r="E31" s="951" t="s">
        <v>637</v>
      </c>
      <c r="F31" s="951" t="s">
        <v>637</v>
      </c>
      <c r="G31" s="951" t="s">
        <v>637</v>
      </c>
      <c r="H31" s="951" t="s">
        <v>637</v>
      </c>
      <c r="I31" s="951" t="s">
        <v>637</v>
      </c>
      <c r="J31" s="951" t="s">
        <v>637</v>
      </c>
      <c r="K31" s="951" t="s">
        <v>637</v>
      </c>
      <c r="L31" s="951" t="s">
        <v>637</v>
      </c>
      <c r="M31" s="951" t="s">
        <v>637</v>
      </c>
      <c r="N31" s="951" t="s">
        <v>637</v>
      </c>
      <c r="O31" s="951" t="s">
        <v>637</v>
      </c>
      <c r="P31" s="951" t="s">
        <v>637</v>
      </c>
      <c r="Q31" s="951" t="s">
        <v>637</v>
      </c>
      <c r="R31" s="951" t="s">
        <v>637</v>
      </c>
      <c r="S31" s="951" t="s">
        <v>637</v>
      </c>
      <c r="T31" s="951" t="s">
        <v>637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R35" s="84"/>
      <c r="S35" s="84"/>
      <c r="T35" s="84"/>
    </row>
    <row r="36" spans="1:20" ht="13.25" customHeight="1">
      <c r="R36" s="84"/>
      <c r="S36" s="84"/>
      <c r="T36" s="84"/>
    </row>
    <row r="37" spans="1:20" ht="13.25" customHeight="1">
      <c r="R37" s="84"/>
      <c r="S37" s="84"/>
      <c r="T37" s="84"/>
    </row>
    <row r="38" spans="1:20" ht="13.25" customHeight="1">
      <c r="T38" s="84"/>
    </row>
    <row r="39" spans="1:20" ht="13.25" customHeight="1">
      <c r="T39" s="84"/>
    </row>
    <row r="40" spans="1:20" ht="13.25" customHeight="1">
      <c r="T40" s="84"/>
    </row>
    <row r="41" spans="1:20" ht="13.25" customHeight="1">
      <c r="T41" s="84"/>
    </row>
    <row r="42" spans="1:20" ht="13.25" customHeight="1">
      <c r="T42" s="84"/>
    </row>
    <row r="43" spans="1:20" ht="13.25" customHeight="1">
      <c r="T43" s="84"/>
    </row>
    <row r="44" spans="1:20" ht="13.25" customHeight="1">
      <c r="T44" s="84"/>
    </row>
    <row r="45" spans="1:20" ht="13.25" customHeight="1">
      <c r="T45" s="84"/>
    </row>
    <row r="46" spans="1:20" ht="13.25" customHeight="1">
      <c r="T46" s="84"/>
    </row>
    <row r="47" spans="1:20" ht="13.25" customHeight="1">
      <c r="T47" s="84"/>
    </row>
    <row r="48" spans="1:20" ht="13.25" customHeight="1">
      <c r="T48" s="84"/>
    </row>
    <row r="49" spans="20:20" ht="13.25" customHeight="1">
      <c r="T49" s="84"/>
    </row>
    <row r="50" spans="20:20" ht="13.25" customHeight="1">
      <c r="T50" s="84"/>
    </row>
    <row r="51" spans="20:20" ht="13.25" customHeight="1">
      <c r="T51" s="84"/>
    </row>
    <row r="52" spans="20:20" ht="13.25" customHeight="1">
      <c r="T52" s="84"/>
    </row>
    <row r="53" spans="20:20" ht="13.25" customHeight="1">
      <c r="T53" s="84"/>
    </row>
    <row r="54" spans="20:20" ht="13.25" customHeight="1">
      <c r="T54" s="84"/>
    </row>
    <row r="55" spans="20:20" ht="13.25" customHeight="1">
      <c r="T55" s="84"/>
    </row>
    <row r="56" spans="20:20" ht="13.25" customHeight="1">
      <c r="T56" s="84"/>
    </row>
    <row r="57" spans="20:20" ht="13.25" customHeight="1">
      <c r="T57" s="84"/>
    </row>
    <row r="58" spans="20:20" ht="13.25" customHeight="1">
      <c r="T58" s="84"/>
    </row>
    <row r="59" spans="20:20" ht="13.25" customHeight="1">
      <c r="T59" s="84"/>
    </row>
    <row r="60" spans="20:20" ht="13.25" customHeight="1">
      <c r="T60" s="84"/>
    </row>
    <row r="61" spans="20:20" ht="13.25" customHeight="1">
      <c r="T61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8">
    <tabColor theme="9" tint="0.59999389629810485"/>
  </sheetPr>
  <dimension ref="A2:V38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7" width="8.19921875" style="82" customWidth="1"/>
    <col min="28" max="16384" width="7" style="82"/>
  </cols>
  <sheetData>
    <row r="2" spans="1:22" ht="13.25" customHeight="1">
      <c r="A2" s="230" t="s">
        <v>511</v>
      </c>
      <c r="B2" s="231"/>
    </row>
    <row r="3" spans="1:22" ht="13.25" customHeight="1">
      <c r="A3" s="232" t="s">
        <v>238</v>
      </c>
      <c r="B3" s="232"/>
    </row>
    <row r="4" spans="1:22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2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2" ht="15" customHeight="1">
      <c r="A6" s="963" t="s">
        <v>96</v>
      </c>
      <c r="B6" s="963"/>
      <c r="C6" s="573">
        <f>(C8+C9+C10+C11+C12+C13+C14+C15+C16+C17+C18+C19+C20+C21+C22+C23+C24+C25+C26+C27+C28+C29+C30+C31)</f>
        <v>321478</v>
      </c>
      <c r="D6" s="573">
        <f>(D8+D9+D10+D11+D12+D13+D14+D15+D16+D17+D18+D19+D20+D21+D22+D23+D24+D25+D26+D27+D28+D29+D30+D31)</f>
        <v>330072</v>
      </c>
      <c r="E6" s="574">
        <v>355174</v>
      </c>
      <c r="F6" s="574">
        <v>365555</v>
      </c>
      <c r="G6" s="574">
        <v>387980</v>
      </c>
      <c r="H6" s="574">
        <v>410085</v>
      </c>
      <c r="I6" s="574">
        <v>424100</v>
      </c>
      <c r="J6" s="574">
        <v>455558</v>
      </c>
      <c r="K6" s="574">
        <v>463354</v>
      </c>
      <c r="L6" s="574">
        <v>481847</v>
      </c>
      <c r="M6" s="574">
        <v>446199</v>
      </c>
      <c r="N6" s="574">
        <v>474135</v>
      </c>
      <c r="O6" s="574">
        <v>479063</v>
      </c>
      <c r="P6" s="574">
        <v>470464</v>
      </c>
      <c r="Q6" s="574">
        <v>473283</v>
      </c>
      <c r="R6" s="574">
        <v>464229.4</v>
      </c>
      <c r="S6" s="574">
        <v>469624.4</v>
      </c>
      <c r="T6" s="574">
        <v>476210</v>
      </c>
      <c r="V6" s="161"/>
    </row>
    <row r="7" spans="1:22" ht="3" customHeight="1">
      <c r="A7" s="83"/>
      <c r="B7" s="84"/>
      <c r="C7" s="233"/>
      <c r="D7" s="23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2" ht="13.25" customHeight="1">
      <c r="A8" s="83"/>
      <c r="B8" s="23" t="s">
        <v>21</v>
      </c>
      <c r="C8" s="239">
        <v>0</v>
      </c>
      <c r="D8" s="239">
        <v>0</v>
      </c>
      <c r="E8" s="224" t="s">
        <v>240</v>
      </c>
      <c r="F8" s="224" t="s">
        <v>240</v>
      </c>
      <c r="G8" s="224" t="s">
        <v>240</v>
      </c>
      <c r="H8" s="224" t="s">
        <v>240</v>
      </c>
      <c r="I8" s="224" t="s">
        <v>240</v>
      </c>
      <c r="J8" s="224" t="s">
        <v>240</v>
      </c>
      <c r="K8" s="224" t="s">
        <v>240</v>
      </c>
      <c r="L8" s="224" t="s">
        <v>240</v>
      </c>
      <c r="M8" s="224" t="s">
        <v>240</v>
      </c>
      <c r="N8" s="224" t="s">
        <v>240</v>
      </c>
      <c r="O8" s="224" t="s">
        <v>240</v>
      </c>
      <c r="P8" s="224" t="s">
        <v>240</v>
      </c>
      <c r="Q8" s="224" t="s">
        <v>240</v>
      </c>
      <c r="R8" s="224" t="s">
        <v>240</v>
      </c>
      <c r="S8" s="224" t="s">
        <v>240</v>
      </c>
      <c r="T8" s="224" t="s">
        <v>240</v>
      </c>
    </row>
    <row r="9" spans="1:22" ht="13.25" customHeight="1">
      <c r="A9" s="83"/>
      <c r="B9" s="23" t="s">
        <v>22</v>
      </c>
      <c r="C9" s="239">
        <v>0</v>
      </c>
      <c r="D9" s="239">
        <v>0</v>
      </c>
      <c r="E9" s="224" t="s">
        <v>240</v>
      </c>
      <c r="F9" s="224" t="s">
        <v>240</v>
      </c>
      <c r="G9" s="224" t="s">
        <v>240</v>
      </c>
      <c r="H9" s="224" t="s">
        <v>240</v>
      </c>
      <c r="I9" s="224" t="s">
        <v>240</v>
      </c>
      <c r="J9" s="224" t="s">
        <v>240</v>
      </c>
      <c r="K9" s="224" t="s">
        <v>240</v>
      </c>
      <c r="L9" s="224" t="s">
        <v>240</v>
      </c>
      <c r="M9" s="224" t="s">
        <v>240</v>
      </c>
      <c r="N9" s="224" t="s">
        <v>240</v>
      </c>
      <c r="O9" s="224" t="s">
        <v>240</v>
      </c>
      <c r="P9" s="224" t="s">
        <v>240</v>
      </c>
      <c r="Q9" s="224" t="s">
        <v>240</v>
      </c>
      <c r="R9" s="224" t="s">
        <v>240</v>
      </c>
      <c r="S9" s="224" t="s">
        <v>240</v>
      </c>
      <c r="T9" s="224" t="s">
        <v>240</v>
      </c>
      <c r="V9" s="90"/>
    </row>
    <row r="10" spans="1:22" ht="13.25" customHeight="1">
      <c r="A10" s="83"/>
      <c r="B10" s="23" t="s">
        <v>23</v>
      </c>
      <c r="C10" s="239">
        <v>0</v>
      </c>
      <c r="D10" s="239">
        <v>0</v>
      </c>
      <c r="E10" s="224" t="s">
        <v>240</v>
      </c>
      <c r="F10" s="224" t="s">
        <v>240</v>
      </c>
      <c r="G10" s="224" t="s">
        <v>240</v>
      </c>
      <c r="H10" s="224" t="s">
        <v>240</v>
      </c>
      <c r="I10" s="224" t="s">
        <v>240</v>
      </c>
      <c r="J10" s="224" t="s">
        <v>240</v>
      </c>
      <c r="K10" s="224" t="s">
        <v>240</v>
      </c>
      <c r="L10" s="224" t="s">
        <v>240</v>
      </c>
      <c r="M10" s="224" t="s">
        <v>240</v>
      </c>
      <c r="N10" s="224" t="s">
        <v>240</v>
      </c>
      <c r="O10" s="224" t="s">
        <v>240</v>
      </c>
      <c r="P10" s="224" t="s">
        <v>240</v>
      </c>
      <c r="Q10" s="224" t="s">
        <v>240</v>
      </c>
      <c r="R10" s="224" t="s">
        <v>240</v>
      </c>
      <c r="S10" s="224" t="s">
        <v>240</v>
      </c>
      <c r="T10" s="224" t="s">
        <v>240</v>
      </c>
      <c r="V10" s="90"/>
    </row>
    <row r="11" spans="1:22" ht="13.25" customHeight="1">
      <c r="A11" s="83"/>
      <c r="B11" s="23" t="s">
        <v>24</v>
      </c>
      <c r="C11" s="239">
        <v>203</v>
      </c>
      <c r="D11" s="239">
        <v>241</v>
      </c>
      <c r="E11" s="224">
        <v>358</v>
      </c>
      <c r="F11" s="224">
        <v>381</v>
      </c>
      <c r="G11" s="224">
        <v>435</v>
      </c>
      <c r="H11" s="224">
        <v>480</v>
      </c>
      <c r="I11" s="224">
        <v>610</v>
      </c>
      <c r="J11" s="224">
        <v>742</v>
      </c>
      <c r="K11" s="224">
        <v>725</v>
      </c>
      <c r="L11" s="224">
        <v>828</v>
      </c>
      <c r="M11" s="224">
        <v>868</v>
      </c>
      <c r="N11" s="224">
        <v>949</v>
      </c>
      <c r="O11" s="224">
        <v>1144</v>
      </c>
      <c r="P11" s="224">
        <v>1259</v>
      </c>
      <c r="Q11" s="224">
        <v>1377</v>
      </c>
      <c r="R11" s="224">
        <v>1394</v>
      </c>
      <c r="S11" s="224">
        <v>1412</v>
      </c>
      <c r="T11" s="224">
        <v>1322.9</v>
      </c>
      <c r="V11" s="90"/>
    </row>
    <row r="12" spans="1:22" ht="13.25" customHeight="1">
      <c r="A12" s="83"/>
      <c r="B12" s="23" t="s">
        <v>25</v>
      </c>
      <c r="C12" s="239">
        <v>0</v>
      </c>
      <c r="D12" s="239">
        <v>0</v>
      </c>
      <c r="E12" s="224" t="s">
        <v>240</v>
      </c>
      <c r="F12" s="224" t="s">
        <v>240</v>
      </c>
      <c r="G12" s="224" t="s">
        <v>240</v>
      </c>
      <c r="H12" s="224" t="s">
        <v>240</v>
      </c>
      <c r="I12" s="224" t="s">
        <v>240</v>
      </c>
      <c r="J12" s="224" t="s">
        <v>240</v>
      </c>
      <c r="K12" s="224" t="s">
        <v>240</v>
      </c>
      <c r="L12" s="224" t="s">
        <v>240</v>
      </c>
      <c r="M12" s="224" t="s">
        <v>240</v>
      </c>
      <c r="N12" s="224" t="s">
        <v>240</v>
      </c>
      <c r="O12" s="224" t="s">
        <v>240</v>
      </c>
      <c r="P12" s="224" t="s">
        <v>240</v>
      </c>
      <c r="Q12" s="224" t="s">
        <v>240</v>
      </c>
      <c r="R12" s="224" t="s">
        <v>240</v>
      </c>
      <c r="S12" s="224" t="s">
        <v>240</v>
      </c>
      <c r="T12" s="224" t="s">
        <v>240</v>
      </c>
      <c r="V12" s="90"/>
    </row>
    <row r="13" spans="1:22" ht="13.25" customHeight="1">
      <c r="A13" s="83"/>
      <c r="B13" s="23" t="s">
        <v>29</v>
      </c>
      <c r="C13" s="239">
        <v>0</v>
      </c>
      <c r="D13" s="239">
        <v>0</v>
      </c>
      <c r="E13" s="224" t="s">
        <v>240</v>
      </c>
      <c r="F13" s="224" t="s">
        <v>240</v>
      </c>
      <c r="G13" s="224" t="s">
        <v>240</v>
      </c>
      <c r="H13" s="224" t="s">
        <v>240</v>
      </c>
      <c r="I13" s="224" t="s">
        <v>240</v>
      </c>
      <c r="J13" s="224" t="s">
        <v>240</v>
      </c>
      <c r="K13" s="224" t="s">
        <v>240</v>
      </c>
      <c r="L13" s="224" t="s">
        <v>240</v>
      </c>
      <c r="M13" s="224" t="s">
        <v>240</v>
      </c>
      <c r="N13" s="224" t="s">
        <v>240</v>
      </c>
      <c r="O13" s="224" t="s">
        <v>240</v>
      </c>
      <c r="P13" s="224" t="s">
        <v>240</v>
      </c>
      <c r="Q13" s="224" t="s">
        <v>240</v>
      </c>
      <c r="R13" s="224" t="s">
        <v>240</v>
      </c>
      <c r="S13" s="224" t="s">
        <v>240</v>
      </c>
      <c r="T13" s="224" t="s">
        <v>240</v>
      </c>
      <c r="V13" s="90"/>
    </row>
    <row r="14" spans="1:22" ht="13.25" customHeight="1">
      <c r="A14" s="83"/>
      <c r="B14" s="23" t="s">
        <v>30</v>
      </c>
      <c r="C14" s="239">
        <v>424</v>
      </c>
      <c r="D14" s="239">
        <v>332</v>
      </c>
      <c r="E14" s="224">
        <v>588</v>
      </c>
      <c r="F14" s="224">
        <v>323</v>
      </c>
      <c r="G14" s="224">
        <v>478</v>
      </c>
      <c r="H14" s="224">
        <v>395</v>
      </c>
      <c r="I14" s="224">
        <v>412</v>
      </c>
      <c r="J14" s="224">
        <v>275</v>
      </c>
      <c r="K14" s="224">
        <v>356</v>
      </c>
      <c r="L14" s="224">
        <v>412</v>
      </c>
      <c r="M14" s="224">
        <v>377</v>
      </c>
      <c r="N14" s="224">
        <v>242</v>
      </c>
      <c r="O14" s="224">
        <v>348</v>
      </c>
      <c r="P14" s="224">
        <v>381</v>
      </c>
      <c r="Q14" s="224">
        <v>390</v>
      </c>
      <c r="R14" s="224">
        <v>391</v>
      </c>
      <c r="S14" s="224">
        <v>433</v>
      </c>
      <c r="T14" s="224">
        <v>479</v>
      </c>
      <c r="V14" s="90"/>
    </row>
    <row r="15" spans="1:22" ht="13.25" customHeight="1">
      <c r="A15" s="83"/>
      <c r="B15" s="23" t="s">
        <v>31</v>
      </c>
      <c r="C15" s="239">
        <v>4575</v>
      </c>
      <c r="D15" s="239">
        <v>4911</v>
      </c>
      <c r="E15" s="224">
        <v>5099</v>
      </c>
      <c r="F15" s="224">
        <v>4855</v>
      </c>
      <c r="G15" s="224">
        <v>4467</v>
      </c>
      <c r="H15" s="224">
        <v>3352</v>
      </c>
      <c r="I15" s="224">
        <v>2519</v>
      </c>
      <c r="J15" s="224">
        <v>3165</v>
      </c>
      <c r="K15" s="224">
        <v>3829</v>
      </c>
      <c r="L15" s="224">
        <v>3956</v>
      </c>
      <c r="M15" s="224">
        <v>3099</v>
      </c>
      <c r="N15" s="224">
        <v>2452</v>
      </c>
      <c r="O15" s="224">
        <v>2939</v>
      </c>
      <c r="P15" s="224">
        <v>2841</v>
      </c>
      <c r="Q15" s="224">
        <v>2831</v>
      </c>
      <c r="R15" s="224">
        <v>2694</v>
      </c>
      <c r="S15" s="224">
        <v>3031</v>
      </c>
      <c r="T15" s="224">
        <v>2849</v>
      </c>
      <c r="V15" s="90"/>
    </row>
    <row r="16" spans="1:22" ht="13.25" customHeight="1">
      <c r="A16" s="83"/>
      <c r="B16" s="23" t="s">
        <v>32</v>
      </c>
      <c r="C16" s="239">
        <v>0</v>
      </c>
      <c r="D16" s="239">
        <v>0</v>
      </c>
      <c r="E16" s="224" t="s">
        <v>240</v>
      </c>
      <c r="F16" s="224" t="s">
        <v>240</v>
      </c>
      <c r="G16" s="224" t="s">
        <v>240</v>
      </c>
      <c r="H16" s="224" t="s">
        <v>240</v>
      </c>
      <c r="I16" s="224" t="s">
        <v>240</v>
      </c>
      <c r="J16" s="224" t="s">
        <v>240</v>
      </c>
      <c r="K16" s="224" t="s">
        <v>240</v>
      </c>
      <c r="L16" s="224" t="s">
        <v>240</v>
      </c>
      <c r="M16" s="224" t="s">
        <v>240</v>
      </c>
      <c r="N16" s="224" t="s">
        <v>240</v>
      </c>
      <c r="O16" s="224" t="s">
        <v>240</v>
      </c>
      <c r="P16" s="224" t="s">
        <v>240</v>
      </c>
      <c r="Q16" s="224" t="s">
        <v>240</v>
      </c>
      <c r="R16" s="224" t="s">
        <v>240</v>
      </c>
      <c r="S16" s="224" t="s">
        <v>240</v>
      </c>
      <c r="T16" s="224" t="s">
        <v>240</v>
      </c>
      <c r="V16" s="90"/>
    </row>
    <row r="17" spans="1:22" ht="13.25" customHeight="1">
      <c r="A17" s="83"/>
      <c r="B17" s="23" t="s">
        <v>33</v>
      </c>
      <c r="C17" s="239">
        <v>0</v>
      </c>
      <c r="D17" s="239">
        <v>0</v>
      </c>
      <c r="E17" s="224" t="s">
        <v>240</v>
      </c>
      <c r="F17" s="224" t="s">
        <v>240</v>
      </c>
      <c r="G17" s="224" t="s">
        <v>240</v>
      </c>
      <c r="H17" s="224" t="s">
        <v>240</v>
      </c>
      <c r="I17" s="224">
        <v>247</v>
      </c>
      <c r="J17" s="224">
        <v>217</v>
      </c>
      <c r="K17" s="224">
        <v>586</v>
      </c>
      <c r="L17" s="224">
        <v>568</v>
      </c>
      <c r="M17" s="224">
        <v>650</v>
      </c>
      <c r="N17" s="224">
        <v>837</v>
      </c>
      <c r="O17" s="224">
        <v>978</v>
      </c>
      <c r="P17" s="224">
        <v>1137</v>
      </c>
      <c r="Q17" s="224">
        <v>1256</v>
      </c>
      <c r="R17" s="224">
        <v>1317</v>
      </c>
      <c r="S17" s="224">
        <v>1641</v>
      </c>
      <c r="T17" s="224">
        <v>1665</v>
      </c>
      <c r="V17" s="90"/>
    </row>
    <row r="18" spans="1:22" ht="13.25" customHeight="1">
      <c r="A18" s="83"/>
      <c r="B18" s="23" t="s">
        <v>34</v>
      </c>
      <c r="C18" s="239">
        <v>3119</v>
      </c>
      <c r="D18" s="239">
        <v>3180</v>
      </c>
      <c r="E18" s="224">
        <v>4917</v>
      </c>
      <c r="F18" s="224">
        <v>5641</v>
      </c>
      <c r="G18" s="224">
        <v>6186</v>
      </c>
      <c r="H18" s="224">
        <v>6174</v>
      </c>
      <c r="I18" s="224">
        <v>7044</v>
      </c>
      <c r="J18" s="224">
        <v>5939</v>
      </c>
      <c r="K18" s="224">
        <v>6102</v>
      </c>
      <c r="L18" s="224">
        <v>6687</v>
      </c>
      <c r="M18" s="224">
        <v>6847</v>
      </c>
      <c r="N18" s="224">
        <v>12923</v>
      </c>
      <c r="O18" s="224">
        <v>13273</v>
      </c>
      <c r="P18" s="224">
        <v>15428</v>
      </c>
      <c r="Q18" s="224">
        <v>15701</v>
      </c>
      <c r="R18" s="224">
        <v>16380</v>
      </c>
      <c r="S18" s="224">
        <v>17614</v>
      </c>
      <c r="T18" s="224">
        <v>17941</v>
      </c>
      <c r="V18" s="90"/>
    </row>
    <row r="19" spans="1:22" ht="13.25" customHeight="1">
      <c r="A19" s="83"/>
      <c r="B19" s="23" t="s">
        <v>35</v>
      </c>
      <c r="C19" s="239">
        <v>3360</v>
      </c>
      <c r="D19" s="239">
        <v>2740</v>
      </c>
      <c r="E19" s="224">
        <v>3035</v>
      </c>
      <c r="F19" s="224">
        <v>2989</v>
      </c>
      <c r="G19" s="224">
        <v>4024</v>
      </c>
      <c r="H19" s="224">
        <v>5036</v>
      </c>
      <c r="I19" s="224">
        <v>8817</v>
      </c>
      <c r="J19" s="224">
        <v>10245</v>
      </c>
      <c r="K19" s="224">
        <v>11050</v>
      </c>
      <c r="L19" s="224">
        <v>12225</v>
      </c>
      <c r="M19" s="224">
        <v>12240</v>
      </c>
      <c r="N19" s="224">
        <v>13619</v>
      </c>
      <c r="O19" s="224">
        <v>14982</v>
      </c>
      <c r="P19" s="224">
        <v>11575</v>
      </c>
      <c r="Q19" s="224">
        <v>12751</v>
      </c>
      <c r="R19" s="224">
        <v>11213</v>
      </c>
      <c r="S19" s="224">
        <v>12866</v>
      </c>
      <c r="T19" s="224">
        <v>14265</v>
      </c>
      <c r="V19" s="90"/>
    </row>
    <row r="20" spans="1:22" ht="13.25" customHeight="1">
      <c r="A20" s="83"/>
      <c r="B20" s="23" t="s">
        <v>36</v>
      </c>
      <c r="C20" s="239">
        <v>26885</v>
      </c>
      <c r="D20" s="239">
        <v>25401</v>
      </c>
      <c r="E20" s="224">
        <v>26263</v>
      </c>
      <c r="F20" s="224">
        <v>26101</v>
      </c>
      <c r="G20" s="224">
        <v>28126</v>
      </c>
      <c r="H20" s="224">
        <v>26254</v>
      </c>
      <c r="I20" s="224">
        <v>28424</v>
      </c>
      <c r="J20" s="224">
        <v>33367</v>
      </c>
      <c r="K20" s="224">
        <v>36809</v>
      </c>
      <c r="L20" s="224">
        <v>38518</v>
      </c>
      <c r="M20" s="224">
        <v>31243</v>
      </c>
      <c r="N20" s="224">
        <v>33803</v>
      </c>
      <c r="O20" s="224">
        <v>30246</v>
      </c>
      <c r="P20" s="224">
        <v>25355</v>
      </c>
      <c r="Q20" s="224">
        <v>22349</v>
      </c>
      <c r="R20" s="224">
        <v>20189.91</v>
      </c>
      <c r="S20" s="224">
        <v>20305</v>
      </c>
      <c r="T20" s="224">
        <v>19986</v>
      </c>
      <c r="V20" s="90"/>
    </row>
    <row r="21" spans="1:22" ht="13.25" customHeight="1">
      <c r="A21" s="83"/>
      <c r="B21" s="23" t="s">
        <v>37</v>
      </c>
      <c r="C21" s="239">
        <v>30228</v>
      </c>
      <c r="D21" s="239">
        <v>34095</v>
      </c>
      <c r="E21" s="224">
        <v>40960</v>
      </c>
      <c r="F21" s="224">
        <v>41512</v>
      </c>
      <c r="G21" s="224">
        <v>46576</v>
      </c>
      <c r="H21" s="224">
        <v>52215</v>
      </c>
      <c r="I21" s="224">
        <v>45146</v>
      </c>
      <c r="J21" s="224">
        <v>55690</v>
      </c>
      <c r="K21" s="224">
        <v>58999</v>
      </c>
      <c r="L21" s="224">
        <v>61350</v>
      </c>
      <c r="M21" s="224">
        <v>50317</v>
      </c>
      <c r="N21" s="224">
        <v>49467</v>
      </c>
      <c r="O21" s="224">
        <v>47101</v>
      </c>
      <c r="P21" s="224">
        <v>41142</v>
      </c>
      <c r="Q21" s="224">
        <v>37588</v>
      </c>
      <c r="R21" s="224">
        <v>41394</v>
      </c>
      <c r="S21" s="224">
        <v>43535</v>
      </c>
      <c r="T21" s="224">
        <v>45975</v>
      </c>
      <c r="V21" s="90"/>
    </row>
    <row r="22" spans="1:22" ht="13.25" customHeight="1">
      <c r="A22" s="83"/>
      <c r="B22" s="23" t="s">
        <v>38</v>
      </c>
      <c r="C22" s="239">
        <v>3386</v>
      </c>
      <c r="D22" s="239">
        <v>3209</v>
      </c>
      <c r="E22" s="224">
        <v>3243</v>
      </c>
      <c r="F22" s="224">
        <v>2811</v>
      </c>
      <c r="G22" s="224">
        <v>3661</v>
      </c>
      <c r="H22" s="224">
        <v>3860</v>
      </c>
      <c r="I22" s="224">
        <v>4289</v>
      </c>
      <c r="J22" s="224">
        <v>4477</v>
      </c>
      <c r="K22" s="224">
        <v>4718</v>
      </c>
      <c r="L22" s="224">
        <v>3772</v>
      </c>
      <c r="M22" s="224">
        <v>3332</v>
      </c>
      <c r="N22" s="224">
        <v>3597</v>
      </c>
      <c r="O22" s="224">
        <v>4653</v>
      </c>
      <c r="P22" s="224">
        <v>4610</v>
      </c>
      <c r="Q22" s="224">
        <v>4117</v>
      </c>
      <c r="R22" s="224">
        <v>3828</v>
      </c>
      <c r="S22" s="224">
        <v>4395</v>
      </c>
      <c r="T22" s="224">
        <v>4667</v>
      </c>
      <c r="V22" s="90"/>
    </row>
    <row r="23" spans="1:22" ht="13.25" customHeight="1">
      <c r="A23" s="83"/>
      <c r="B23" s="23" t="s">
        <v>39</v>
      </c>
      <c r="C23" s="239">
        <v>6513</v>
      </c>
      <c r="D23" s="239">
        <v>6426</v>
      </c>
      <c r="E23" s="224">
        <v>5465</v>
      </c>
      <c r="F23" s="224">
        <v>5332</v>
      </c>
      <c r="G23" s="224">
        <v>5427</v>
      </c>
      <c r="H23" s="224">
        <v>5516</v>
      </c>
      <c r="I23" s="224">
        <v>5337</v>
      </c>
      <c r="J23" s="224">
        <v>5567</v>
      </c>
      <c r="K23" s="224">
        <v>5493</v>
      </c>
      <c r="L23" s="224">
        <v>5874</v>
      </c>
      <c r="M23" s="224">
        <v>5907</v>
      </c>
      <c r="N23" s="224">
        <v>6258</v>
      </c>
      <c r="O23" s="224">
        <v>6322</v>
      </c>
      <c r="P23" s="224">
        <v>7332</v>
      </c>
      <c r="Q23" s="224">
        <v>7956</v>
      </c>
      <c r="R23" s="224">
        <v>8252</v>
      </c>
      <c r="S23" s="224">
        <v>8516</v>
      </c>
      <c r="T23" s="224">
        <v>8763</v>
      </c>
      <c r="V23" s="90"/>
    </row>
    <row r="24" spans="1:22" ht="13.25" customHeight="1">
      <c r="A24" s="83"/>
      <c r="B24" s="23" t="s">
        <v>40</v>
      </c>
      <c r="C24" s="239">
        <v>19912</v>
      </c>
      <c r="D24" s="239">
        <v>16481</v>
      </c>
      <c r="E24" s="224">
        <v>19620</v>
      </c>
      <c r="F24" s="224">
        <v>21273</v>
      </c>
      <c r="G24" s="224">
        <v>22465</v>
      </c>
      <c r="H24" s="224">
        <v>22429</v>
      </c>
      <c r="I24" s="224">
        <v>22306</v>
      </c>
      <c r="J24" s="224">
        <v>23382</v>
      </c>
      <c r="K24" s="224">
        <v>22130</v>
      </c>
      <c r="L24" s="224">
        <v>28373</v>
      </c>
      <c r="M24" s="224">
        <v>30588</v>
      </c>
      <c r="N24" s="224">
        <v>36425</v>
      </c>
      <c r="O24" s="224">
        <v>42540</v>
      </c>
      <c r="P24" s="224">
        <v>41197</v>
      </c>
      <c r="Q24" s="224">
        <v>44781</v>
      </c>
      <c r="R24" s="224">
        <v>35844</v>
      </c>
      <c r="S24" s="224">
        <v>30611</v>
      </c>
      <c r="T24" s="224">
        <v>33353.1</v>
      </c>
      <c r="V24" s="90"/>
    </row>
    <row r="25" spans="1:22" ht="13.25" customHeight="1">
      <c r="A25" s="83"/>
      <c r="B25" s="23" t="s">
        <v>41</v>
      </c>
      <c r="C25" s="239">
        <v>16330</v>
      </c>
      <c r="D25" s="239">
        <v>16943</v>
      </c>
      <c r="E25" s="224">
        <v>17667</v>
      </c>
      <c r="F25" s="224">
        <v>17727</v>
      </c>
      <c r="G25" s="224">
        <v>17528</v>
      </c>
      <c r="H25" s="224">
        <v>17350</v>
      </c>
      <c r="I25" s="224">
        <v>16583</v>
      </c>
      <c r="J25" s="224">
        <v>23290</v>
      </c>
      <c r="K25" s="224">
        <v>23047</v>
      </c>
      <c r="L25" s="224">
        <v>22308</v>
      </c>
      <c r="M25" s="224">
        <v>22227</v>
      </c>
      <c r="N25" s="224">
        <v>22667</v>
      </c>
      <c r="O25" s="224">
        <v>22936</v>
      </c>
      <c r="P25" s="224">
        <v>22643</v>
      </c>
      <c r="Q25" s="224">
        <v>22860</v>
      </c>
      <c r="R25" s="224">
        <v>22604.524999999998</v>
      </c>
      <c r="S25" s="224">
        <v>21097.4</v>
      </c>
      <c r="T25" s="224">
        <v>20060</v>
      </c>
      <c r="V25" s="90"/>
    </row>
    <row r="26" spans="1:22" ht="13.25" customHeight="1">
      <c r="A26" s="83"/>
      <c r="B26" s="23" t="s">
        <v>44</v>
      </c>
      <c r="C26" s="239">
        <v>31443</v>
      </c>
      <c r="D26" s="239">
        <v>36943</v>
      </c>
      <c r="E26" s="224">
        <v>43939</v>
      </c>
      <c r="F26" s="224">
        <v>48125</v>
      </c>
      <c r="G26" s="224">
        <v>52407</v>
      </c>
      <c r="H26" s="224">
        <v>61574</v>
      </c>
      <c r="I26" s="224">
        <v>72446</v>
      </c>
      <c r="J26" s="224">
        <v>79000</v>
      </c>
      <c r="K26" s="224">
        <v>74600</v>
      </c>
      <c r="L26" s="224">
        <v>77081</v>
      </c>
      <c r="M26" s="224">
        <v>81857</v>
      </c>
      <c r="N26" s="224">
        <v>83728</v>
      </c>
      <c r="O26" s="224">
        <v>83906</v>
      </c>
      <c r="P26" s="224">
        <v>85680</v>
      </c>
      <c r="Q26" s="224">
        <v>90127</v>
      </c>
      <c r="R26" s="224">
        <v>89538</v>
      </c>
      <c r="S26" s="224">
        <v>94213</v>
      </c>
      <c r="T26" s="224">
        <v>95074</v>
      </c>
      <c r="V26" s="90"/>
    </row>
    <row r="27" spans="1:22" ht="13.25" customHeight="1">
      <c r="A27" s="83"/>
      <c r="B27" s="23" t="s">
        <v>45</v>
      </c>
      <c r="C27" s="239">
        <v>175100</v>
      </c>
      <c r="D27" s="239">
        <v>179170</v>
      </c>
      <c r="E27" s="224">
        <v>184020</v>
      </c>
      <c r="F27" s="224">
        <v>188485</v>
      </c>
      <c r="G27" s="224">
        <v>196200</v>
      </c>
      <c r="H27" s="224">
        <v>205450</v>
      </c>
      <c r="I27" s="224">
        <v>209920</v>
      </c>
      <c r="J27" s="224">
        <v>210202</v>
      </c>
      <c r="K27" s="224">
        <v>214910</v>
      </c>
      <c r="L27" s="224">
        <v>219895</v>
      </c>
      <c r="M27" s="224">
        <v>196647</v>
      </c>
      <c r="N27" s="224">
        <v>207168</v>
      </c>
      <c r="O27" s="224">
        <v>207665</v>
      </c>
      <c r="P27" s="224">
        <v>209884</v>
      </c>
      <c r="Q27" s="224">
        <v>209199</v>
      </c>
      <c r="R27" s="224">
        <v>209190</v>
      </c>
      <c r="S27" s="224">
        <v>209955</v>
      </c>
      <c r="T27" s="224">
        <v>209810</v>
      </c>
      <c r="V27" s="90"/>
    </row>
    <row r="28" spans="1:22" ht="13.25" customHeight="1">
      <c r="A28" s="83"/>
      <c r="B28" s="82" t="s">
        <v>46</v>
      </c>
      <c r="C28" s="239">
        <v>0</v>
      </c>
      <c r="D28" s="239">
        <v>0</v>
      </c>
      <c r="E28" s="224" t="s">
        <v>240</v>
      </c>
      <c r="F28" s="224" t="s">
        <v>240</v>
      </c>
      <c r="G28" s="224" t="s">
        <v>240</v>
      </c>
      <c r="H28" s="224" t="s">
        <v>240</v>
      </c>
      <c r="I28" s="224" t="s">
        <v>240</v>
      </c>
      <c r="J28" s="224" t="s">
        <v>240</v>
      </c>
      <c r="K28" s="224" t="s">
        <v>240</v>
      </c>
      <c r="L28" s="224" t="s">
        <v>240</v>
      </c>
      <c r="M28" s="224" t="s">
        <v>240</v>
      </c>
      <c r="N28" s="224" t="s">
        <v>240</v>
      </c>
      <c r="O28" s="224" t="s">
        <v>240</v>
      </c>
      <c r="P28" s="224" t="s">
        <v>240</v>
      </c>
      <c r="Q28" s="224" t="s">
        <v>240</v>
      </c>
      <c r="R28" s="224" t="s">
        <v>240</v>
      </c>
      <c r="S28" s="224" t="s">
        <v>240</v>
      </c>
      <c r="T28" s="224" t="s">
        <v>240</v>
      </c>
      <c r="V28" s="90"/>
    </row>
    <row r="29" spans="1:22" ht="13.25" customHeight="1">
      <c r="A29" s="83"/>
      <c r="B29" s="23" t="s">
        <v>47</v>
      </c>
      <c r="C29" s="239">
        <v>0</v>
      </c>
      <c r="D29" s="239">
        <v>0</v>
      </c>
      <c r="E29" s="224" t="s">
        <v>240</v>
      </c>
      <c r="F29" s="224" t="s">
        <v>240</v>
      </c>
      <c r="G29" s="224" t="s">
        <v>240</v>
      </c>
      <c r="H29" s="224" t="s">
        <v>240</v>
      </c>
      <c r="I29" s="224" t="s">
        <v>240</v>
      </c>
      <c r="J29" s="224" t="s">
        <v>240</v>
      </c>
      <c r="K29" s="224" t="s">
        <v>240</v>
      </c>
      <c r="L29" s="224" t="s">
        <v>240</v>
      </c>
      <c r="M29" s="224" t="s">
        <v>240</v>
      </c>
      <c r="N29" s="224" t="s">
        <v>240</v>
      </c>
      <c r="O29" s="224" t="s">
        <v>240</v>
      </c>
      <c r="P29" s="224" t="s">
        <v>240</v>
      </c>
      <c r="Q29" s="224" t="s">
        <v>240</v>
      </c>
      <c r="R29" s="224" t="s">
        <v>240</v>
      </c>
      <c r="S29" s="224" t="s">
        <v>240</v>
      </c>
      <c r="T29" s="224" t="s">
        <v>240</v>
      </c>
      <c r="V29" s="90"/>
    </row>
    <row r="30" spans="1:22" ht="13.25" customHeight="1">
      <c r="A30" s="83"/>
      <c r="B30" s="23" t="s">
        <v>48</v>
      </c>
      <c r="C30" s="239">
        <v>0</v>
      </c>
      <c r="D30" s="239">
        <v>0</v>
      </c>
      <c r="E30" s="224" t="s">
        <v>240</v>
      </c>
      <c r="F30" s="224" t="s">
        <v>240</v>
      </c>
      <c r="G30" s="224" t="s">
        <v>240</v>
      </c>
      <c r="H30" s="224" t="s">
        <v>240</v>
      </c>
      <c r="I30" s="224" t="s">
        <v>240</v>
      </c>
      <c r="J30" s="224" t="s">
        <v>240</v>
      </c>
      <c r="K30" s="224" t="s">
        <v>240</v>
      </c>
      <c r="L30" s="224" t="s">
        <v>240</v>
      </c>
      <c r="M30" s="224" t="s">
        <v>240</v>
      </c>
      <c r="N30" s="224" t="s">
        <v>240</v>
      </c>
      <c r="O30" s="224" t="s">
        <v>240</v>
      </c>
      <c r="P30" s="224" t="s">
        <v>240</v>
      </c>
      <c r="Q30" s="224" t="s">
        <v>240</v>
      </c>
      <c r="R30" s="224" t="s">
        <v>240</v>
      </c>
      <c r="S30" s="224" t="s">
        <v>240</v>
      </c>
      <c r="T30" s="224" t="s">
        <v>240</v>
      </c>
      <c r="V30" s="90"/>
    </row>
    <row r="31" spans="1:22" ht="13.25" customHeight="1" thickBot="1">
      <c r="A31" s="88"/>
      <c r="B31" s="577" t="s">
        <v>49</v>
      </c>
      <c r="C31" s="580">
        <v>0</v>
      </c>
      <c r="D31" s="580">
        <v>0</v>
      </c>
      <c r="E31" s="582" t="s">
        <v>240</v>
      </c>
      <c r="F31" s="582" t="s">
        <v>240</v>
      </c>
      <c r="G31" s="582" t="s">
        <v>240</v>
      </c>
      <c r="H31" s="582" t="s">
        <v>240</v>
      </c>
      <c r="I31" s="582" t="s">
        <v>240</v>
      </c>
      <c r="J31" s="582" t="s">
        <v>240</v>
      </c>
      <c r="K31" s="582" t="s">
        <v>240</v>
      </c>
      <c r="L31" s="582" t="s">
        <v>240</v>
      </c>
      <c r="M31" s="582" t="s">
        <v>240</v>
      </c>
      <c r="N31" s="582" t="s">
        <v>240</v>
      </c>
      <c r="O31" s="582" t="s">
        <v>240</v>
      </c>
      <c r="P31" s="582" t="s">
        <v>240</v>
      </c>
      <c r="Q31" s="582" t="s">
        <v>240</v>
      </c>
      <c r="R31" s="582" t="s">
        <v>240</v>
      </c>
      <c r="S31" s="582" t="s">
        <v>240</v>
      </c>
      <c r="T31" s="582" t="s">
        <v>240</v>
      </c>
      <c r="V31" s="90"/>
    </row>
    <row r="32" spans="1:22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7"/>
      <c r="Q33" s="227"/>
      <c r="R33" s="227"/>
      <c r="S33" s="227"/>
      <c r="T33" s="227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M35" s="84"/>
      <c r="N35" s="84"/>
      <c r="O35" s="84"/>
      <c r="P35" s="84"/>
      <c r="Q35" s="84"/>
      <c r="R35" s="84"/>
      <c r="S35" s="84"/>
      <c r="T35" s="84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84"/>
      <c r="N36" s="84"/>
      <c r="O36" s="84"/>
      <c r="P36" s="84"/>
      <c r="Q36" s="84"/>
      <c r="R36" s="84"/>
      <c r="S36" s="84"/>
      <c r="T36" s="84"/>
    </row>
    <row r="37" spans="1:20" ht="13.25" customHeight="1">
      <c r="M37" s="84"/>
      <c r="N37" s="84"/>
      <c r="O37" s="84"/>
      <c r="P37" s="84"/>
      <c r="Q37" s="84"/>
      <c r="R37" s="84"/>
      <c r="S37" s="84"/>
      <c r="T37" s="84"/>
    </row>
    <row r="38" spans="1:20" ht="13.25" customHeight="1">
      <c r="M38" s="84"/>
      <c r="N38" s="84"/>
      <c r="O38" s="84"/>
      <c r="P38" s="84"/>
      <c r="Q38" s="84"/>
      <c r="R38" s="84"/>
      <c r="S38" s="84"/>
      <c r="T38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9">
    <tabColor theme="9" tint="0.59999389629810485"/>
  </sheetPr>
  <dimension ref="A2:T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8.19921875" style="82" customWidth="1"/>
    <col min="22" max="16384" width="7" style="82"/>
  </cols>
  <sheetData>
    <row r="2" spans="1:20" ht="13.25" customHeight="1">
      <c r="A2" s="230" t="s">
        <v>512</v>
      </c>
      <c r="B2" s="231"/>
    </row>
    <row r="3" spans="1:20" ht="13.25" customHeight="1">
      <c r="A3" s="232" t="s">
        <v>236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352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96</v>
      </c>
      <c r="B6" s="963"/>
      <c r="C6" s="572">
        <f>(C8+C9+C10+C11+C12+C13+C14+C15+C16+C17+C18+C19+C20+C21+C22+C23+C24+C25+C26+C27+C28+C29+C30+C31)</f>
        <v>8671</v>
      </c>
      <c r="D6" s="572">
        <f>(D8+D9+D10+D11+D12+D13+D14+D15+D16+D17+D18+D19+D20+D21+D22+D23+D24+D25+D26+D27+D28+D29+D30+D31)</f>
        <v>8794</v>
      </c>
      <c r="E6" s="574">
        <v>9366</v>
      </c>
      <c r="F6" s="574">
        <v>9527</v>
      </c>
      <c r="G6" s="574">
        <v>10189</v>
      </c>
      <c r="H6" s="574">
        <v>10761</v>
      </c>
      <c r="I6" s="574">
        <v>11318</v>
      </c>
      <c r="J6" s="574">
        <v>11999</v>
      </c>
      <c r="K6" s="574">
        <v>12169</v>
      </c>
      <c r="L6" s="574">
        <v>12594</v>
      </c>
      <c r="M6" s="574">
        <v>11917</v>
      </c>
      <c r="N6" s="574">
        <v>12445</v>
      </c>
      <c r="O6" s="574">
        <v>12747</v>
      </c>
      <c r="P6" s="574">
        <v>12689</v>
      </c>
      <c r="Q6" s="574">
        <f>SUM(Q11:Q31)</f>
        <v>12579</v>
      </c>
      <c r="R6" s="574">
        <f>SUM(R11:R31)</f>
        <v>12362.699999999999</v>
      </c>
      <c r="S6" s="574">
        <f>SUM(S11:S31)</f>
        <v>12581.2</v>
      </c>
      <c r="T6" s="574">
        <f>SUM(T11:T31)</f>
        <v>12753.5</v>
      </c>
    </row>
    <row r="7" spans="1:20" ht="3" customHeight="1">
      <c r="A7" s="83"/>
      <c r="B7" s="84"/>
      <c r="C7" s="235"/>
      <c r="D7" s="235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0" ht="13.25" customHeight="1">
      <c r="A8" s="83"/>
      <c r="B8" s="23" t="s">
        <v>21</v>
      </c>
      <c r="C8" s="240">
        <v>0</v>
      </c>
      <c r="D8" s="240">
        <v>0</v>
      </c>
      <c r="E8" s="224" t="s">
        <v>239</v>
      </c>
      <c r="F8" s="224" t="s">
        <v>239</v>
      </c>
      <c r="G8" s="224" t="s">
        <v>239</v>
      </c>
      <c r="H8" s="224" t="s">
        <v>239</v>
      </c>
      <c r="I8" s="224" t="s">
        <v>239</v>
      </c>
      <c r="J8" s="224" t="s">
        <v>239</v>
      </c>
      <c r="K8" s="224" t="s">
        <v>239</v>
      </c>
      <c r="L8" s="224" t="s">
        <v>239</v>
      </c>
      <c r="M8" s="224" t="s">
        <v>239</v>
      </c>
      <c r="N8" s="224" t="s">
        <v>239</v>
      </c>
      <c r="O8" s="224" t="s">
        <v>239</v>
      </c>
      <c r="P8" s="224" t="s">
        <v>239</v>
      </c>
      <c r="Q8" s="224" t="s">
        <v>239</v>
      </c>
      <c r="R8" s="224" t="s">
        <v>239</v>
      </c>
      <c r="S8" s="224" t="s">
        <v>239</v>
      </c>
      <c r="T8" s="224" t="s">
        <v>239</v>
      </c>
    </row>
    <row r="9" spans="1:20" ht="13.25" customHeight="1">
      <c r="A9" s="83"/>
      <c r="B9" s="23" t="s">
        <v>22</v>
      </c>
      <c r="C9" s="240">
        <v>0</v>
      </c>
      <c r="D9" s="240">
        <v>0</v>
      </c>
      <c r="E9" s="224" t="s">
        <v>239</v>
      </c>
      <c r="F9" s="224" t="s">
        <v>239</v>
      </c>
      <c r="G9" s="224" t="s">
        <v>239</v>
      </c>
      <c r="H9" s="224" t="s">
        <v>239</v>
      </c>
      <c r="I9" s="224" t="s">
        <v>239</v>
      </c>
      <c r="J9" s="224" t="s">
        <v>239</v>
      </c>
      <c r="K9" s="224" t="s">
        <v>239</v>
      </c>
      <c r="L9" s="224" t="s">
        <v>239</v>
      </c>
      <c r="M9" s="224" t="s">
        <v>239</v>
      </c>
      <c r="N9" s="224" t="s">
        <v>239</v>
      </c>
      <c r="O9" s="224" t="s">
        <v>239</v>
      </c>
      <c r="P9" s="224" t="s">
        <v>239</v>
      </c>
      <c r="Q9" s="224" t="s">
        <v>239</v>
      </c>
      <c r="R9" s="224" t="s">
        <v>239</v>
      </c>
      <c r="S9" s="224" t="s">
        <v>239</v>
      </c>
      <c r="T9" s="224" t="s">
        <v>239</v>
      </c>
    </row>
    <row r="10" spans="1:20" ht="13.25" customHeight="1">
      <c r="A10" s="83"/>
      <c r="B10" s="23" t="s">
        <v>23</v>
      </c>
      <c r="C10" s="240">
        <v>0</v>
      </c>
      <c r="D10" s="240">
        <v>0</v>
      </c>
      <c r="E10" s="224" t="s">
        <v>239</v>
      </c>
      <c r="F10" s="224" t="s">
        <v>239</v>
      </c>
      <c r="G10" s="224" t="s">
        <v>239</v>
      </c>
      <c r="H10" s="224" t="s">
        <v>239</v>
      </c>
      <c r="I10" s="224" t="s">
        <v>239</v>
      </c>
      <c r="J10" s="224" t="s">
        <v>239</v>
      </c>
      <c r="K10" s="224" t="s">
        <v>239</v>
      </c>
      <c r="L10" s="224" t="s">
        <v>239</v>
      </c>
      <c r="M10" s="224" t="s">
        <v>239</v>
      </c>
      <c r="N10" s="224" t="s">
        <v>239</v>
      </c>
      <c r="O10" s="224" t="s">
        <v>239</v>
      </c>
      <c r="P10" s="224" t="s">
        <v>239</v>
      </c>
      <c r="Q10" s="224" t="s">
        <v>239</v>
      </c>
      <c r="R10" s="224" t="s">
        <v>239</v>
      </c>
      <c r="S10" s="224" t="s">
        <v>239</v>
      </c>
      <c r="T10" s="224" t="s">
        <v>239</v>
      </c>
    </row>
    <row r="11" spans="1:20" ht="13.25" customHeight="1">
      <c r="A11" s="83"/>
      <c r="B11" s="23" t="s">
        <v>24</v>
      </c>
      <c r="C11" s="240">
        <v>5</v>
      </c>
      <c r="D11" s="240">
        <v>6</v>
      </c>
      <c r="E11" s="224">
        <v>9</v>
      </c>
      <c r="F11" s="224">
        <v>11</v>
      </c>
      <c r="G11" s="224">
        <v>11</v>
      </c>
      <c r="H11" s="224">
        <v>14</v>
      </c>
      <c r="I11" s="224">
        <v>17</v>
      </c>
      <c r="J11" s="224">
        <v>22</v>
      </c>
      <c r="K11" s="224">
        <v>21</v>
      </c>
      <c r="L11" s="224">
        <v>25</v>
      </c>
      <c r="M11" s="224">
        <v>27</v>
      </c>
      <c r="N11" s="224">
        <v>29</v>
      </c>
      <c r="O11" s="224">
        <v>35</v>
      </c>
      <c r="P11" s="224">
        <v>39</v>
      </c>
      <c r="Q11" s="224">
        <v>43</v>
      </c>
      <c r="R11" s="224">
        <v>43.4</v>
      </c>
      <c r="S11" s="224">
        <v>44</v>
      </c>
      <c r="T11" s="224">
        <v>41.4</v>
      </c>
    </row>
    <row r="12" spans="1:20" ht="13.25" customHeight="1">
      <c r="A12" s="83"/>
      <c r="B12" s="23" t="s">
        <v>25</v>
      </c>
      <c r="C12" s="240">
        <v>0</v>
      </c>
      <c r="D12" s="240">
        <v>0</v>
      </c>
      <c r="E12" s="224" t="s">
        <v>239</v>
      </c>
      <c r="F12" s="224" t="s">
        <v>239</v>
      </c>
      <c r="G12" s="224" t="s">
        <v>239</v>
      </c>
      <c r="H12" s="224" t="s">
        <v>239</v>
      </c>
      <c r="I12" s="224" t="s">
        <v>239</v>
      </c>
      <c r="J12" s="224" t="s">
        <v>239</v>
      </c>
      <c r="K12" s="224" t="s">
        <v>239</v>
      </c>
      <c r="L12" s="224" t="s">
        <v>239</v>
      </c>
      <c r="M12" s="224" t="s">
        <v>239</v>
      </c>
      <c r="N12" s="224" t="s">
        <v>239</v>
      </c>
      <c r="O12" s="224" t="s">
        <v>239</v>
      </c>
      <c r="P12" s="224" t="s">
        <v>239</v>
      </c>
      <c r="Q12" s="224" t="s">
        <v>239</v>
      </c>
      <c r="R12" s="224" t="s">
        <v>239</v>
      </c>
      <c r="S12" s="224" t="s">
        <v>239</v>
      </c>
      <c r="T12" s="224" t="s">
        <v>239</v>
      </c>
    </row>
    <row r="13" spans="1:20" ht="13.25" customHeight="1">
      <c r="A13" s="83"/>
      <c r="B13" s="23" t="s">
        <v>29</v>
      </c>
      <c r="C13" s="240">
        <v>0</v>
      </c>
      <c r="D13" s="240">
        <v>0</v>
      </c>
      <c r="E13" s="224" t="s">
        <v>239</v>
      </c>
      <c r="F13" s="224" t="s">
        <v>239</v>
      </c>
      <c r="G13" s="224" t="s">
        <v>239</v>
      </c>
      <c r="H13" s="224" t="s">
        <v>239</v>
      </c>
      <c r="I13" s="224" t="s">
        <v>239</v>
      </c>
      <c r="J13" s="224" t="s">
        <v>239</v>
      </c>
      <c r="K13" s="224" t="s">
        <v>239</v>
      </c>
      <c r="L13" s="224" t="s">
        <v>239</v>
      </c>
      <c r="M13" s="224" t="s">
        <v>239</v>
      </c>
      <c r="N13" s="224" t="s">
        <v>239</v>
      </c>
      <c r="O13" s="224" t="s">
        <v>239</v>
      </c>
      <c r="P13" s="224" t="s">
        <v>239</v>
      </c>
      <c r="Q13" s="224" t="s">
        <v>239</v>
      </c>
      <c r="R13" s="224" t="s">
        <v>239</v>
      </c>
      <c r="S13" s="224" t="s">
        <v>239</v>
      </c>
      <c r="T13" s="224" t="s">
        <v>239</v>
      </c>
    </row>
    <row r="14" spans="1:20" ht="13.25" customHeight="1">
      <c r="A14" s="83"/>
      <c r="B14" s="23" t="s">
        <v>30</v>
      </c>
      <c r="C14" s="240">
        <v>13</v>
      </c>
      <c r="D14" s="240">
        <v>11</v>
      </c>
      <c r="E14" s="224">
        <v>18</v>
      </c>
      <c r="F14" s="224">
        <v>11</v>
      </c>
      <c r="G14" s="224">
        <v>13</v>
      </c>
      <c r="H14" s="224">
        <v>11</v>
      </c>
      <c r="I14" s="224">
        <v>10</v>
      </c>
      <c r="J14" s="224">
        <v>7</v>
      </c>
      <c r="K14" s="224">
        <v>10</v>
      </c>
      <c r="L14" s="224">
        <v>10</v>
      </c>
      <c r="M14" s="224">
        <v>10</v>
      </c>
      <c r="N14" s="224">
        <v>7</v>
      </c>
      <c r="O14" s="224">
        <v>10</v>
      </c>
      <c r="P14" s="224">
        <v>11</v>
      </c>
      <c r="Q14" s="224">
        <v>11</v>
      </c>
      <c r="R14" s="224">
        <v>10</v>
      </c>
      <c r="S14" s="224">
        <v>12.3</v>
      </c>
      <c r="T14" s="224">
        <v>12.3</v>
      </c>
    </row>
    <row r="15" spans="1:20" ht="13.25" customHeight="1">
      <c r="A15" s="83"/>
      <c r="B15" s="23" t="s">
        <v>31</v>
      </c>
      <c r="C15" s="240">
        <v>138</v>
      </c>
      <c r="D15" s="240">
        <v>145</v>
      </c>
      <c r="E15" s="224">
        <v>152</v>
      </c>
      <c r="F15" s="224">
        <v>144</v>
      </c>
      <c r="G15" s="224">
        <v>129</v>
      </c>
      <c r="H15" s="224">
        <v>102</v>
      </c>
      <c r="I15" s="224">
        <v>81</v>
      </c>
      <c r="J15" s="224">
        <v>94</v>
      </c>
      <c r="K15" s="224">
        <v>119</v>
      </c>
      <c r="L15" s="224">
        <v>124</v>
      </c>
      <c r="M15" s="224">
        <v>100</v>
      </c>
      <c r="N15" s="224">
        <v>71</v>
      </c>
      <c r="O15" s="224">
        <v>80</v>
      </c>
      <c r="P15" s="224">
        <v>76</v>
      </c>
      <c r="Q15" s="224">
        <v>76</v>
      </c>
      <c r="R15" s="224">
        <v>73.5</v>
      </c>
      <c r="S15" s="224">
        <v>88.7</v>
      </c>
      <c r="T15" s="224">
        <v>79.5</v>
      </c>
    </row>
    <row r="16" spans="1:20" ht="13.25" customHeight="1">
      <c r="A16" s="83"/>
      <c r="B16" s="23" t="s">
        <v>32</v>
      </c>
      <c r="C16" s="240">
        <v>0</v>
      </c>
      <c r="D16" s="240">
        <v>0</v>
      </c>
      <c r="E16" s="224" t="s">
        <v>239</v>
      </c>
      <c r="F16" s="224" t="s">
        <v>239</v>
      </c>
      <c r="G16" s="224" t="s">
        <v>239</v>
      </c>
      <c r="H16" s="224" t="s">
        <v>239</v>
      </c>
      <c r="I16" s="224" t="s">
        <v>239</v>
      </c>
      <c r="J16" s="224" t="s">
        <v>239</v>
      </c>
      <c r="K16" s="224" t="s">
        <v>239</v>
      </c>
      <c r="L16" s="224" t="s">
        <v>239</v>
      </c>
      <c r="M16" s="224" t="s">
        <v>239</v>
      </c>
      <c r="N16" s="224" t="s">
        <v>239</v>
      </c>
      <c r="O16" s="224" t="s">
        <v>239</v>
      </c>
      <c r="P16" s="224" t="s">
        <v>239</v>
      </c>
      <c r="Q16" s="224" t="s">
        <v>239</v>
      </c>
      <c r="R16" s="224" t="s">
        <v>239</v>
      </c>
      <c r="S16" s="224" t="s">
        <v>239</v>
      </c>
      <c r="T16" s="224" t="s">
        <v>239</v>
      </c>
    </row>
    <row r="17" spans="1:20" ht="13.25" customHeight="1">
      <c r="A17" s="83"/>
      <c r="B17" s="23" t="s">
        <v>33</v>
      </c>
      <c r="C17" s="240">
        <v>0</v>
      </c>
      <c r="D17" s="240">
        <v>0</v>
      </c>
      <c r="E17" s="224" t="s">
        <v>239</v>
      </c>
      <c r="F17" s="224" t="s">
        <v>239</v>
      </c>
      <c r="G17" s="224" t="s">
        <v>239</v>
      </c>
      <c r="H17" s="224" t="s">
        <v>239</v>
      </c>
      <c r="I17" s="224">
        <v>5</v>
      </c>
      <c r="J17" s="224">
        <v>5</v>
      </c>
      <c r="K17" s="224">
        <v>16</v>
      </c>
      <c r="L17" s="224">
        <v>16</v>
      </c>
      <c r="M17" s="224">
        <v>19</v>
      </c>
      <c r="N17" s="224">
        <v>22</v>
      </c>
      <c r="O17" s="224">
        <v>26</v>
      </c>
      <c r="P17" s="224">
        <v>34</v>
      </c>
      <c r="Q17" s="224">
        <v>34</v>
      </c>
      <c r="R17" s="224">
        <v>34.700000000000003</v>
      </c>
      <c r="S17" s="224">
        <v>42.7</v>
      </c>
      <c r="T17" s="224">
        <v>41.9</v>
      </c>
    </row>
    <row r="18" spans="1:20" ht="13.25" customHeight="1">
      <c r="A18" s="83"/>
      <c r="B18" s="23" t="s">
        <v>34</v>
      </c>
      <c r="C18" s="240">
        <v>97</v>
      </c>
      <c r="D18" s="240">
        <v>93</v>
      </c>
      <c r="E18" s="224">
        <v>137</v>
      </c>
      <c r="F18" s="224">
        <v>141</v>
      </c>
      <c r="G18" s="224">
        <v>160</v>
      </c>
      <c r="H18" s="224">
        <v>153</v>
      </c>
      <c r="I18" s="224">
        <v>171</v>
      </c>
      <c r="J18" s="224">
        <v>146</v>
      </c>
      <c r="K18" s="224">
        <v>149</v>
      </c>
      <c r="L18" s="224">
        <v>162</v>
      </c>
      <c r="M18" s="224">
        <v>173</v>
      </c>
      <c r="N18" s="224">
        <v>312</v>
      </c>
      <c r="O18" s="224">
        <v>321</v>
      </c>
      <c r="P18" s="224">
        <v>361</v>
      </c>
      <c r="Q18" s="224">
        <v>361</v>
      </c>
      <c r="R18" s="224">
        <v>358.7</v>
      </c>
      <c r="S18" s="224">
        <v>404.7</v>
      </c>
      <c r="T18" s="224">
        <v>406.2</v>
      </c>
    </row>
    <row r="19" spans="1:20" ht="13.25" customHeight="1">
      <c r="A19" s="83"/>
      <c r="B19" s="23" t="s">
        <v>35</v>
      </c>
      <c r="C19" s="240">
        <v>94</v>
      </c>
      <c r="D19" s="240">
        <v>77</v>
      </c>
      <c r="E19" s="224">
        <v>86</v>
      </c>
      <c r="F19" s="224">
        <v>81</v>
      </c>
      <c r="G19" s="224">
        <v>90</v>
      </c>
      <c r="H19" s="224">
        <v>110</v>
      </c>
      <c r="I19" s="224">
        <v>196</v>
      </c>
      <c r="J19" s="224">
        <v>228</v>
      </c>
      <c r="K19" s="224">
        <v>242</v>
      </c>
      <c r="L19" s="224">
        <v>265</v>
      </c>
      <c r="M19" s="224">
        <v>264</v>
      </c>
      <c r="N19" s="224">
        <v>290</v>
      </c>
      <c r="O19" s="224">
        <v>321</v>
      </c>
      <c r="P19" s="224">
        <v>281</v>
      </c>
      <c r="Q19" s="224">
        <v>281</v>
      </c>
      <c r="R19" s="224">
        <v>251</v>
      </c>
      <c r="S19" s="224">
        <v>290</v>
      </c>
      <c r="T19" s="224">
        <v>319.10000000000002</v>
      </c>
    </row>
    <row r="20" spans="1:20" ht="13.25" customHeight="1">
      <c r="A20" s="83"/>
      <c r="B20" s="23" t="s">
        <v>36</v>
      </c>
      <c r="C20" s="240">
        <v>694</v>
      </c>
      <c r="D20" s="240">
        <v>654</v>
      </c>
      <c r="E20" s="224">
        <v>676</v>
      </c>
      <c r="F20" s="224">
        <v>660</v>
      </c>
      <c r="G20" s="224">
        <v>702</v>
      </c>
      <c r="H20" s="224">
        <v>677</v>
      </c>
      <c r="I20" s="224">
        <v>831</v>
      </c>
      <c r="J20" s="224">
        <v>864</v>
      </c>
      <c r="K20" s="224">
        <v>934</v>
      </c>
      <c r="L20" s="224">
        <v>954</v>
      </c>
      <c r="M20" s="224">
        <v>831</v>
      </c>
      <c r="N20" s="224">
        <v>781</v>
      </c>
      <c r="O20" s="224">
        <v>783</v>
      </c>
      <c r="P20" s="224">
        <v>564</v>
      </c>
      <c r="Q20" s="224">
        <v>564</v>
      </c>
      <c r="R20" s="224">
        <v>524.9</v>
      </c>
      <c r="S20" s="224">
        <v>525.6</v>
      </c>
      <c r="T20" s="224">
        <v>514.4</v>
      </c>
    </row>
    <row r="21" spans="1:20" ht="13.25" customHeight="1">
      <c r="A21" s="83"/>
      <c r="B21" s="23" t="s">
        <v>37</v>
      </c>
      <c r="C21" s="240">
        <v>843</v>
      </c>
      <c r="D21" s="240">
        <v>916</v>
      </c>
      <c r="E21" s="224">
        <v>996</v>
      </c>
      <c r="F21" s="224">
        <v>1005</v>
      </c>
      <c r="G21" s="224">
        <v>1196</v>
      </c>
      <c r="H21" s="224">
        <v>1287</v>
      </c>
      <c r="I21" s="224">
        <v>1294</v>
      </c>
      <c r="J21" s="224">
        <v>1389</v>
      </c>
      <c r="K21" s="224">
        <v>1439</v>
      </c>
      <c r="L21" s="224">
        <v>1529</v>
      </c>
      <c r="M21" s="224">
        <v>1233</v>
      </c>
      <c r="N21" s="224">
        <v>1209</v>
      </c>
      <c r="O21" s="224">
        <v>1189</v>
      </c>
      <c r="P21" s="224">
        <v>926</v>
      </c>
      <c r="Q21" s="224">
        <v>926</v>
      </c>
      <c r="R21" s="224">
        <v>1016.2</v>
      </c>
      <c r="S21" s="224">
        <v>1067.5</v>
      </c>
      <c r="T21" s="224">
        <v>1127.5</v>
      </c>
    </row>
    <row r="22" spans="1:20" ht="13.25" customHeight="1">
      <c r="A22" s="83"/>
      <c r="B22" s="23" t="s">
        <v>38</v>
      </c>
      <c r="C22" s="240">
        <v>112</v>
      </c>
      <c r="D22" s="240">
        <v>106</v>
      </c>
      <c r="E22" s="224">
        <v>103</v>
      </c>
      <c r="F22" s="224">
        <v>90</v>
      </c>
      <c r="G22" s="224">
        <v>112</v>
      </c>
      <c r="H22" s="224">
        <v>117</v>
      </c>
      <c r="I22" s="224">
        <v>129</v>
      </c>
      <c r="J22" s="224">
        <v>130</v>
      </c>
      <c r="K22" s="224">
        <v>134</v>
      </c>
      <c r="L22" s="224">
        <v>114</v>
      </c>
      <c r="M22" s="224">
        <v>103</v>
      </c>
      <c r="N22" s="224">
        <v>110</v>
      </c>
      <c r="O22" s="224">
        <v>145</v>
      </c>
      <c r="P22" s="224">
        <v>127</v>
      </c>
      <c r="Q22" s="224">
        <v>127</v>
      </c>
      <c r="R22" s="224">
        <v>119.6</v>
      </c>
      <c r="S22" s="224">
        <v>130.30000000000001</v>
      </c>
      <c r="T22" s="224">
        <v>135</v>
      </c>
    </row>
    <row r="23" spans="1:20" ht="13.25" customHeight="1">
      <c r="A23" s="83"/>
      <c r="B23" s="23" t="s">
        <v>39</v>
      </c>
      <c r="C23" s="240">
        <v>210</v>
      </c>
      <c r="D23" s="240">
        <v>189</v>
      </c>
      <c r="E23" s="224">
        <v>159</v>
      </c>
      <c r="F23" s="224">
        <v>158</v>
      </c>
      <c r="G23" s="224">
        <v>157</v>
      </c>
      <c r="H23" s="224">
        <v>156</v>
      </c>
      <c r="I23" s="224">
        <v>152</v>
      </c>
      <c r="J23" s="224">
        <v>159</v>
      </c>
      <c r="K23" s="224">
        <v>166</v>
      </c>
      <c r="L23" s="224">
        <v>177</v>
      </c>
      <c r="M23" s="224">
        <v>171</v>
      </c>
      <c r="N23" s="224">
        <v>177</v>
      </c>
      <c r="O23" s="224">
        <v>182</v>
      </c>
      <c r="P23" s="224">
        <v>226</v>
      </c>
      <c r="Q23" s="224">
        <v>226</v>
      </c>
      <c r="R23" s="224">
        <v>234.9</v>
      </c>
      <c r="S23" s="224">
        <v>244.8</v>
      </c>
      <c r="T23" s="224">
        <v>247.6</v>
      </c>
    </row>
    <row r="24" spans="1:20" ht="13.25" customHeight="1">
      <c r="A24" s="83"/>
      <c r="B24" s="23" t="s">
        <v>40</v>
      </c>
      <c r="C24" s="240">
        <v>502</v>
      </c>
      <c r="D24" s="240">
        <v>430</v>
      </c>
      <c r="E24" s="224">
        <v>531</v>
      </c>
      <c r="F24" s="224">
        <v>562</v>
      </c>
      <c r="G24" s="224">
        <v>607</v>
      </c>
      <c r="H24" s="224">
        <v>586</v>
      </c>
      <c r="I24" s="224">
        <v>567</v>
      </c>
      <c r="J24" s="224">
        <v>598</v>
      </c>
      <c r="K24" s="224">
        <v>578</v>
      </c>
      <c r="L24" s="224">
        <v>735</v>
      </c>
      <c r="M24" s="224">
        <v>807</v>
      </c>
      <c r="N24" s="224">
        <v>973</v>
      </c>
      <c r="O24" s="224">
        <v>1132</v>
      </c>
      <c r="P24" s="224">
        <v>1193</v>
      </c>
      <c r="Q24" s="224">
        <v>1193</v>
      </c>
      <c r="R24" s="224">
        <v>964.6</v>
      </c>
      <c r="S24" s="224">
        <v>804.5</v>
      </c>
      <c r="T24" s="224">
        <v>864.2</v>
      </c>
    </row>
    <row r="25" spans="1:20" ht="13.25" customHeight="1">
      <c r="A25" s="83"/>
      <c r="B25" s="23" t="s">
        <v>41</v>
      </c>
      <c r="C25" s="240">
        <v>392</v>
      </c>
      <c r="D25" s="240">
        <v>396</v>
      </c>
      <c r="E25" s="224">
        <v>432</v>
      </c>
      <c r="F25" s="224">
        <v>405</v>
      </c>
      <c r="G25" s="224">
        <v>413</v>
      </c>
      <c r="H25" s="224">
        <v>405</v>
      </c>
      <c r="I25" s="224">
        <v>432</v>
      </c>
      <c r="J25" s="224">
        <v>598</v>
      </c>
      <c r="K25" s="224">
        <v>573</v>
      </c>
      <c r="L25" s="224">
        <v>568</v>
      </c>
      <c r="M25" s="224">
        <v>562</v>
      </c>
      <c r="N25" s="224">
        <v>570</v>
      </c>
      <c r="O25" s="224">
        <v>569</v>
      </c>
      <c r="P25" s="224">
        <v>556</v>
      </c>
      <c r="Q25" s="224">
        <v>556</v>
      </c>
      <c r="R25" s="224">
        <v>548.29999999999995</v>
      </c>
      <c r="S25" s="224">
        <v>540.5</v>
      </c>
      <c r="T25" s="224">
        <v>525.5</v>
      </c>
    </row>
    <row r="26" spans="1:20" ht="13.25" customHeight="1">
      <c r="A26" s="83"/>
      <c r="B26" s="23" t="s">
        <v>44</v>
      </c>
      <c r="C26" s="240">
        <v>952</v>
      </c>
      <c r="D26" s="240">
        <v>1095</v>
      </c>
      <c r="E26" s="224">
        <v>1240</v>
      </c>
      <c r="F26" s="224">
        <v>1316</v>
      </c>
      <c r="G26" s="224">
        <v>1417</v>
      </c>
      <c r="H26" s="224">
        <v>1622</v>
      </c>
      <c r="I26" s="224">
        <v>1809</v>
      </c>
      <c r="J26" s="224">
        <v>2074</v>
      </c>
      <c r="K26" s="224">
        <v>1891</v>
      </c>
      <c r="L26" s="224">
        <v>1954</v>
      </c>
      <c r="M26" s="224">
        <v>2209</v>
      </c>
      <c r="N26" s="224">
        <v>2265</v>
      </c>
      <c r="O26" s="224">
        <v>2267</v>
      </c>
      <c r="P26" s="224">
        <v>2397</v>
      </c>
      <c r="Q26" s="224">
        <v>2397</v>
      </c>
      <c r="R26" s="224">
        <v>2385.6999999999998</v>
      </c>
      <c r="S26" s="224">
        <v>2544.5</v>
      </c>
      <c r="T26" s="224">
        <v>2566</v>
      </c>
    </row>
    <row r="27" spans="1:20" ht="13.25" customHeight="1">
      <c r="A27" s="83"/>
      <c r="B27" s="23" t="s">
        <v>45</v>
      </c>
      <c r="C27" s="240">
        <v>4619</v>
      </c>
      <c r="D27" s="240">
        <v>4676</v>
      </c>
      <c r="E27" s="224">
        <v>4828</v>
      </c>
      <c r="F27" s="224">
        <v>4943</v>
      </c>
      <c r="G27" s="224">
        <v>5179</v>
      </c>
      <c r="H27" s="224">
        <v>5520</v>
      </c>
      <c r="I27" s="224">
        <v>5624</v>
      </c>
      <c r="J27" s="224">
        <v>5685</v>
      </c>
      <c r="K27" s="224">
        <v>5897</v>
      </c>
      <c r="L27" s="224">
        <v>5961</v>
      </c>
      <c r="M27" s="224">
        <v>5407</v>
      </c>
      <c r="N27" s="224">
        <v>5627</v>
      </c>
      <c r="O27" s="224">
        <v>5687</v>
      </c>
      <c r="P27" s="224">
        <v>5784</v>
      </c>
      <c r="Q27" s="224">
        <v>5784</v>
      </c>
      <c r="R27" s="224">
        <v>5797.2</v>
      </c>
      <c r="S27" s="224">
        <v>5841.1</v>
      </c>
      <c r="T27" s="224">
        <v>5872.9</v>
      </c>
    </row>
    <row r="28" spans="1:20" ht="13.25" customHeight="1">
      <c r="A28" s="83"/>
      <c r="B28" s="82" t="s">
        <v>46</v>
      </c>
      <c r="C28" s="240">
        <v>0</v>
      </c>
      <c r="D28" s="240">
        <v>0</v>
      </c>
      <c r="E28" s="224" t="s">
        <v>239</v>
      </c>
      <c r="F28" s="224" t="s">
        <v>239</v>
      </c>
      <c r="G28" s="224" t="s">
        <v>239</v>
      </c>
      <c r="H28" s="224" t="s">
        <v>239</v>
      </c>
      <c r="I28" s="224" t="s">
        <v>239</v>
      </c>
      <c r="J28" s="224" t="s">
        <v>239</v>
      </c>
      <c r="K28" s="224" t="s">
        <v>239</v>
      </c>
      <c r="L28" s="224" t="s">
        <v>239</v>
      </c>
      <c r="M28" s="224" t="s">
        <v>239</v>
      </c>
      <c r="N28" s="224" t="s">
        <v>239</v>
      </c>
      <c r="O28" s="224" t="s">
        <v>239</v>
      </c>
      <c r="P28" s="224" t="s">
        <v>239</v>
      </c>
      <c r="Q28" s="224" t="s">
        <v>239</v>
      </c>
      <c r="R28" s="224" t="s">
        <v>239</v>
      </c>
      <c r="S28" s="224" t="s">
        <v>239</v>
      </c>
      <c r="T28" s="224" t="s">
        <v>239</v>
      </c>
    </row>
    <row r="29" spans="1:20" ht="13.25" customHeight="1">
      <c r="A29" s="83"/>
      <c r="B29" s="23" t="s">
        <v>47</v>
      </c>
      <c r="C29" s="240">
        <v>0</v>
      </c>
      <c r="D29" s="240">
        <v>0</v>
      </c>
      <c r="E29" s="224" t="s">
        <v>239</v>
      </c>
      <c r="F29" s="224" t="s">
        <v>239</v>
      </c>
      <c r="G29" s="224" t="s">
        <v>239</v>
      </c>
      <c r="H29" s="224" t="s">
        <v>239</v>
      </c>
      <c r="I29" s="224" t="s">
        <v>239</v>
      </c>
      <c r="J29" s="224" t="s">
        <v>239</v>
      </c>
      <c r="K29" s="224" t="s">
        <v>239</v>
      </c>
      <c r="L29" s="224" t="s">
        <v>239</v>
      </c>
      <c r="M29" s="224" t="s">
        <v>239</v>
      </c>
      <c r="N29" s="224" t="s">
        <v>239</v>
      </c>
      <c r="O29" s="224" t="s">
        <v>239</v>
      </c>
      <c r="P29" s="224" t="s">
        <v>239</v>
      </c>
      <c r="Q29" s="224" t="s">
        <v>239</v>
      </c>
      <c r="R29" s="224" t="s">
        <v>239</v>
      </c>
      <c r="S29" s="224" t="s">
        <v>239</v>
      </c>
      <c r="T29" s="224" t="s">
        <v>239</v>
      </c>
    </row>
    <row r="30" spans="1:20" ht="13.25" customHeight="1">
      <c r="A30" s="83"/>
      <c r="B30" s="23" t="s">
        <v>48</v>
      </c>
      <c r="C30" s="240">
        <v>0</v>
      </c>
      <c r="D30" s="240">
        <v>0</v>
      </c>
      <c r="E30" s="224" t="s">
        <v>239</v>
      </c>
      <c r="F30" s="224" t="s">
        <v>239</v>
      </c>
      <c r="G30" s="224" t="s">
        <v>239</v>
      </c>
      <c r="H30" s="224" t="s">
        <v>239</v>
      </c>
      <c r="I30" s="224" t="s">
        <v>239</v>
      </c>
      <c r="J30" s="224" t="s">
        <v>239</v>
      </c>
      <c r="K30" s="224" t="s">
        <v>239</v>
      </c>
      <c r="L30" s="224" t="s">
        <v>239</v>
      </c>
      <c r="M30" s="224" t="s">
        <v>239</v>
      </c>
      <c r="N30" s="224" t="s">
        <v>239</v>
      </c>
      <c r="O30" s="224" t="s">
        <v>239</v>
      </c>
      <c r="P30" s="224" t="s">
        <v>239</v>
      </c>
      <c r="Q30" s="224" t="s">
        <v>239</v>
      </c>
      <c r="R30" s="224" t="s">
        <v>239</v>
      </c>
      <c r="S30" s="224" t="s">
        <v>239</v>
      </c>
      <c r="T30" s="224" t="s">
        <v>239</v>
      </c>
    </row>
    <row r="31" spans="1:20" ht="13.25" customHeight="1" thickBot="1">
      <c r="A31" s="88"/>
      <c r="B31" s="577" t="s">
        <v>49</v>
      </c>
      <c r="C31" s="579">
        <v>0</v>
      </c>
      <c r="D31" s="579">
        <v>0</v>
      </c>
      <c r="E31" s="582" t="s">
        <v>239</v>
      </c>
      <c r="F31" s="582" t="s">
        <v>239</v>
      </c>
      <c r="G31" s="582" t="s">
        <v>239</v>
      </c>
      <c r="H31" s="582" t="s">
        <v>239</v>
      </c>
      <c r="I31" s="582" t="s">
        <v>239</v>
      </c>
      <c r="J31" s="582" t="s">
        <v>239</v>
      </c>
      <c r="K31" s="582" t="s">
        <v>239</v>
      </c>
      <c r="L31" s="582" t="s">
        <v>239</v>
      </c>
      <c r="M31" s="582" t="s">
        <v>239</v>
      </c>
      <c r="N31" s="582" t="s">
        <v>239</v>
      </c>
      <c r="O31" s="582" t="s">
        <v>239</v>
      </c>
      <c r="P31" s="582" t="s">
        <v>239</v>
      </c>
      <c r="Q31" s="582" t="s">
        <v>239</v>
      </c>
      <c r="R31" s="582" t="s">
        <v>239</v>
      </c>
      <c r="S31" s="582" t="s">
        <v>239</v>
      </c>
      <c r="T31" s="582" t="s">
        <v>239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40">
    <tabColor theme="9" tint="0.59999389629810485"/>
  </sheetPr>
  <dimension ref="A2:T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8.19921875" style="82" customWidth="1"/>
    <col min="22" max="16384" width="7" style="82"/>
  </cols>
  <sheetData>
    <row r="2" spans="1:20" ht="13.25" customHeight="1">
      <c r="A2" s="230" t="s">
        <v>513</v>
      </c>
      <c r="B2" s="231"/>
    </row>
    <row r="3" spans="1:20" ht="13.25" customHeight="1">
      <c r="A3" s="232" t="s">
        <v>421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103</v>
      </c>
      <c r="B6" s="963"/>
      <c r="C6" s="570">
        <v>2.61</v>
      </c>
      <c r="D6" s="570">
        <v>2.5099999999999998</v>
      </c>
      <c r="E6" s="570">
        <v>2.5</v>
      </c>
      <c r="F6" s="570">
        <v>2.91</v>
      </c>
      <c r="G6" s="570">
        <v>3.13</v>
      </c>
      <c r="H6" s="570">
        <v>3.43</v>
      </c>
      <c r="I6" s="570">
        <v>3.65</v>
      </c>
      <c r="J6" s="570">
        <v>4.03</v>
      </c>
      <c r="K6" s="570">
        <v>4.43</v>
      </c>
      <c r="L6" s="570">
        <v>4.78</v>
      </c>
      <c r="M6" s="570">
        <v>4.6399999999999997</v>
      </c>
      <c r="N6" s="570">
        <v>4.83</v>
      </c>
      <c r="O6" s="570">
        <v>4.92</v>
      </c>
      <c r="P6" s="570">
        <v>4.96</v>
      </c>
      <c r="Q6" s="570">
        <v>4.9400000000000004</v>
      </c>
      <c r="R6" s="570">
        <v>5</v>
      </c>
      <c r="S6" s="570">
        <v>4.88</v>
      </c>
      <c r="T6" s="570">
        <v>4.84</v>
      </c>
    </row>
    <row r="7" spans="1:20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0" ht="13.25" customHeight="1">
      <c r="A8" s="83"/>
      <c r="B8" s="23" t="s">
        <v>21</v>
      </c>
      <c r="C8" s="238" t="s">
        <v>75</v>
      </c>
      <c r="D8" s="238" t="s">
        <v>75</v>
      </c>
      <c r="E8" s="238" t="s">
        <v>75</v>
      </c>
      <c r="F8" s="238" t="s">
        <v>75</v>
      </c>
      <c r="G8" s="238" t="s">
        <v>75</v>
      </c>
      <c r="H8" s="238" t="s">
        <v>75</v>
      </c>
      <c r="I8" s="238" t="s">
        <v>75</v>
      </c>
      <c r="J8" s="238" t="s">
        <v>75</v>
      </c>
      <c r="K8" s="238" t="s">
        <v>75</v>
      </c>
      <c r="L8" s="238" t="s">
        <v>75</v>
      </c>
      <c r="M8" s="238" t="s">
        <v>75</v>
      </c>
      <c r="N8" s="238" t="s">
        <v>75</v>
      </c>
      <c r="O8" s="238" t="s">
        <v>75</v>
      </c>
      <c r="P8" s="238" t="s">
        <v>75</v>
      </c>
      <c r="Q8" s="238" t="s">
        <v>75</v>
      </c>
      <c r="R8" s="238" t="s">
        <v>75</v>
      </c>
      <c r="S8" s="238" t="s">
        <v>75</v>
      </c>
      <c r="T8" s="238" t="s">
        <v>75</v>
      </c>
    </row>
    <row r="9" spans="1:20" ht="13.25" customHeight="1">
      <c r="A9" s="83"/>
      <c r="B9" s="23" t="s">
        <v>22</v>
      </c>
      <c r="C9" s="238" t="s">
        <v>75</v>
      </c>
      <c r="D9" s="238" t="s">
        <v>75</v>
      </c>
      <c r="E9" s="238" t="s">
        <v>75</v>
      </c>
      <c r="F9" s="238" t="s">
        <v>75</v>
      </c>
      <c r="G9" s="238" t="s">
        <v>75</v>
      </c>
      <c r="H9" s="238" t="s">
        <v>75</v>
      </c>
      <c r="I9" s="238" t="s">
        <v>75</v>
      </c>
      <c r="J9" s="238" t="s">
        <v>75</v>
      </c>
      <c r="K9" s="238" t="s">
        <v>75</v>
      </c>
      <c r="L9" s="238" t="s">
        <v>75</v>
      </c>
      <c r="M9" s="238" t="s">
        <v>75</v>
      </c>
      <c r="N9" s="238" t="s">
        <v>75</v>
      </c>
      <c r="O9" s="238" t="s">
        <v>75</v>
      </c>
      <c r="P9" s="238" t="s">
        <v>75</v>
      </c>
      <c r="Q9" s="238" t="s">
        <v>75</v>
      </c>
      <c r="R9" s="238" t="s">
        <v>75</v>
      </c>
      <c r="S9" s="238" t="s">
        <v>75</v>
      </c>
      <c r="T9" s="238" t="s">
        <v>75</v>
      </c>
    </row>
    <row r="10" spans="1:20" ht="13.25" customHeight="1">
      <c r="A10" s="83"/>
      <c r="B10" s="23" t="s">
        <v>23</v>
      </c>
      <c r="C10" s="238" t="s">
        <v>75</v>
      </c>
      <c r="D10" s="238" t="s">
        <v>75</v>
      </c>
      <c r="E10" s="238" t="s">
        <v>75</v>
      </c>
      <c r="F10" s="238" t="s">
        <v>75</v>
      </c>
      <c r="G10" s="238" t="s">
        <v>75</v>
      </c>
      <c r="H10" s="238" t="s">
        <v>75</v>
      </c>
      <c r="I10" s="238" t="s">
        <v>75</v>
      </c>
      <c r="J10" s="238" t="s">
        <v>75</v>
      </c>
      <c r="K10" s="238" t="s">
        <v>75</v>
      </c>
      <c r="L10" s="238" t="s">
        <v>75</v>
      </c>
      <c r="M10" s="238" t="s">
        <v>75</v>
      </c>
      <c r="N10" s="238" t="s">
        <v>75</v>
      </c>
      <c r="O10" s="238" t="s">
        <v>75</v>
      </c>
      <c r="P10" s="238" t="s">
        <v>75</v>
      </c>
      <c r="Q10" s="238" t="s">
        <v>75</v>
      </c>
      <c r="R10" s="238" t="s">
        <v>75</v>
      </c>
      <c r="S10" s="238" t="s">
        <v>75</v>
      </c>
      <c r="T10" s="238" t="s">
        <v>75</v>
      </c>
    </row>
    <row r="11" spans="1:20" ht="13.25" customHeight="1">
      <c r="A11" s="83"/>
      <c r="B11" s="23" t="s">
        <v>24</v>
      </c>
      <c r="C11" s="238">
        <v>2.56</v>
      </c>
      <c r="D11" s="238">
        <v>2.6</v>
      </c>
      <c r="E11" s="238">
        <v>2.1800000000000002</v>
      </c>
      <c r="F11" s="238">
        <v>2.72</v>
      </c>
      <c r="G11" s="238">
        <v>2.93</v>
      </c>
      <c r="H11" s="238">
        <v>2.92</v>
      </c>
      <c r="I11" s="238">
        <v>3.11</v>
      </c>
      <c r="J11" s="238">
        <v>3.07</v>
      </c>
      <c r="K11" s="238">
        <v>3.07</v>
      </c>
      <c r="L11" s="238">
        <v>4.67</v>
      </c>
      <c r="M11" s="238">
        <v>4.7</v>
      </c>
      <c r="N11" s="238">
        <v>4.5599999999999996</v>
      </c>
      <c r="O11" s="238">
        <v>4.68</v>
      </c>
      <c r="P11" s="238">
        <v>4.57</v>
      </c>
      <c r="Q11" s="238">
        <v>4.63</v>
      </c>
      <c r="R11" s="238">
        <v>4.6100000000000003</v>
      </c>
      <c r="S11" s="238">
        <v>4.53</v>
      </c>
      <c r="T11" s="238">
        <v>4.43</v>
      </c>
    </row>
    <row r="12" spans="1:20" ht="13.25" customHeight="1">
      <c r="A12" s="83"/>
      <c r="B12" s="23" t="s">
        <v>25</v>
      </c>
      <c r="C12" s="238" t="s">
        <v>75</v>
      </c>
      <c r="D12" s="238" t="s">
        <v>75</v>
      </c>
      <c r="E12" s="238" t="s">
        <v>75</v>
      </c>
      <c r="F12" s="238" t="s">
        <v>75</v>
      </c>
      <c r="G12" s="238" t="s">
        <v>75</v>
      </c>
      <c r="H12" s="238" t="s">
        <v>75</v>
      </c>
      <c r="I12" s="238" t="s">
        <v>75</v>
      </c>
      <c r="J12" s="238" t="s">
        <v>75</v>
      </c>
      <c r="K12" s="238" t="s">
        <v>75</v>
      </c>
      <c r="L12" s="238" t="s">
        <v>75</v>
      </c>
      <c r="M12" s="238" t="s">
        <v>75</v>
      </c>
      <c r="N12" s="238" t="s">
        <v>75</v>
      </c>
      <c r="O12" s="238" t="s">
        <v>75</v>
      </c>
      <c r="P12" s="238" t="s">
        <v>75</v>
      </c>
      <c r="Q12" s="238" t="s">
        <v>75</v>
      </c>
      <c r="R12" s="238" t="s">
        <v>75</v>
      </c>
      <c r="S12" s="238" t="s">
        <v>75</v>
      </c>
      <c r="T12" s="238" t="s">
        <v>75</v>
      </c>
    </row>
    <row r="13" spans="1:20" ht="13.25" customHeight="1">
      <c r="A13" s="83"/>
      <c r="B13" s="23" t="s">
        <v>29</v>
      </c>
      <c r="C13" s="238" t="s">
        <v>75</v>
      </c>
      <c r="D13" s="238" t="s">
        <v>75</v>
      </c>
      <c r="E13" s="238" t="s">
        <v>75</v>
      </c>
      <c r="F13" s="238" t="s">
        <v>75</v>
      </c>
      <c r="G13" s="238" t="s">
        <v>75</v>
      </c>
      <c r="H13" s="238" t="s">
        <v>75</v>
      </c>
      <c r="I13" s="238" t="s">
        <v>75</v>
      </c>
      <c r="J13" s="238" t="s">
        <v>75</v>
      </c>
      <c r="K13" s="238" t="s">
        <v>75</v>
      </c>
      <c r="L13" s="238" t="s">
        <v>75</v>
      </c>
      <c r="M13" s="238" t="s">
        <v>75</v>
      </c>
      <c r="N13" s="238" t="s">
        <v>75</v>
      </c>
      <c r="O13" s="238" t="s">
        <v>75</v>
      </c>
      <c r="P13" s="238" t="s">
        <v>75</v>
      </c>
      <c r="Q13" s="238" t="s">
        <v>75</v>
      </c>
      <c r="R13" s="238" t="s">
        <v>75</v>
      </c>
      <c r="S13" s="238" t="s">
        <v>75</v>
      </c>
      <c r="T13" s="238" t="s">
        <v>75</v>
      </c>
    </row>
    <row r="14" spans="1:20" ht="13.25" customHeight="1">
      <c r="A14" s="83"/>
      <c r="B14" s="23" t="s">
        <v>30</v>
      </c>
      <c r="C14" s="238">
        <v>2.4</v>
      </c>
      <c r="D14" s="238">
        <v>2.5</v>
      </c>
      <c r="E14" s="238">
        <v>2.41</v>
      </c>
      <c r="F14" s="238">
        <v>2.34</v>
      </c>
      <c r="G14" s="238">
        <v>2.4900000000000002</v>
      </c>
      <c r="H14" s="238">
        <v>2.77</v>
      </c>
      <c r="I14" s="238">
        <v>3.08</v>
      </c>
      <c r="J14" s="238">
        <v>3.36</v>
      </c>
      <c r="K14" s="238">
        <v>3.39</v>
      </c>
      <c r="L14" s="238">
        <v>3.78</v>
      </c>
      <c r="M14" s="238">
        <v>3.94</v>
      </c>
      <c r="N14" s="238">
        <v>4.04</v>
      </c>
      <c r="O14" s="238">
        <v>4</v>
      </c>
      <c r="P14" s="238">
        <v>3.95</v>
      </c>
      <c r="Q14" s="238">
        <v>4.09</v>
      </c>
      <c r="R14" s="238">
        <v>4.51</v>
      </c>
      <c r="S14" s="238">
        <v>4.0599999999999996</v>
      </c>
      <c r="T14" s="238">
        <v>4.01</v>
      </c>
    </row>
    <row r="15" spans="1:20" ht="13.25" customHeight="1">
      <c r="A15" s="83"/>
      <c r="B15" s="23" t="s">
        <v>31</v>
      </c>
      <c r="C15" s="238">
        <v>2.78</v>
      </c>
      <c r="D15" s="238">
        <v>2.89</v>
      </c>
      <c r="E15" s="238">
        <v>2.8</v>
      </c>
      <c r="F15" s="238">
        <v>3.13</v>
      </c>
      <c r="G15" s="238">
        <v>3.02</v>
      </c>
      <c r="H15" s="238">
        <v>3.18</v>
      </c>
      <c r="I15" s="238">
        <v>3.34</v>
      </c>
      <c r="J15" s="238">
        <v>3.28</v>
      </c>
      <c r="K15" s="238">
        <v>3.58</v>
      </c>
      <c r="L15" s="238">
        <v>3.78</v>
      </c>
      <c r="M15" s="238">
        <v>4.29</v>
      </c>
      <c r="N15" s="238">
        <v>4.93</v>
      </c>
      <c r="O15" s="238">
        <v>4.24</v>
      </c>
      <c r="P15" s="238">
        <v>4.25</v>
      </c>
      <c r="Q15" s="238">
        <v>4.21</v>
      </c>
      <c r="R15" s="238">
        <v>4.2300000000000004</v>
      </c>
      <c r="S15" s="238">
        <v>4.2</v>
      </c>
      <c r="T15" s="238">
        <v>4.13</v>
      </c>
    </row>
    <row r="16" spans="1:20" ht="13.25" customHeight="1">
      <c r="A16" s="83"/>
      <c r="B16" s="23" t="s">
        <v>32</v>
      </c>
      <c r="C16" s="238" t="s">
        <v>75</v>
      </c>
      <c r="D16" s="238" t="s">
        <v>75</v>
      </c>
      <c r="E16" s="238" t="s">
        <v>75</v>
      </c>
      <c r="F16" s="238" t="s">
        <v>75</v>
      </c>
      <c r="G16" s="238" t="s">
        <v>75</v>
      </c>
      <c r="H16" s="238" t="s">
        <v>75</v>
      </c>
      <c r="I16" s="238" t="s">
        <v>75</v>
      </c>
      <c r="J16" s="238" t="s">
        <v>75</v>
      </c>
      <c r="K16" s="238" t="s">
        <v>75</v>
      </c>
      <c r="L16" s="238" t="s">
        <v>75</v>
      </c>
      <c r="M16" s="238" t="s">
        <v>75</v>
      </c>
      <c r="N16" s="238" t="s">
        <v>75</v>
      </c>
      <c r="O16" s="238" t="s">
        <v>75</v>
      </c>
      <c r="P16" s="238" t="s">
        <v>75</v>
      </c>
      <c r="Q16" s="238" t="s">
        <v>75</v>
      </c>
      <c r="R16" s="238" t="s">
        <v>75</v>
      </c>
      <c r="S16" s="238" t="s">
        <v>75</v>
      </c>
      <c r="T16" s="238" t="s">
        <v>75</v>
      </c>
    </row>
    <row r="17" spans="1:20" ht="13.25" customHeight="1">
      <c r="A17" s="83"/>
      <c r="B17" s="23" t="s">
        <v>33</v>
      </c>
      <c r="C17" s="238" t="s">
        <v>75</v>
      </c>
      <c r="D17" s="238" t="s">
        <v>75</v>
      </c>
      <c r="E17" s="238" t="s">
        <v>75</v>
      </c>
      <c r="F17" s="238" t="s">
        <v>75</v>
      </c>
      <c r="G17" s="238" t="s">
        <v>75</v>
      </c>
      <c r="H17" s="238" t="s">
        <v>75</v>
      </c>
      <c r="I17" s="238" t="s">
        <v>75</v>
      </c>
      <c r="J17" s="238" t="s">
        <v>75</v>
      </c>
      <c r="K17" s="238" t="s">
        <v>75</v>
      </c>
      <c r="L17" s="238">
        <v>4.4000000000000004</v>
      </c>
      <c r="M17" s="238">
        <v>4.71</v>
      </c>
      <c r="N17" s="238">
        <v>4.91</v>
      </c>
      <c r="O17" s="238">
        <v>4.84</v>
      </c>
      <c r="P17" s="238">
        <v>4.84</v>
      </c>
      <c r="Q17" s="238">
        <v>4.79</v>
      </c>
      <c r="R17" s="238">
        <v>4.7</v>
      </c>
      <c r="S17" s="238">
        <v>4.54</v>
      </c>
      <c r="T17" s="238">
        <v>4.43</v>
      </c>
    </row>
    <row r="18" spans="1:20" ht="13.25" customHeight="1">
      <c r="A18" s="83"/>
      <c r="B18" s="23" t="s">
        <v>34</v>
      </c>
      <c r="C18" s="238">
        <v>2.21</v>
      </c>
      <c r="D18" s="238">
        <v>2.27</v>
      </c>
      <c r="E18" s="238">
        <v>2.85</v>
      </c>
      <c r="F18" s="238">
        <v>3.27</v>
      </c>
      <c r="G18" s="238">
        <v>3.54</v>
      </c>
      <c r="H18" s="238">
        <v>3.48</v>
      </c>
      <c r="I18" s="238">
        <v>4.0999999999999996</v>
      </c>
      <c r="J18" s="238">
        <v>3.71</v>
      </c>
      <c r="K18" s="238">
        <v>3.64</v>
      </c>
      <c r="L18" s="238">
        <v>4.2300000000000004</v>
      </c>
      <c r="M18" s="238">
        <v>5.19</v>
      </c>
      <c r="N18" s="238">
        <v>4.92</v>
      </c>
      <c r="O18" s="238">
        <v>4.8099999999999996</v>
      </c>
      <c r="P18" s="238">
        <v>4.78</v>
      </c>
      <c r="Q18" s="238">
        <v>4.72</v>
      </c>
      <c r="R18" s="238">
        <v>4.53</v>
      </c>
      <c r="S18" s="238">
        <v>4.4400000000000004</v>
      </c>
      <c r="T18" s="238">
        <v>4.3600000000000003</v>
      </c>
    </row>
    <row r="19" spans="1:20" ht="13.25" customHeight="1">
      <c r="A19" s="83"/>
      <c r="B19" s="23" t="s">
        <v>35</v>
      </c>
      <c r="C19" s="238">
        <v>2.17</v>
      </c>
      <c r="D19" s="238">
        <v>2.2400000000000002</v>
      </c>
      <c r="E19" s="238">
        <v>2.35</v>
      </c>
      <c r="F19" s="238">
        <v>2.95</v>
      </c>
      <c r="G19" s="238">
        <v>3.4</v>
      </c>
      <c r="H19" s="238">
        <v>3.39</v>
      </c>
      <c r="I19" s="238">
        <v>3.58</v>
      </c>
      <c r="J19" s="238">
        <v>3.8</v>
      </c>
      <c r="K19" s="238">
        <v>3.9</v>
      </c>
      <c r="L19" s="238">
        <v>3.99</v>
      </c>
      <c r="M19" s="238">
        <v>4.25</v>
      </c>
      <c r="N19" s="238">
        <v>4.57</v>
      </c>
      <c r="O19" s="238">
        <v>4.96</v>
      </c>
      <c r="P19" s="238">
        <v>4.75</v>
      </c>
      <c r="Q19" s="238">
        <v>4.96</v>
      </c>
      <c r="R19" s="238">
        <v>4.88</v>
      </c>
      <c r="S19" s="238">
        <v>4.76</v>
      </c>
      <c r="T19" s="238">
        <v>4.6500000000000004</v>
      </c>
    </row>
    <row r="20" spans="1:20" ht="13.25" customHeight="1">
      <c r="A20" s="83"/>
      <c r="B20" s="23" t="s">
        <v>36</v>
      </c>
      <c r="C20" s="238">
        <v>3.1</v>
      </c>
      <c r="D20" s="238">
        <v>2.4700000000000002</v>
      </c>
      <c r="E20" s="238">
        <v>2.23</v>
      </c>
      <c r="F20" s="238">
        <v>2.72</v>
      </c>
      <c r="G20" s="238">
        <v>3.53</v>
      </c>
      <c r="H20" s="238">
        <v>3.29</v>
      </c>
      <c r="I20" s="238">
        <v>3.65</v>
      </c>
      <c r="J20" s="238">
        <v>3.67</v>
      </c>
      <c r="K20" s="238">
        <v>4.09</v>
      </c>
      <c r="L20" s="238">
        <v>3.84</v>
      </c>
      <c r="M20" s="238">
        <v>4.5</v>
      </c>
      <c r="N20" s="238">
        <v>4.66</v>
      </c>
      <c r="O20" s="238">
        <v>4.5199999999999996</v>
      </c>
      <c r="P20" s="238">
        <v>4.5</v>
      </c>
      <c r="Q20" s="238">
        <v>4.49</v>
      </c>
      <c r="R20" s="238">
        <v>4.43</v>
      </c>
      <c r="S20" s="238">
        <v>4.38</v>
      </c>
      <c r="T20" s="238">
        <v>4.3099999999999996</v>
      </c>
    </row>
    <row r="21" spans="1:20" ht="13.25" customHeight="1">
      <c r="A21" s="83"/>
      <c r="B21" s="23" t="s">
        <v>37</v>
      </c>
      <c r="C21" s="238">
        <v>2.61</v>
      </c>
      <c r="D21" s="238">
        <v>2.23</v>
      </c>
      <c r="E21" s="238">
        <v>1.89</v>
      </c>
      <c r="F21" s="238">
        <v>2.81</v>
      </c>
      <c r="G21" s="238">
        <v>3.02</v>
      </c>
      <c r="H21" s="238">
        <v>3.17</v>
      </c>
      <c r="I21" s="238">
        <v>3.49</v>
      </c>
      <c r="J21" s="238">
        <v>4.1900000000000004</v>
      </c>
      <c r="K21" s="238">
        <v>4.68</v>
      </c>
      <c r="L21" s="238">
        <v>4.7300000000000004</v>
      </c>
      <c r="M21" s="238">
        <v>4.68</v>
      </c>
      <c r="N21" s="238">
        <v>4.67</v>
      </c>
      <c r="O21" s="238">
        <v>4.8499999999999996</v>
      </c>
      <c r="P21" s="238">
        <v>4.93</v>
      </c>
      <c r="Q21" s="238">
        <v>4.9800000000000004</v>
      </c>
      <c r="R21" s="238">
        <v>4.9000000000000004</v>
      </c>
      <c r="S21" s="238">
        <v>4.7699999999999996</v>
      </c>
      <c r="T21" s="238">
        <v>4.67</v>
      </c>
    </row>
    <row r="22" spans="1:20" ht="13.25" customHeight="1">
      <c r="A22" s="83"/>
      <c r="B22" s="23" t="s">
        <v>38</v>
      </c>
      <c r="C22" s="238">
        <v>2.31</v>
      </c>
      <c r="D22" s="238">
        <v>2.2799999999999998</v>
      </c>
      <c r="E22" s="238">
        <v>2.2999999999999998</v>
      </c>
      <c r="F22" s="238">
        <v>2.61</v>
      </c>
      <c r="G22" s="238">
        <v>2.9</v>
      </c>
      <c r="H22" s="238">
        <v>3</v>
      </c>
      <c r="I22" s="238">
        <v>3.25</v>
      </c>
      <c r="J22" s="238">
        <v>3.7</v>
      </c>
      <c r="K22" s="238">
        <v>3.91</v>
      </c>
      <c r="L22" s="238">
        <v>4.6500000000000004</v>
      </c>
      <c r="M22" s="238">
        <v>4.67</v>
      </c>
      <c r="N22" s="238">
        <v>4.5999999999999996</v>
      </c>
      <c r="O22" s="238">
        <v>4.54</v>
      </c>
      <c r="P22" s="238">
        <v>4.7</v>
      </c>
      <c r="Q22" s="238">
        <v>4.6900000000000004</v>
      </c>
      <c r="R22" s="238">
        <v>4.62</v>
      </c>
      <c r="S22" s="238">
        <v>4.5</v>
      </c>
      <c r="T22" s="238">
        <v>4.4000000000000004</v>
      </c>
    </row>
    <row r="23" spans="1:20" ht="13.25" customHeight="1">
      <c r="A23" s="83"/>
      <c r="B23" s="23" t="s">
        <v>39</v>
      </c>
      <c r="C23" s="238">
        <v>2.81</v>
      </c>
      <c r="D23" s="238">
        <v>3.06</v>
      </c>
      <c r="E23" s="238">
        <v>2.42</v>
      </c>
      <c r="F23" s="238">
        <v>2.74</v>
      </c>
      <c r="G23" s="238">
        <v>2.91</v>
      </c>
      <c r="H23" s="238">
        <v>3.11</v>
      </c>
      <c r="I23" s="238">
        <v>3.31</v>
      </c>
      <c r="J23" s="238">
        <v>3.8</v>
      </c>
      <c r="K23" s="238">
        <v>4.01</v>
      </c>
      <c r="L23" s="238">
        <v>4.7699999999999996</v>
      </c>
      <c r="M23" s="238">
        <v>4.87</v>
      </c>
      <c r="N23" s="238">
        <v>4.74</v>
      </c>
      <c r="O23" s="238">
        <v>4.72</v>
      </c>
      <c r="P23" s="238">
        <v>4.8499999999999996</v>
      </c>
      <c r="Q23" s="238">
        <v>4.93</v>
      </c>
      <c r="R23" s="238">
        <v>4.95</v>
      </c>
      <c r="S23" s="238">
        <v>4.93</v>
      </c>
      <c r="T23" s="238">
        <v>4.87</v>
      </c>
    </row>
    <row r="24" spans="1:20" ht="13.25" customHeight="1">
      <c r="A24" s="83"/>
      <c r="B24" s="23" t="s">
        <v>40</v>
      </c>
      <c r="C24" s="238">
        <v>2.44</v>
      </c>
      <c r="D24" s="238">
        <v>2.4300000000000002</v>
      </c>
      <c r="E24" s="238">
        <v>2.37</v>
      </c>
      <c r="F24" s="238">
        <v>2.83</v>
      </c>
      <c r="G24" s="238">
        <v>3.09</v>
      </c>
      <c r="H24" s="238">
        <v>3.5</v>
      </c>
      <c r="I24" s="238">
        <v>3.52</v>
      </c>
      <c r="J24" s="238">
        <v>3.75</v>
      </c>
      <c r="K24" s="238">
        <v>3.88</v>
      </c>
      <c r="L24" s="238">
        <v>4.03</v>
      </c>
      <c r="M24" s="238">
        <v>4.2300000000000004</v>
      </c>
      <c r="N24" s="238">
        <v>4.54</v>
      </c>
      <c r="O24" s="238">
        <v>4.5</v>
      </c>
      <c r="P24" s="238">
        <v>4.57</v>
      </c>
      <c r="Q24" s="238">
        <v>4.5599999999999996</v>
      </c>
      <c r="R24" s="238">
        <v>4.45</v>
      </c>
      <c r="S24" s="238">
        <v>4.2300000000000004</v>
      </c>
      <c r="T24" s="238">
        <v>4.08</v>
      </c>
    </row>
    <row r="25" spans="1:20" ht="13.25" customHeight="1">
      <c r="A25" s="83"/>
      <c r="B25" s="23" t="s">
        <v>41</v>
      </c>
      <c r="C25" s="238">
        <v>2.85</v>
      </c>
      <c r="D25" s="238">
        <v>2.67</v>
      </c>
      <c r="E25" s="238">
        <v>2.38</v>
      </c>
      <c r="F25" s="238">
        <v>2.36</v>
      </c>
      <c r="G25" s="238">
        <v>2.4900000000000002</v>
      </c>
      <c r="H25" s="238">
        <v>2.77</v>
      </c>
      <c r="I25" s="238">
        <v>3.69</v>
      </c>
      <c r="J25" s="238">
        <v>3.91</v>
      </c>
      <c r="K25" s="238">
        <v>3.46</v>
      </c>
      <c r="L25" s="238">
        <v>3.64</v>
      </c>
      <c r="M25" s="238">
        <v>3.7</v>
      </c>
      <c r="N25" s="238">
        <v>3.69</v>
      </c>
      <c r="O25" s="238">
        <v>3.73</v>
      </c>
      <c r="P25" s="238">
        <v>3.85</v>
      </c>
      <c r="Q25" s="238">
        <v>3.87</v>
      </c>
      <c r="R25" s="238">
        <v>3.85</v>
      </c>
      <c r="S25" s="238">
        <v>3.78</v>
      </c>
      <c r="T25" s="238">
        <v>3.71</v>
      </c>
    </row>
    <row r="26" spans="1:20" ht="13.25" customHeight="1">
      <c r="A26" s="83"/>
      <c r="B26" s="23" t="s">
        <v>44</v>
      </c>
      <c r="C26" s="238">
        <v>2.86</v>
      </c>
      <c r="D26" s="238">
        <v>2.98</v>
      </c>
      <c r="E26" s="238">
        <v>2.65</v>
      </c>
      <c r="F26" s="238">
        <v>2.72</v>
      </c>
      <c r="G26" s="238">
        <v>2.72</v>
      </c>
      <c r="H26" s="238">
        <v>3.07</v>
      </c>
      <c r="I26" s="238">
        <v>3.47</v>
      </c>
      <c r="J26" s="238">
        <v>3.72</v>
      </c>
      <c r="K26" s="238">
        <v>3.97</v>
      </c>
      <c r="L26" s="238">
        <v>4.0999999999999996</v>
      </c>
      <c r="M26" s="238">
        <v>4.1500000000000004</v>
      </c>
      <c r="N26" s="238">
        <v>4.16</v>
      </c>
      <c r="O26" s="238">
        <v>4.12</v>
      </c>
      <c r="P26" s="238">
        <v>4.33</v>
      </c>
      <c r="Q26" s="238">
        <v>4.46</v>
      </c>
      <c r="R26" s="238">
        <v>4.4800000000000004</v>
      </c>
      <c r="S26" s="238">
        <v>4.51</v>
      </c>
      <c r="T26" s="238">
        <v>4.75</v>
      </c>
    </row>
    <row r="27" spans="1:20" ht="13.25" customHeight="1">
      <c r="A27" s="83"/>
      <c r="B27" s="23" t="s">
        <v>45</v>
      </c>
      <c r="C27" s="238">
        <v>2.5</v>
      </c>
      <c r="D27" s="238">
        <v>2.4300000000000002</v>
      </c>
      <c r="E27" s="238">
        <v>2.64</v>
      </c>
      <c r="F27" s="238">
        <v>3.06</v>
      </c>
      <c r="G27" s="238">
        <v>3.28</v>
      </c>
      <c r="H27" s="238">
        <v>3.67</v>
      </c>
      <c r="I27" s="238">
        <v>3.78</v>
      </c>
      <c r="J27" s="238">
        <v>4.25</v>
      </c>
      <c r="K27" s="238">
        <v>4.8099999999999996</v>
      </c>
      <c r="L27" s="238">
        <v>5.45</v>
      </c>
      <c r="M27" s="238">
        <v>4.99</v>
      </c>
      <c r="N27" s="238">
        <v>5.33</v>
      </c>
      <c r="O27" s="238">
        <v>5.55</v>
      </c>
      <c r="P27" s="238">
        <v>5.49</v>
      </c>
      <c r="Q27" s="238">
        <v>5.38</v>
      </c>
      <c r="R27" s="238">
        <v>5.54</v>
      </c>
      <c r="S27" s="238">
        <v>5.36</v>
      </c>
      <c r="T27" s="238">
        <v>5.25</v>
      </c>
    </row>
    <row r="28" spans="1:20" ht="13.25" customHeight="1">
      <c r="A28" s="83"/>
      <c r="B28" s="82" t="s">
        <v>46</v>
      </c>
      <c r="C28" s="238" t="s">
        <v>75</v>
      </c>
      <c r="D28" s="238" t="s">
        <v>75</v>
      </c>
      <c r="E28" s="238" t="s">
        <v>75</v>
      </c>
      <c r="F28" s="238" t="s">
        <v>75</v>
      </c>
      <c r="G28" s="238" t="s">
        <v>75</v>
      </c>
      <c r="H28" s="238" t="s">
        <v>75</v>
      </c>
      <c r="I28" s="238" t="s">
        <v>75</v>
      </c>
      <c r="J28" s="238" t="s">
        <v>75</v>
      </c>
      <c r="K28" s="238" t="s">
        <v>75</v>
      </c>
      <c r="L28" s="238" t="s">
        <v>75</v>
      </c>
      <c r="M28" s="238" t="s">
        <v>75</v>
      </c>
      <c r="N28" s="238" t="s">
        <v>75</v>
      </c>
      <c r="O28" s="238" t="s">
        <v>75</v>
      </c>
      <c r="P28" s="238" t="s">
        <v>75</v>
      </c>
      <c r="Q28" s="238" t="s">
        <v>75</v>
      </c>
      <c r="R28" s="238" t="s">
        <v>75</v>
      </c>
      <c r="S28" s="238" t="s">
        <v>75</v>
      </c>
      <c r="T28" s="238" t="s">
        <v>75</v>
      </c>
    </row>
    <row r="29" spans="1:20" ht="13.25" customHeight="1">
      <c r="A29" s="83"/>
      <c r="B29" s="23" t="s">
        <v>47</v>
      </c>
      <c r="C29" s="238" t="s">
        <v>75</v>
      </c>
      <c r="D29" s="238" t="s">
        <v>75</v>
      </c>
      <c r="E29" s="238" t="s">
        <v>75</v>
      </c>
      <c r="F29" s="238" t="s">
        <v>75</v>
      </c>
      <c r="G29" s="238" t="s">
        <v>75</v>
      </c>
      <c r="H29" s="238" t="s">
        <v>75</v>
      </c>
      <c r="I29" s="238" t="s">
        <v>75</v>
      </c>
      <c r="J29" s="238" t="s">
        <v>75</v>
      </c>
      <c r="K29" s="238" t="s">
        <v>75</v>
      </c>
      <c r="L29" s="238" t="s">
        <v>75</v>
      </c>
      <c r="M29" s="238" t="s">
        <v>75</v>
      </c>
      <c r="N29" s="238" t="s">
        <v>75</v>
      </c>
      <c r="O29" s="238" t="s">
        <v>75</v>
      </c>
      <c r="P29" s="238" t="s">
        <v>75</v>
      </c>
      <c r="Q29" s="238" t="s">
        <v>75</v>
      </c>
      <c r="R29" s="238" t="s">
        <v>75</v>
      </c>
      <c r="S29" s="238" t="s">
        <v>75</v>
      </c>
      <c r="T29" s="238" t="s">
        <v>75</v>
      </c>
    </row>
    <row r="30" spans="1:20" ht="13.25" customHeight="1">
      <c r="A30" s="83"/>
      <c r="B30" s="23" t="s">
        <v>48</v>
      </c>
      <c r="C30" s="238" t="s">
        <v>75</v>
      </c>
      <c r="D30" s="238" t="s">
        <v>75</v>
      </c>
      <c r="E30" s="238" t="s">
        <v>75</v>
      </c>
      <c r="F30" s="238" t="s">
        <v>75</v>
      </c>
      <c r="G30" s="238" t="s">
        <v>75</v>
      </c>
      <c r="H30" s="238" t="s">
        <v>75</v>
      </c>
      <c r="I30" s="238" t="s">
        <v>75</v>
      </c>
      <c r="J30" s="238" t="s">
        <v>75</v>
      </c>
      <c r="K30" s="238" t="s">
        <v>75</v>
      </c>
      <c r="L30" s="238" t="s">
        <v>75</v>
      </c>
      <c r="M30" s="238" t="s">
        <v>75</v>
      </c>
      <c r="N30" s="238" t="s">
        <v>75</v>
      </c>
      <c r="O30" s="238" t="s">
        <v>75</v>
      </c>
      <c r="P30" s="238" t="s">
        <v>75</v>
      </c>
      <c r="Q30" s="238" t="s">
        <v>75</v>
      </c>
      <c r="R30" s="238" t="s">
        <v>75</v>
      </c>
      <c r="S30" s="238" t="s">
        <v>75</v>
      </c>
      <c r="T30" s="238" t="s">
        <v>75</v>
      </c>
    </row>
    <row r="31" spans="1:20" ht="13.25" customHeight="1" thickBot="1">
      <c r="A31" s="88"/>
      <c r="B31" s="577" t="s">
        <v>49</v>
      </c>
      <c r="C31" s="576" t="s">
        <v>75</v>
      </c>
      <c r="D31" s="576" t="s">
        <v>75</v>
      </c>
      <c r="E31" s="576" t="s">
        <v>75</v>
      </c>
      <c r="F31" s="576" t="s">
        <v>75</v>
      </c>
      <c r="G31" s="576" t="s">
        <v>75</v>
      </c>
      <c r="H31" s="576" t="s">
        <v>75</v>
      </c>
      <c r="I31" s="576" t="s">
        <v>75</v>
      </c>
      <c r="J31" s="576" t="s">
        <v>75</v>
      </c>
      <c r="K31" s="576" t="s">
        <v>75</v>
      </c>
      <c r="L31" s="576" t="s">
        <v>75</v>
      </c>
      <c r="M31" s="576" t="s">
        <v>75</v>
      </c>
      <c r="N31" s="576" t="s">
        <v>75</v>
      </c>
      <c r="O31" s="576" t="s">
        <v>75</v>
      </c>
      <c r="P31" s="576" t="s">
        <v>75</v>
      </c>
      <c r="Q31" s="576" t="s">
        <v>75</v>
      </c>
      <c r="R31" s="576" t="s">
        <v>75</v>
      </c>
      <c r="S31" s="576" t="s">
        <v>75</v>
      </c>
      <c r="T31" s="576" t="s">
        <v>75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82" t="s">
        <v>425</v>
      </c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1">
    <tabColor theme="9" tint="0.59999389629810485"/>
  </sheetPr>
  <dimension ref="A2:T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1" width="8.19921875" style="82" customWidth="1"/>
    <col min="22" max="16384" width="7" style="82"/>
  </cols>
  <sheetData>
    <row r="2" spans="1:20" ht="13.25" customHeight="1">
      <c r="A2" s="230" t="s">
        <v>394</v>
      </c>
      <c r="B2" s="231"/>
    </row>
    <row r="3" spans="1:20" ht="13.25" customHeight="1">
      <c r="A3" s="232" t="s">
        <v>238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349</v>
      </c>
      <c r="R5" s="569" t="s">
        <v>351</v>
      </c>
      <c r="S5" s="569" t="s">
        <v>393</v>
      </c>
      <c r="T5" s="569" t="s">
        <v>393</v>
      </c>
    </row>
    <row r="6" spans="1:20" ht="15" customHeight="1">
      <c r="A6" s="963" t="s">
        <v>96</v>
      </c>
      <c r="B6" s="963"/>
      <c r="C6" s="574">
        <f>(C8+C9+C10+C11+C12+C13+C14+C15+C16+C17+C18+C19+C20+C21+C22+C23+C24+C25+C26+C27+C28+C29+C30+C31)</f>
        <v>1995906</v>
      </c>
      <c r="D6" s="574">
        <f>(D8+D9+D10+D11+D12+D13+D14+D15+D16+D17+D18+D19+D20+D21+D22+D23+D24+D25+D26+D27+D28+D29+D30+D31)</f>
        <v>1980553</v>
      </c>
      <c r="E6" s="574">
        <v>2208305</v>
      </c>
      <c r="F6" s="574">
        <v>2325284</v>
      </c>
      <c r="G6" s="574">
        <v>2513106</v>
      </c>
      <c r="H6" s="574">
        <v>2481124</v>
      </c>
      <c r="I6" s="574">
        <v>2573193</v>
      </c>
      <c r="J6" s="574">
        <v>2636389</v>
      </c>
      <c r="K6" s="574">
        <v>2391039</v>
      </c>
      <c r="L6" s="574">
        <v>2894758</v>
      </c>
      <c r="M6" s="574">
        <v>2372976</v>
      </c>
      <c r="N6" s="574">
        <v>2420549</v>
      </c>
      <c r="O6" s="574">
        <v>2296839</v>
      </c>
      <c r="P6" s="574">
        <v>2365529</v>
      </c>
      <c r="Q6" s="574">
        <f>SUM(Q8:Q31)</f>
        <v>2254980</v>
      </c>
      <c r="R6" s="574">
        <f>SUM(R8:R31)</f>
        <v>2131029</v>
      </c>
      <c r="S6" s="574">
        <f>SUM(S8:S31)</f>
        <v>2119402</v>
      </c>
      <c r="T6" s="574">
        <f>SUM(T8:T31)</f>
        <v>2139190</v>
      </c>
    </row>
    <row r="7" spans="1:20" ht="3" customHeight="1">
      <c r="A7" s="83"/>
      <c r="B7" s="84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0" ht="13.25" customHeight="1">
      <c r="A8" s="83"/>
      <c r="B8" s="23" t="s">
        <v>21</v>
      </c>
      <c r="C8" s="224">
        <v>0</v>
      </c>
      <c r="D8" s="224">
        <v>0</v>
      </c>
      <c r="E8" s="224" t="s">
        <v>241</v>
      </c>
      <c r="F8" s="224" t="s">
        <v>241</v>
      </c>
      <c r="G8" s="224" t="s">
        <v>241</v>
      </c>
      <c r="H8" s="224" t="s">
        <v>241</v>
      </c>
      <c r="I8" s="224" t="s">
        <v>241</v>
      </c>
      <c r="J8" s="224" t="s">
        <v>241</v>
      </c>
      <c r="K8" s="224" t="s">
        <v>241</v>
      </c>
      <c r="L8" s="224" t="s">
        <v>241</v>
      </c>
      <c r="M8" s="224" t="s">
        <v>241</v>
      </c>
      <c r="N8" s="224" t="s">
        <v>241</v>
      </c>
      <c r="O8" s="224" t="s">
        <v>241</v>
      </c>
      <c r="P8" s="224" t="s">
        <v>241</v>
      </c>
      <c r="Q8" s="224" t="s">
        <v>241</v>
      </c>
      <c r="R8" s="224" t="s">
        <v>241</v>
      </c>
      <c r="S8" s="224" t="s">
        <v>241</v>
      </c>
      <c r="T8" s="224" t="s">
        <v>241</v>
      </c>
    </row>
    <row r="9" spans="1:20" ht="13.25" customHeight="1">
      <c r="A9" s="83"/>
      <c r="B9" s="23" t="s">
        <v>22</v>
      </c>
      <c r="C9" s="224">
        <v>0</v>
      </c>
      <c r="D9" s="224">
        <v>0</v>
      </c>
      <c r="E9" s="224" t="s">
        <v>241</v>
      </c>
      <c r="F9" s="224" t="s">
        <v>241</v>
      </c>
      <c r="G9" s="224" t="s">
        <v>241</v>
      </c>
      <c r="H9" s="224" t="s">
        <v>241</v>
      </c>
      <c r="I9" s="224" t="s">
        <v>241</v>
      </c>
      <c r="J9" s="224" t="s">
        <v>241</v>
      </c>
      <c r="K9" s="224" t="s">
        <v>241</v>
      </c>
      <c r="L9" s="224" t="s">
        <v>241</v>
      </c>
      <c r="M9" s="224">
        <v>135</v>
      </c>
      <c r="N9" s="224">
        <v>33</v>
      </c>
      <c r="O9" s="224">
        <v>74</v>
      </c>
      <c r="P9" s="224">
        <v>48</v>
      </c>
      <c r="Q9" s="224">
        <v>53</v>
      </c>
      <c r="R9" s="224">
        <v>56</v>
      </c>
      <c r="S9" s="224">
        <v>49</v>
      </c>
      <c r="T9" s="224">
        <v>47</v>
      </c>
    </row>
    <row r="10" spans="1:20" ht="13.25" customHeight="1">
      <c r="A10" s="83"/>
      <c r="B10" s="23" t="s">
        <v>23</v>
      </c>
      <c r="C10" s="224">
        <v>0</v>
      </c>
      <c r="D10" s="224">
        <v>0</v>
      </c>
      <c r="E10" s="224" t="s">
        <v>241</v>
      </c>
      <c r="F10" s="224" t="s">
        <v>241</v>
      </c>
      <c r="G10" s="224" t="s">
        <v>241</v>
      </c>
      <c r="H10" s="224" t="s">
        <v>241</v>
      </c>
      <c r="I10" s="224" t="s">
        <v>241</v>
      </c>
      <c r="J10" s="224" t="s">
        <v>241</v>
      </c>
      <c r="K10" s="224" t="s">
        <v>241</v>
      </c>
      <c r="L10" s="224" t="s">
        <v>241</v>
      </c>
      <c r="M10" s="224" t="s">
        <v>241</v>
      </c>
      <c r="N10" s="224" t="s">
        <v>241</v>
      </c>
      <c r="O10" s="224" t="s">
        <v>241</v>
      </c>
      <c r="P10" s="224" t="s">
        <v>241</v>
      </c>
      <c r="Q10" s="224" t="s">
        <v>241</v>
      </c>
      <c r="R10" s="224" t="s">
        <v>241</v>
      </c>
      <c r="S10" s="224" t="s">
        <v>241</v>
      </c>
      <c r="T10" s="224" t="s">
        <v>241</v>
      </c>
    </row>
    <row r="11" spans="1:20" ht="13.25" customHeight="1">
      <c r="A11" s="83"/>
      <c r="B11" s="23" t="s">
        <v>24</v>
      </c>
      <c r="C11" s="224">
        <v>4028</v>
      </c>
      <c r="D11" s="224">
        <v>4320</v>
      </c>
      <c r="E11" s="224">
        <v>4415</v>
      </c>
      <c r="F11" s="224">
        <v>3804</v>
      </c>
      <c r="G11" s="224">
        <v>5953</v>
      </c>
      <c r="H11" s="224">
        <v>5366</v>
      </c>
      <c r="I11" s="224">
        <v>5072</v>
      </c>
      <c r="J11" s="224">
        <v>5594</v>
      </c>
      <c r="K11" s="224">
        <v>5899</v>
      </c>
      <c r="L11" s="224">
        <v>5988</v>
      </c>
      <c r="M11" s="224">
        <v>6189</v>
      </c>
      <c r="N11" s="224">
        <v>6140</v>
      </c>
      <c r="O11" s="224">
        <v>6568</v>
      </c>
      <c r="P11" s="224">
        <v>6590</v>
      </c>
      <c r="Q11" s="224">
        <v>6520</v>
      </c>
      <c r="R11" s="224">
        <v>6479</v>
      </c>
      <c r="S11" s="224">
        <v>6052</v>
      </c>
      <c r="T11" s="224">
        <v>5297</v>
      </c>
    </row>
    <row r="12" spans="1:20" ht="13.25" customHeight="1">
      <c r="A12" s="83"/>
      <c r="B12" s="23" t="s">
        <v>25</v>
      </c>
      <c r="C12" s="224">
        <v>615</v>
      </c>
      <c r="D12" s="224">
        <v>670</v>
      </c>
      <c r="E12" s="224">
        <v>540</v>
      </c>
      <c r="F12" s="224">
        <v>125</v>
      </c>
      <c r="G12" s="224">
        <v>150</v>
      </c>
      <c r="H12" s="224" t="s">
        <v>241</v>
      </c>
      <c r="I12" s="224" t="s">
        <v>241</v>
      </c>
      <c r="J12" s="224" t="s">
        <v>241</v>
      </c>
      <c r="K12" s="224" t="s">
        <v>241</v>
      </c>
      <c r="L12" s="224" t="s">
        <v>241</v>
      </c>
      <c r="M12" s="224" t="s">
        <v>241</v>
      </c>
      <c r="N12" s="224" t="s">
        <v>241</v>
      </c>
      <c r="O12" s="224" t="s">
        <v>241</v>
      </c>
      <c r="P12" s="224" t="s">
        <v>241</v>
      </c>
      <c r="Q12" s="224" t="s">
        <v>241</v>
      </c>
      <c r="R12" s="224" t="s">
        <v>241</v>
      </c>
      <c r="S12" s="224" t="s">
        <v>241</v>
      </c>
      <c r="T12" s="224" t="s">
        <v>241</v>
      </c>
    </row>
    <row r="13" spans="1:20" ht="13.25" customHeight="1">
      <c r="A13" s="83"/>
      <c r="B13" s="23" t="s">
        <v>29</v>
      </c>
      <c r="C13" s="224">
        <v>0</v>
      </c>
      <c r="D13" s="224">
        <v>0</v>
      </c>
      <c r="E13" s="224" t="s">
        <v>241</v>
      </c>
      <c r="F13" s="224" t="s">
        <v>241</v>
      </c>
      <c r="G13" s="224" t="s">
        <v>241</v>
      </c>
      <c r="H13" s="224" t="s">
        <v>241</v>
      </c>
      <c r="I13" s="224" t="s">
        <v>241</v>
      </c>
      <c r="J13" s="224" t="s">
        <v>241</v>
      </c>
      <c r="K13" s="224" t="s">
        <v>241</v>
      </c>
      <c r="L13" s="224" t="s">
        <v>241</v>
      </c>
      <c r="M13" s="224" t="s">
        <v>241</v>
      </c>
      <c r="N13" s="224" t="s">
        <v>241</v>
      </c>
      <c r="O13" s="224" t="s">
        <v>241</v>
      </c>
      <c r="P13" s="224" t="s">
        <v>241</v>
      </c>
      <c r="Q13" s="224" t="s">
        <v>241</v>
      </c>
      <c r="R13" s="224" t="s">
        <v>241</v>
      </c>
      <c r="S13" s="224" t="s">
        <v>241</v>
      </c>
      <c r="T13" s="224" t="s">
        <v>241</v>
      </c>
    </row>
    <row r="14" spans="1:20" ht="13.25" customHeight="1">
      <c r="A14" s="83"/>
      <c r="B14" s="23" t="s">
        <v>30</v>
      </c>
      <c r="C14" s="224">
        <v>4285</v>
      </c>
      <c r="D14" s="224">
        <v>3089</v>
      </c>
      <c r="E14" s="224">
        <v>5010</v>
      </c>
      <c r="F14" s="224">
        <v>1737</v>
      </c>
      <c r="G14" s="224">
        <v>1683</v>
      </c>
      <c r="H14" s="224">
        <v>1520</v>
      </c>
      <c r="I14" s="224">
        <v>1683</v>
      </c>
      <c r="J14" s="224">
        <v>1420</v>
      </c>
      <c r="K14" s="224" t="s">
        <v>241</v>
      </c>
      <c r="L14" s="224" t="s">
        <v>241</v>
      </c>
      <c r="M14" s="224" t="s">
        <v>241</v>
      </c>
      <c r="N14" s="224" t="s">
        <v>241</v>
      </c>
      <c r="O14" s="224" t="s">
        <v>241</v>
      </c>
      <c r="P14" s="224" t="s">
        <v>241</v>
      </c>
      <c r="Q14" s="224" t="s">
        <v>241</v>
      </c>
      <c r="R14" s="224" t="s">
        <v>241</v>
      </c>
      <c r="S14" s="224" t="s">
        <v>241</v>
      </c>
      <c r="T14" s="224" t="s">
        <v>241</v>
      </c>
    </row>
    <row r="15" spans="1:20" ht="13.25" customHeight="1">
      <c r="A15" s="83"/>
      <c r="B15" s="23" t="s">
        <v>31</v>
      </c>
      <c r="C15" s="224">
        <v>485</v>
      </c>
      <c r="D15" s="224">
        <v>3369</v>
      </c>
      <c r="E15" s="224">
        <v>3708</v>
      </c>
      <c r="F15" s="224">
        <v>4565</v>
      </c>
      <c r="G15" s="224">
        <v>3148</v>
      </c>
      <c r="H15" s="224">
        <v>2941</v>
      </c>
      <c r="I15" s="224">
        <v>2086</v>
      </c>
      <c r="J15" s="224">
        <v>3080</v>
      </c>
      <c r="K15" s="224">
        <v>3155</v>
      </c>
      <c r="L15" s="224">
        <v>2891</v>
      </c>
      <c r="M15" s="224">
        <v>3695</v>
      </c>
      <c r="N15" s="224">
        <v>22803</v>
      </c>
      <c r="O15" s="224">
        <v>20363</v>
      </c>
      <c r="P15" s="224">
        <v>19639</v>
      </c>
      <c r="Q15" s="224">
        <v>18461</v>
      </c>
      <c r="R15" s="224">
        <v>17667</v>
      </c>
      <c r="S15" s="224">
        <v>19457</v>
      </c>
      <c r="T15" s="224">
        <v>17102</v>
      </c>
    </row>
    <row r="16" spans="1:20" ht="13.25" customHeight="1">
      <c r="A16" s="83"/>
      <c r="B16" s="23" t="s">
        <v>32</v>
      </c>
      <c r="C16" s="224">
        <v>0</v>
      </c>
      <c r="D16" s="224">
        <v>0</v>
      </c>
      <c r="E16" s="224" t="s">
        <v>241</v>
      </c>
      <c r="F16" s="224" t="s">
        <v>241</v>
      </c>
      <c r="G16" s="224" t="s">
        <v>241</v>
      </c>
      <c r="H16" s="224" t="s">
        <v>241</v>
      </c>
      <c r="I16" s="224" t="s">
        <v>241</v>
      </c>
      <c r="J16" s="224" t="s">
        <v>241</v>
      </c>
      <c r="K16" s="224" t="s">
        <v>241</v>
      </c>
      <c r="L16" s="224" t="s">
        <v>241</v>
      </c>
      <c r="M16" s="224" t="s">
        <v>241</v>
      </c>
      <c r="N16" s="224" t="s">
        <v>241</v>
      </c>
      <c r="O16" s="224" t="s">
        <v>241</v>
      </c>
      <c r="P16" s="224" t="s">
        <v>241</v>
      </c>
      <c r="Q16" s="224" t="s">
        <v>241</v>
      </c>
      <c r="R16" s="224" t="s">
        <v>241</v>
      </c>
      <c r="S16" s="224" t="s">
        <v>241</v>
      </c>
      <c r="T16" s="224" t="s">
        <v>241</v>
      </c>
    </row>
    <row r="17" spans="1:20" ht="13.25" customHeight="1">
      <c r="A17" s="83"/>
      <c r="B17" s="23" t="s">
        <v>33</v>
      </c>
      <c r="C17" s="224">
        <v>1154</v>
      </c>
      <c r="D17" s="224">
        <v>1002</v>
      </c>
      <c r="E17" s="224">
        <v>613</v>
      </c>
      <c r="F17" s="224">
        <v>978</v>
      </c>
      <c r="G17" s="224">
        <v>100</v>
      </c>
      <c r="H17" s="224">
        <v>17</v>
      </c>
      <c r="I17" s="224">
        <v>0</v>
      </c>
      <c r="J17" s="224">
        <v>723</v>
      </c>
      <c r="K17" s="224">
        <v>187</v>
      </c>
      <c r="L17" s="224">
        <v>250</v>
      </c>
      <c r="M17" s="224">
        <v>773</v>
      </c>
      <c r="N17" s="224">
        <v>2084</v>
      </c>
      <c r="O17" s="224">
        <v>2742</v>
      </c>
      <c r="P17" s="224">
        <v>2772</v>
      </c>
      <c r="Q17" s="224">
        <v>1457</v>
      </c>
      <c r="R17" s="224">
        <v>1661</v>
      </c>
      <c r="S17" s="224">
        <v>1803</v>
      </c>
      <c r="T17" s="224">
        <v>2033</v>
      </c>
    </row>
    <row r="18" spans="1:20" ht="13.25" customHeight="1">
      <c r="A18" s="83"/>
      <c r="B18" s="23" t="s">
        <v>34</v>
      </c>
      <c r="C18" s="224">
        <v>17989</v>
      </c>
      <c r="D18" s="224">
        <v>21293</v>
      </c>
      <c r="E18" s="224">
        <v>31731</v>
      </c>
      <c r="F18" s="224">
        <v>35641</v>
      </c>
      <c r="G18" s="224">
        <v>35058</v>
      </c>
      <c r="H18" s="224">
        <v>34872</v>
      </c>
      <c r="I18" s="224">
        <v>46412</v>
      </c>
      <c r="J18" s="224">
        <v>48600</v>
      </c>
      <c r="K18" s="224">
        <v>49774</v>
      </c>
      <c r="L18" s="224">
        <v>56683</v>
      </c>
      <c r="M18" s="224">
        <v>65388</v>
      </c>
      <c r="N18" s="224">
        <v>71070</v>
      </c>
      <c r="O18" s="224">
        <v>74094</v>
      </c>
      <c r="P18" s="224">
        <v>81469</v>
      </c>
      <c r="Q18" s="224">
        <v>85162</v>
      </c>
      <c r="R18" s="224">
        <v>88313</v>
      </c>
      <c r="S18" s="224">
        <v>97315</v>
      </c>
      <c r="T18" s="224">
        <v>103958</v>
      </c>
    </row>
    <row r="19" spans="1:20" ht="13.25" customHeight="1">
      <c r="A19" s="83"/>
      <c r="B19" s="23" t="s">
        <v>35</v>
      </c>
      <c r="C19" s="224">
        <v>20030</v>
      </c>
      <c r="D19" s="224">
        <v>20420</v>
      </c>
      <c r="E19" s="224">
        <v>13605</v>
      </c>
      <c r="F19" s="224">
        <v>34313</v>
      </c>
      <c r="G19" s="224">
        <v>33970</v>
      </c>
      <c r="H19" s="224">
        <v>33616</v>
      </c>
      <c r="I19" s="224">
        <v>48775</v>
      </c>
      <c r="J19" s="224">
        <v>53277</v>
      </c>
      <c r="K19" s="224">
        <v>41363</v>
      </c>
      <c r="L19" s="224">
        <v>57138</v>
      </c>
      <c r="M19" s="224">
        <v>49034</v>
      </c>
      <c r="N19" s="224">
        <v>51378</v>
      </c>
      <c r="O19" s="224">
        <v>50060</v>
      </c>
      <c r="P19" s="224">
        <v>55627</v>
      </c>
      <c r="Q19" s="224">
        <v>55889</v>
      </c>
      <c r="R19" s="224">
        <v>55859</v>
      </c>
      <c r="S19" s="224">
        <v>59359</v>
      </c>
      <c r="T19" s="224">
        <v>63261</v>
      </c>
    </row>
    <row r="20" spans="1:20" ht="13.25" customHeight="1">
      <c r="A20" s="83"/>
      <c r="B20" s="23" t="s">
        <v>36</v>
      </c>
      <c r="C20" s="224">
        <v>93497</v>
      </c>
      <c r="D20" s="224">
        <v>87269</v>
      </c>
      <c r="E20" s="224">
        <v>70402</v>
      </c>
      <c r="F20" s="224">
        <v>37578</v>
      </c>
      <c r="G20" s="224">
        <v>62597</v>
      </c>
      <c r="H20" s="224">
        <v>60037</v>
      </c>
      <c r="I20" s="224">
        <v>57757</v>
      </c>
      <c r="J20" s="224">
        <v>79033</v>
      </c>
      <c r="K20" s="224">
        <v>43508</v>
      </c>
      <c r="L20" s="224">
        <v>33261</v>
      </c>
      <c r="M20" s="224">
        <v>46571</v>
      </c>
      <c r="N20" s="224">
        <v>76383</v>
      </c>
      <c r="O20" s="224">
        <v>64571</v>
      </c>
      <c r="P20" s="224">
        <v>89649</v>
      </c>
      <c r="Q20" s="224">
        <v>57877</v>
      </c>
      <c r="R20" s="224">
        <v>55468</v>
      </c>
      <c r="S20" s="224">
        <v>53794</v>
      </c>
      <c r="T20" s="224">
        <v>53379</v>
      </c>
    </row>
    <row r="21" spans="1:20" ht="13.25" customHeight="1">
      <c r="A21" s="83"/>
      <c r="B21" s="23" t="s">
        <v>37</v>
      </c>
      <c r="C21" s="224">
        <v>119251</v>
      </c>
      <c r="D21" s="224">
        <v>153477</v>
      </c>
      <c r="E21" s="224">
        <v>179722</v>
      </c>
      <c r="F21" s="224">
        <v>192907</v>
      </c>
      <c r="G21" s="224">
        <v>228350</v>
      </c>
      <c r="H21" s="224">
        <v>224945</v>
      </c>
      <c r="I21" s="224">
        <v>213292</v>
      </c>
      <c r="J21" s="224">
        <v>195858</v>
      </c>
      <c r="K21" s="224">
        <v>187980</v>
      </c>
      <c r="L21" s="224">
        <v>210921</v>
      </c>
      <c r="M21" s="224">
        <v>150095</v>
      </c>
      <c r="N21" s="224">
        <v>140598</v>
      </c>
      <c r="O21" s="224">
        <v>105822</v>
      </c>
      <c r="P21" s="224">
        <v>96849</v>
      </c>
      <c r="Q21" s="224">
        <v>94709</v>
      </c>
      <c r="R21" s="224">
        <v>76951</v>
      </c>
      <c r="S21" s="224">
        <v>64699</v>
      </c>
      <c r="T21" s="224">
        <v>64694</v>
      </c>
    </row>
    <row r="22" spans="1:20" ht="13.25" customHeight="1">
      <c r="A22" s="83"/>
      <c r="B22" s="23" t="s">
        <v>38</v>
      </c>
      <c r="C22" s="224">
        <v>5254</v>
      </c>
      <c r="D22" s="224">
        <v>5629</v>
      </c>
      <c r="E22" s="224">
        <v>9022</v>
      </c>
      <c r="F22" s="224">
        <v>8934</v>
      </c>
      <c r="G22" s="224">
        <v>3729</v>
      </c>
      <c r="H22" s="224">
        <v>18308</v>
      </c>
      <c r="I22" s="224">
        <v>54487</v>
      </c>
      <c r="J22" s="224">
        <v>49180</v>
      </c>
      <c r="K22" s="224">
        <v>23680</v>
      </c>
      <c r="L22" s="224">
        <v>17423</v>
      </c>
      <c r="M22" s="224">
        <v>32525</v>
      </c>
      <c r="N22" s="224">
        <v>26987</v>
      </c>
      <c r="O22" s="224">
        <v>35831</v>
      </c>
      <c r="P22" s="224">
        <v>41211</v>
      </c>
      <c r="Q22" s="224">
        <v>37844</v>
      </c>
      <c r="R22" s="224">
        <v>33393</v>
      </c>
      <c r="S22" s="224">
        <v>27997</v>
      </c>
      <c r="T22" s="224">
        <v>26948</v>
      </c>
    </row>
    <row r="23" spans="1:20" ht="13.25" customHeight="1">
      <c r="A23" s="83"/>
      <c r="B23" s="23" t="s">
        <v>39</v>
      </c>
      <c r="C23" s="224">
        <v>5100</v>
      </c>
      <c r="D23" s="224">
        <v>3970</v>
      </c>
      <c r="E23" s="224">
        <v>7768</v>
      </c>
      <c r="F23" s="224">
        <v>3100</v>
      </c>
      <c r="G23" s="224">
        <v>1968</v>
      </c>
      <c r="H23" s="224">
        <v>13802</v>
      </c>
      <c r="I23" s="224">
        <v>11800</v>
      </c>
      <c r="J23" s="224">
        <v>24119</v>
      </c>
      <c r="K23" s="224">
        <v>16561</v>
      </c>
      <c r="L23" s="224">
        <v>15450</v>
      </c>
      <c r="M23" s="224">
        <v>39643</v>
      </c>
      <c r="N23" s="224">
        <v>32160</v>
      </c>
      <c r="O23" s="224">
        <v>32501</v>
      </c>
      <c r="P23" s="224">
        <v>61545</v>
      </c>
      <c r="Q23" s="224">
        <v>53650</v>
      </c>
      <c r="R23" s="224">
        <v>53819</v>
      </c>
      <c r="S23" s="224">
        <v>33500</v>
      </c>
      <c r="T23" s="224">
        <v>33817</v>
      </c>
    </row>
    <row r="24" spans="1:20" ht="13.25" customHeight="1">
      <c r="A24" s="83"/>
      <c r="B24" s="23" t="s">
        <v>40</v>
      </c>
      <c r="C24" s="224">
        <v>67180</v>
      </c>
      <c r="D24" s="224">
        <v>53218</v>
      </c>
      <c r="E24" s="224">
        <v>62264</v>
      </c>
      <c r="F24" s="224">
        <v>61204</v>
      </c>
      <c r="G24" s="224">
        <v>75043</v>
      </c>
      <c r="H24" s="224">
        <v>53567</v>
      </c>
      <c r="I24" s="224">
        <v>74721</v>
      </c>
      <c r="J24" s="224">
        <v>85040</v>
      </c>
      <c r="K24" s="224">
        <v>89479</v>
      </c>
      <c r="L24" s="224">
        <v>80283</v>
      </c>
      <c r="M24" s="224">
        <v>75801</v>
      </c>
      <c r="N24" s="224">
        <v>93171</v>
      </c>
      <c r="O24" s="224">
        <v>95838</v>
      </c>
      <c r="P24" s="224">
        <v>97555</v>
      </c>
      <c r="Q24" s="224">
        <v>109742</v>
      </c>
      <c r="R24" s="224">
        <v>84495</v>
      </c>
      <c r="S24" s="224">
        <v>82600</v>
      </c>
      <c r="T24" s="224">
        <v>75860</v>
      </c>
    </row>
    <row r="25" spans="1:20" ht="13.25" customHeight="1">
      <c r="A25" s="83"/>
      <c r="B25" s="23" t="s">
        <v>41</v>
      </c>
      <c r="C25" s="224">
        <v>110926</v>
      </c>
      <c r="D25" s="224">
        <v>100982</v>
      </c>
      <c r="E25" s="224">
        <v>115710</v>
      </c>
      <c r="F25" s="224">
        <v>113568</v>
      </c>
      <c r="G25" s="224">
        <v>78155</v>
      </c>
      <c r="H25" s="224">
        <v>77382</v>
      </c>
      <c r="I25" s="224">
        <v>109546</v>
      </c>
      <c r="J25" s="224">
        <v>78748</v>
      </c>
      <c r="K25" s="224">
        <v>72850</v>
      </c>
      <c r="L25" s="224">
        <v>65394</v>
      </c>
      <c r="M25" s="224">
        <v>61614</v>
      </c>
      <c r="N25" s="224">
        <v>54680</v>
      </c>
      <c r="O25" s="224">
        <v>45100</v>
      </c>
      <c r="P25" s="224">
        <v>40810</v>
      </c>
      <c r="Q25" s="224">
        <v>40458</v>
      </c>
      <c r="R25" s="224">
        <v>39873</v>
      </c>
      <c r="S25" s="224">
        <v>38917</v>
      </c>
      <c r="T25" s="224">
        <v>39084</v>
      </c>
    </row>
    <row r="26" spans="1:20" ht="13.25" customHeight="1">
      <c r="A26" s="83"/>
      <c r="B26" s="23" t="s">
        <v>44</v>
      </c>
      <c r="C26" s="224">
        <v>167952</v>
      </c>
      <c r="D26" s="224">
        <v>117405</v>
      </c>
      <c r="E26" s="224">
        <v>272075</v>
      </c>
      <c r="F26" s="224">
        <v>352710</v>
      </c>
      <c r="G26" s="224">
        <v>447362</v>
      </c>
      <c r="H26" s="224">
        <v>393621</v>
      </c>
      <c r="I26" s="224">
        <v>355242</v>
      </c>
      <c r="J26" s="224">
        <v>399422</v>
      </c>
      <c r="K26" s="224">
        <v>312713</v>
      </c>
      <c r="L26" s="224">
        <v>326344</v>
      </c>
      <c r="M26" s="224">
        <v>330367</v>
      </c>
      <c r="N26" s="224">
        <v>320643</v>
      </c>
      <c r="O26" s="224">
        <v>314905</v>
      </c>
      <c r="P26" s="224">
        <v>355005</v>
      </c>
      <c r="Q26" s="224">
        <v>323548</v>
      </c>
      <c r="R26" s="224">
        <v>315865</v>
      </c>
      <c r="S26" s="224">
        <v>342445</v>
      </c>
      <c r="T26" s="224">
        <v>352595</v>
      </c>
    </row>
    <row r="27" spans="1:20" ht="13.25" customHeight="1">
      <c r="A27" s="83"/>
      <c r="B27" s="23" t="s">
        <v>45</v>
      </c>
      <c r="C27" s="224">
        <v>1378160</v>
      </c>
      <c r="D27" s="224">
        <v>1404440</v>
      </c>
      <c r="E27" s="224">
        <v>1431720</v>
      </c>
      <c r="F27" s="224">
        <v>1474120</v>
      </c>
      <c r="G27" s="224">
        <v>1535840</v>
      </c>
      <c r="H27" s="224">
        <v>1561130</v>
      </c>
      <c r="I27" s="224">
        <v>1592320</v>
      </c>
      <c r="J27" s="224">
        <v>1612295</v>
      </c>
      <c r="K27" s="224">
        <v>1543890</v>
      </c>
      <c r="L27" s="224">
        <v>2022732</v>
      </c>
      <c r="M27" s="224">
        <v>1511145</v>
      </c>
      <c r="N27" s="224">
        <v>1522420</v>
      </c>
      <c r="O27" s="224">
        <v>1448371</v>
      </c>
      <c r="P27" s="224">
        <v>1416760</v>
      </c>
      <c r="Q27" s="224">
        <v>1369610</v>
      </c>
      <c r="R27" s="224">
        <v>1301130</v>
      </c>
      <c r="S27" s="224">
        <v>1291415</v>
      </c>
      <c r="T27" s="224">
        <v>1301115</v>
      </c>
    </row>
    <row r="28" spans="1:20" ht="13.25" customHeight="1">
      <c r="A28" s="83"/>
      <c r="B28" s="82" t="s">
        <v>46</v>
      </c>
      <c r="C28" s="224">
        <v>0</v>
      </c>
      <c r="D28" s="224">
        <v>0</v>
      </c>
      <c r="E28" s="224" t="s">
        <v>241</v>
      </c>
      <c r="F28" s="224" t="s">
        <v>241</v>
      </c>
      <c r="G28" s="224" t="s">
        <v>241</v>
      </c>
      <c r="H28" s="224" t="s">
        <v>241</v>
      </c>
      <c r="I28" s="224" t="s">
        <v>241</v>
      </c>
      <c r="J28" s="224" t="s">
        <v>241</v>
      </c>
      <c r="K28" s="224" t="s">
        <v>241</v>
      </c>
      <c r="L28" s="224" t="s">
        <v>241</v>
      </c>
      <c r="M28" s="224" t="s">
        <v>241</v>
      </c>
      <c r="N28" s="224" t="s">
        <v>241</v>
      </c>
      <c r="O28" s="224" t="s">
        <v>241</v>
      </c>
      <c r="P28" s="224" t="s">
        <v>241</v>
      </c>
      <c r="Q28" s="224" t="s">
        <v>241</v>
      </c>
      <c r="R28" s="224" t="s">
        <v>241</v>
      </c>
      <c r="S28" s="224" t="s">
        <v>241</v>
      </c>
      <c r="T28" s="224" t="s">
        <v>241</v>
      </c>
    </row>
    <row r="29" spans="1:20" ht="13.25" customHeight="1">
      <c r="A29" s="83"/>
      <c r="B29" s="23" t="s">
        <v>47</v>
      </c>
      <c r="C29" s="224">
        <v>0</v>
      </c>
      <c r="D29" s="224">
        <v>0</v>
      </c>
      <c r="E29" s="224" t="s">
        <v>241</v>
      </c>
      <c r="F29" s="224" t="s">
        <v>241</v>
      </c>
      <c r="G29" s="224" t="s">
        <v>241</v>
      </c>
      <c r="H29" s="224" t="s">
        <v>241</v>
      </c>
      <c r="I29" s="224" t="s">
        <v>241</v>
      </c>
      <c r="J29" s="224" t="s">
        <v>241</v>
      </c>
      <c r="K29" s="224" t="s">
        <v>241</v>
      </c>
      <c r="L29" s="224" t="s">
        <v>241</v>
      </c>
      <c r="M29" s="224" t="s">
        <v>241</v>
      </c>
      <c r="N29" s="224" t="s">
        <v>241</v>
      </c>
      <c r="O29" s="224" t="s">
        <v>241</v>
      </c>
      <c r="P29" s="224" t="s">
        <v>241</v>
      </c>
      <c r="Q29" s="224" t="s">
        <v>241</v>
      </c>
      <c r="R29" s="224" t="s">
        <v>241</v>
      </c>
      <c r="S29" s="224" t="s">
        <v>241</v>
      </c>
      <c r="T29" s="224" t="s">
        <v>241</v>
      </c>
    </row>
    <row r="30" spans="1:20" ht="13.25" customHeight="1">
      <c r="A30" s="83"/>
      <c r="B30" s="23" t="s">
        <v>48</v>
      </c>
      <c r="C30" s="224">
        <v>0</v>
      </c>
      <c r="D30" s="224">
        <v>0</v>
      </c>
      <c r="E30" s="224" t="s">
        <v>241</v>
      </c>
      <c r="F30" s="224" t="s">
        <v>241</v>
      </c>
      <c r="G30" s="224" t="s">
        <v>241</v>
      </c>
      <c r="H30" s="224" t="s">
        <v>241</v>
      </c>
      <c r="I30" s="224" t="s">
        <v>241</v>
      </c>
      <c r="J30" s="224" t="s">
        <v>241</v>
      </c>
      <c r="K30" s="224" t="s">
        <v>241</v>
      </c>
      <c r="L30" s="224" t="s">
        <v>241</v>
      </c>
      <c r="M30" s="224" t="s">
        <v>241</v>
      </c>
      <c r="N30" s="224" t="s">
        <v>241</v>
      </c>
      <c r="O30" s="224" t="s">
        <v>241</v>
      </c>
      <c r="P30" s="224" t="s">
        <v>241</v>
      </c>
      <c r="Q30" s="224" t="s">
        <v>241</v>
      </c>
      <c r="R30" s="224" t="s">
        <v>241</v>
      </c>
      <c r="S30" s="224" t="s">
        <v>241</v>
      </c>
      <c r="T30" s="224" t="s">
        <v>241</v>
      </c>
    </row>
    <row r="31" spans="1:20" ht="13.25" customHeight="1" thickBot="1">
      <c r="A31" s="88"/>
      <c r="B31" s="577" t="s">
        <v>49</v>
      </c>
      <c r="C31" s="582">
        <v>0</v>
      </c>
      <c r="D31" s="582">
        <v>0</v>
      </c>
      <c r="E31" s="582" t="s">
        <v>241</v>
      </c>
      <c r="F31" s="582" t="s">
        <v>241</v>
      </c>
      <c r="G31" s="582" t="s">
        <v>241</v>
      </c>
      <c r="H31" s="582" t="s">
        <v>241</v>
      </c>
      <c r="I31" s="582" t="s">
        <v>241</v>
      </c>
      <c r="J31" s="582" t="s">
        <v>241</v>
      </c>
      <c r="K31" s="582" t="s">
        <v>241</v>
      </c>
      <c r="L31" s="582" t="s">
        <v>241</v>
      </c>
      <c r="M31" s="582" t="s">
        <v>241</v>
      </c>
      <c r="N31" s="582" t="s">
        <v>241</v>
      </c>
      <c r="O31" s="582" t="s">
        <v>241</v>
      </c>
      <c r="P31" s="582" t="s">
        <v>241</v>
      </c>
      <c r="Q31" s="582" t="s">
        <v>241</v>
      </c>
      <c r="R31" s="582" t="s">
        <v>241</v>
      </c>
      <c r="S31" s="582" t="s">
        <v>241</v>
      </c>
      <c r="T31" s="582" t="s">
        <v>241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2">
    <tabColor theme="9" tint="0.59999389629810485"/>
  </sheetPr>
  <dimension ref="A2:W36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6" width="8.19921875" style="82" customWidth="1"/>
    <col min="27" max="16384" width="7" style="82"/>
  </cols>
  <sheetData>
    <row r="2" spans="1:23" ht="13.25" customHeight="1">
      <c r="A2" s="230" t="s">
        <v>514</v>
      </c>
      <c r="B2" s="231"/>
    </row>
    <row r="3" spans="1:23" ht="13.25" customHeight="1">
      <c r="A3" s="232" t="s">
        <v>236</v>
      </c>
      <c r="B3" s="232"/>
    </row>
    <row r="4" spans="1:23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3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3" ht="15" customHeight="1">
      <c r="A6" s="963" t="s">
        <v>96</v>
      </c>
      <c r="B6" s="963"/>
      <c r="C6" s="572">
        <f>(C8+C9+C10+C11+C12+C13+C14+C15+C16+C17+C18+C19+C20+C21+C22+C23+C24+C25+C26+C27+C28+C29+C30+C31)</f>
        <v>3596</v>
      </c>
      <c r="D6" s="572">
        <f>(D8+D9+D10+D11+D12+D13+D14+D15+D16+D17+D18+D19+D20+D21+D22+D23+D24+D25+D26+D27+D28+D29+D30+D31)</f>
        <v>3510</v>
      </c>
      <c r="E6" s="573">
        <v>3895</v>
      </c>
      <c r="F6" s="573">
        <v>4019</v>
      </c>
      <c r="G6" s="573">
        <v>4387</v>
      </c>
      <c r="H6" s="573">
        <v>4352</v>
      </c>
      <c r="I6" s="573">
        <v>4661</v>
      </c>
      <c r="J6" s="573">
        <v>4797</v>
      </c>
      <c r="K6" s="573">
        <v>4420</v>
      </c>
      <c r="L6" s="573">
        <v>4485</v>
      </c>
      <c r="M6" s="573">
        <v>4438</v>
      </c>
      <c r="N6" s="573">
        <v>4508</v>
      </c>
      <c r="O6" s="573">
        <v>4314</v>
      </c>
      <c r="P6" s="573">
        <v>4575</v>
      </c>
      <c r="Q6" s="573">
        <f>SUM(Q8:Q31)</f>
        <v>4453</v>
      </c>
      <c r="R6" s="573">
        <f>SUM(R8:R31)</f>
        <v>4351.7000000000007</v>
      </c>
      <c r="S6" s="573">
        <f>SUM(S8:S31)</f>
        <v>4403.2</v>
      </c>
      <c r="T6" s="573">
        <f>SUM(T8:T31)</f>
        <v>4422.17</v>
      </c>
    </row>
    <row r="7" spans="1:23" ht="3" customHeight="1">
      <c r="A7" s="83"/>
      <c r="B7" s="84"/>
      <c r="C7" s="235"/>
      <c r="D7" s="235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</row>
    <row r="8" spans="1:23" ht="13.25" customHeight="1">
      <c r="A8" s="83"/>
      <c r="B8" s="23" t="s">
        <v>21</v>
      </c>
      <c r="C8" s="240">
        <v>0</v>
      </c>
      <c r="D8" s="240">
        <v>0</v>
      </c>
      <c r="E8" s="239" t="s">
        <v>636</v>
      </c>
      <c r="F8" s="239" t="s">
        <v>636</v>
      </c>
      <c r="G8" s="239" t="s">
        <v>636</v>
      </c>
      <c r="H8" s="239" t="s">
        <v>636</v>
      </c>
      <c r="I8" s="239" t="s">
        <v>636</v>
      </c>
      <c r="J8" s="239" t="s">
        <v>636</v>
      </c>
      <c r="K8" s="239" t="s">
        <v>636</v>
      </c>
      <c r="L8" s="239" t="s">
        <v>636</v>
      </c>
      <c r="M8" s="239" t="s">
        <v>636</v>
      </c>
      <c r="N8" s="239" t="s">
        <v>636</v>
      </c>
      <c r="O8" s="239" t="s">
        <v>636</v>
      </c>
      <c r="P8" s="239" t="s">
        <v>636</v>
      </c>
      <c r="Q8" s="239" t="s">
        <v>636</v>
      </c>
      <c r="R8" s="239" t="s">
        <v>636</v>
      </c>
      <c r="S8" s="239" t="s">
        <v>636</v>
      </c>
      <c r="T8" s="239" t="s">
        <v>636</v>
      </c>
    </row>
    <row r="9" spans="1:23" ht="13.25" customHeight="1">
      <c r="A9" s="83"/>
      <c r="B9" s="23" t="s">
        <v>22</v>
      </c>
      <c r="C9" s="240">
        <v>0</v>
      </c>
      <c r="D9" s="240">
        <v>0</v>
      </c>
      <c r="E9" s="239" t="s">
        <v>636</v>
      </c>
      <c r="F9" s="239" t="s">
        <v>636</v>
      </c>
      <c r="G9" s="239" t="s">
        <v>636</v>
      </c>
      <c r="H9" s="239" t="s">
        <v>636</v>
      </c>
      <c r="I9" s="239" t="s">
        <v>636</v>
      </c>
      <c r="J9" s="239" t="s">
        <v>636</v>
      </c>
      <c r="K9" s="239" t="s">
        <v>636</v>
      </c>
      <c r="L9" s="239" t="s">
        <v>636</v>
      </c>
      <c r="M9" s="239" t="s">
        <v>636</v>
      </c>
      <c r="N9" s="239" t="s">
        <v>636</v>
      </c>
      <c r="O9" s="239" t="s">
        <v>636</v>
      </c>
      <c r="P9" s="239" t="s">
        <v>636</v>
      </c>
      <c r="Q9" s="239" t="s">
        <v>636</v>
      </c>
      <c r="R9" s="239" t="s">
        <v>636</v>
      </c>
      <c r="S9" s="239" t="s">
        <v>636</v>
      </c>
      <c r="T9" s="239">
        <v>7.0000000000000007E-2</v>
      </c>
      <c r="V9" s="90"/>
    </row>
    <row r="10" spans="1:23" ht="13.25" customHeight="1">
      <c r="A10" s="83"/>
      <c r="B10" s="23" t="s">
        <v>23</v>
      </c>
      <c r="C10" s="240">
        <v>0</v>
      </c>
      <c r="D10" s="240">
        <v>0</v>
      </c>
      <c r="E10" s="239" t="s">
        <v>636</v>
      </c>
      <c r="F10" s="239" t="s">
        <v>636</v>
      </c>
      <c r="G10" s="239" t="s">
        <v>636</v>
      </c>
      <c r="H10" s="239" t="s">
        <v>636</v>
      </c>
      <c r="I10" s="239" t="s">
        <v>636</v>
      </c>
      <c r="J10" s="239" t="s">
        <v>636</v>
      </c>
      <c r="K10" s="239" t="s">
        <v>636</v>
      </c>
      <c r="L10" s="239" t="s">
        <v>636</v>
      </c>
      <c r="M10" s="239" t="s">
        <v>636</v>
      </c>
      <c r="N10" s="239" t="s">
        <v>636</v>
      </c>
      <c r="O10" s="239" t="s">
        <v>636</v>
      </c>
      <c r="P10" s="239"/>
      <c r="Q10" s="239" t="s">
        <v>636</v>
      </c>
      <c r="R10" s="239"/>
      <c r="S10" s="239" t="s">
        <v>636</v>
      </c>
      <c r="T10" s="239" t="s">
        <v>636</v>
      </c>
      <c r="V10" s="90"/>
    </row>
    <row r="11" spans="1:23" ht="13.25" customHeight="1">
      <c r="A11" s="83"/>
      <c r="B11" s="23" t="s">
        <v>24</v>
      </c>
      <c r="C11" s="240">
        <v>12</v>
      </c>
      <c r="D11" s="240">
        <v>13</v>
      </c>
      <c r="E11" s="239">
        <v>13</v>
      </c>
      <c r="F11" s="239">
        <v>11</v>
      </c>
      <c r="G11" s="239">
        <v>14</v>
      </c>
      <c r="H11" s="239">
        <v>14</v>
      </c>
      <c r="I11" s="239">
        <v>14</v>
      </c>
      <c r="J11" s="239">
        <v>15</v>
      </c>
      <c r="K11" s="239">
        <v>17</v>
      </c>
      <c r="L11" s="239">
        <v>17</v>
      </c>
      <c r="M11" s="239">
        <v>17</v>
      </c>
      <c r="N11" s="239">
        <v>18</v>
      </c>
      <c r="O11" s="239">
        <v>18</v>
      </c>
      <c r="P11" s="239">
        <v>18</v>
      </c>
      <c r="Q11" s="239">
        <v>17</v>
      </c>
      <c r="R11" s="239">
        <v>18.600000000000001</v>
      </c>
      <c r="S11" s="239">
        <v>16.600000000000001</v>
      </c>
      <c r="T11" s="239">
        <v>18.3</v>
      </c>
      <c r="U11" s="932"/>
      <c r="V11" s="932"/>
      <c r="W11" s="932"/>
    </row>
    <row r="12" spans="1:23" ht="13.25" customHeight="1">
      <c r="A12" s="83"/>
      <c r="B12" s="23" t="s">
        <v>25</v>
      </c>
      <c r="C12" s="240">
        <v>2</v>
      </c>
      <c r="D12" s="240">
        <v>2</v>
      </c>
      <c r="E12" s="239">
        <v>1</v>
      </c>
      <c r="F12" s="239">
        <v>0.4</v>
      </c>
      <c r="G12" s="239">
        <v>0.4</v>
      </c>
      <c r="H12" s="239" t="s">
        <v>636</v>
      </c>
      <c r="I12" s="239" t="s">
        <v>636</v>
      </c>
      <c r="J12" s="239" t="s">
        <v>636</v>
      </c>
      <c r="K12" s="239" t="s">
        <v>636</v>
      </c>
      <c r="L12" s="239" t="s">
        <v>636</v>
      </c>
      <c r="M12" s="239" t="s">
        <v>636</v>
      </c>
      <c r="N12" s="239" t="s">
        <v>636</v>
      </c>
      <c r="O12" s="239" t="s">
        <v>636</v>
      </c>
      <c r="P12" s="239"/>
      <c r="Q12" s="239" t="s">
        <v>636</v>
      </c>
      <c r="R12" s="239" t="s">
        <v>636</v>
      </c>
      <c r="S12" s="239" t="s">
        <v>636</v>
      </c>
      <c r="T12" s="239" t="s">
        <v>636</v>
      </c>
      <c r="V12" s="90"/>
    </row>
    <row r="13" spans="1:23" ht="13.25" customHeight="1">
      <c r="A13" s="83"/>
      <c r="B13" s="23" t="s">
        <v>29</v>
      </c>
      <c r="C13" s="240">
        <v>0</v>
      </c>
      <c r="D13" s="240">
        <v>0</v>
      </c>
      <c r="E13" s="239" t="s">
        <v>636</v>
      </c>
      <c r="F13" s="239" t="s">
        <v>636</v>
      </c>
      <c r="G13" s="239" t="s">
        <v>636</v>
      </c>
      <c r="H13" s="239" t="s">
        <v>636</v>
      </c>
      <c r="I13" s="239" t="s">
        <v>636</v>
      </c>
      <c r="J13" s="239" t="s">
        <v>636</v>
      </c>
      <c r="K13" s="239" t="s">
        <v>636</v>
      </c>
      <c r="L13" s="239" t="s">
        <v>636</v>
      </c>
      <c r="M13" s="239" t="s">
        <v>636</v>
      </c>
      <c r="N13" s="239" t="s">
        <v>636</v>
      </c>
      <c r="O13" s="239" t="s">
        <v>636</v>
      </c>
      <c r="P13" s="239"/>
      <c r="Q13" s="239" t="s">
        <v>636</v>
      </c>
      <c r="R13" s="239" t="s">
        <v>636</v>
      </c>
      <c r="S13" s="239" t="s">
        <v>636</v>
      </c>
      <c r="T13" s="239" t="s">
        <v>636</v>
      </c>
      <c r="V13" s="90"/>
    </row>
    <row r="14" spans="1:23" ht="13.25" customHeight="1">
      <c r="A14" s="83"/>
      <c r="B14" s="23" t="s">
        <v>30</v>
      </c>
      <c r="C14" s="240">
        <v>10</v>
      </c>
      <c r="D14" s="240">
        <v>7</v>
      </c>
      <c r="E14" s="239">
        <v>12</v>
      </c>
      <c r="F14" s="239">
        <v>5</v>
      </c>
      <c r="G14" s="239">
        <v>4</v>
      </c>
      <c r="H14" s="239">
        <v>3</v>
      </c>
      <c r="I14" s="239">
        <v>4</v>
      </c>
      <c r="J14" s="239">
        <v>3</v>
      </c>
      <c r="K14" s="239" t="s">
        <v>636</v>
      </c>
      <c r="L14" s="239" t="s">
        <v>636</v>
      </c>
      <c r="M14" s="239" t="s">
        <v>636</v>
      </c>
      <c r="N14" s="239" t="s">
        <v>636</v>
      </c>
      <c r="O14" s="239" t="s">
        <v>636</v>
      </c>
      <c r="P14" s="239"/>
      <c r="Q14" s="239" t="s">
        <v>636</v>
      </c>
      <c r="R14" s="239" t="s">
        <v>636</v>
      </c>
      <c r="S14" s="239" t="s">
        <v>636</v>
      </c>
      <c r="T14" s="239" t="s">
        <v>636</v>
      </c>
      <c r="V14" s="90"/>
    </row>
    <row r="15" spans="1:23" ht="13.25" customHeight="1">
      <c r="A15" s="83"/>
      <c r="B15" s="23" t="s">
        <v>31</v>
      </c>
      <c r="C15" s="240">
        <v>1</v>
      </c>
      <c r="D15" s="240">
        <v>6</v>
      </c>
      <c r="E15" s="239">
        <v>5</v>
      </c>
      <c r="F15" s="239">
        <v>7</v>
      </c>
      <c r="G15" s="239">
        <v>5</v>
      </c>
      <c r="H15" s="239">
        <v>4</v>
      </c>
      <c r="I15" s="239">
        <v>5</v>
      </c>
      <c r="J15" s="239">
        <v>8</v>
      </c>
      <c r="K15" s="239">
        <v>4</v>
      </c>
      <c r="L15" s="239">
        <v>4</v>
      </c>
      <c r="M15" s="239">
        <v>5</v>
      </c>
      <c r="N15" s="239">
        <v>33</v>
      </c>
      <c r="O15" s="239">
        <v>31</v>
      </c>
      <c r="P15" s="239">
        <v>35</v>
      </c>
      <c r="Q15" s="239">
        <v>29</v>
      </c>
      <c r="R15" s="239">
        <v>26.3</v>
      </c>
      <c r="S15" s="239">
        <v>29.7</v>
      </c>
      <c r="T15" s="239">
        <v>27.8</v>
      </c>
      <c r="U15" s="932"/>
      <c r="V15" s="932"/>
      <c r="W15" s="932"/>
    </row>
    <row r="16" spans="1:23" ht="13.25" customHeight="1">
      <c r="A16" s="83"/>
      <c r="B16" s="23" t="s">
        <v>32</v>
      </c>
      <c r="C16" s="240">
        <v>0</v>
      </c>
      <c r="D16" s="240">
        <v>0</v>
      </c>
      <c r="E16" s="239" t="s">
        <v>636</v>
      </c>
      <c r="F16" s="239" t="s">
        <v>636</v>
      </c>
      <c r="G16" s="239" t="s">
        <v>636</v>
      </c>
      <c r="H16" s="239" t="s">
        <v>636</v>
      </c>
      <c r="I16" s="239" t="s">
        <v>636</v>
      </c>
      <c r="J16" s="239" t="s">
        <v>636</v>
      </c>
      <c r="K16" s="239" t="s">
        <v>636</v>
      </c>
      <c r="L16" s="239" t="s">
        <v>636</v>
      </c>
      <c r="M16" s="239" t="s">
        <v>636</v>
      </c>
      <c r="N16" s="239" t="s">
        <v>636</v>
      </c>
      <c r="O16" s="239" t="s">
        <v>636</v>
      </c>
      <c r="P16" s="239" t="s">
        <v>636</v>
      </c>
      <c r="Q16" s="239" t="s">
        <v>636</v>
      </c>
      <c r="R16" s="239"/>
      <c r="S16" s="239"/>
      <c r="T16" s="239"/>
      <c r="V16" s="90"/>
    </row>
    <row r="17" spans="1:23" ht="13.25" customHeight="1">
      <c r="A17" s="83"/>
      <c r="B17" s="23" t="s">
        <v>33</v>
      </c>
      <c r="C17" s="240">
        <v>2</v>
      </c>
      <c r="D17" s="240">
        <v>2</v>
      </c>
      <c r="E17" s="239">
        <v>1</v>
      </c>
      <c r="F17" s="239">
        <v>2</v>
      </c>
      <c r="G17" s="239">
        <v>0.2</v>
      </c>
      <c r="H17" s="239">
        <v>0</v>
      </c>
      <c r="I17" s="239" t="s">
        <v>636</v>
      </c>
      <c r="J17" s="239">
        <v>1.2</v>
      </c>
      <c r="K17" s="239">
        <v>0.5</v>
      </c>
      <c r="L17" s="239">
        <v>1</v>
      </c>
      <c r="M17" s="239">
        <v>2</v>
      </c>
      <c r="N17" s="239">
        <v>5</v>
      </c>
      <c r="O17" s="239">
        <v>6</v>
      </c>
      <c r="P17" s="239">
        <v>6</v>
      </c>
      <c r="Q17" s="239">
        <v>4</v>
      </c>
      <c r="R17" s="239">
        <v>4.4000000000000004</v>
      </c>
      <c r="S17" s="239">
        <v>4.7</v>
      </c>
      <c r="T17" s="239">
        <v>5.2</v>
      </c>
      <c r="U17" s="932"/>
      <c r="V17" s="932"/>
      <c r="W17" s="932"/>
    </row>
    <row r="18" spans="1:23" ht="13.25" customHeight="1">
      <c r="A18" s="83"/>
      <c r="B18" s="23" t="s">
        <v>34</v>
      </c>
      <c r="C18" s="240">
        <v>47</v>
      </c>
      <c r="D18" s="240">
        <v>49</v>
      </c>
      <c r="E18" s="239">
        <v>76</v>
      </c>
      <c r="F18" s="239">
        <v>70</v>
      </c>
      <c r="G18" s="239">
        <v>77</v>
      </c>
      <c r="H18" s="239">
        <v>89</v>
      </c>
      <c r="I18" s="239">
        <v>109</v>
      </c>
      <c r="J18" s="239">
        <v>108</v>
      </c>
      <c r="K18" s="239">
        <v>130</v>
      </c>
      <c r="L18" s="239">
        <v>124</v>
      </c>
      <c r="M18" s="239">
        <v>149</v>
      </c>
      <c r="N18" s="239">
        <v>178</v>
      </c>
      <c r="O18" s="239">
        <v>162</v>
      </c>
      <c r="P18" s="239">
        <v>177</v>
      </c>
      <c r="Q18" s="239">
        <v>188</v>
      </c>
      <c r="R18" s="239">
        <v>181.9</v>
      </c>
      <c r="S18" s="239">
        <v>193.5</v>
      </c>
      <c r="T18" s="239">
        <v>187.7</v>
      </c>
      <c r="U18" s="932"/>
      <c r="V18" s="932"/>
      <c r="W18" s="932"/>
    </row>
    <row r="19" spans="1:23" ht="13.25" customHeight="1">
      <c r="A19" s="83"/>
      <c r="B19" s="23" t="s">
        <v>35</v>
      </c>
      <c r="C19" s="240">
        <v>44</v>
      </c>
      <c r="D19" s="240">
        <v>45</v>
      </c>
      <c r="E19" s="239">
        <v>33</v>
      </c>
      <c r="F19" s="239">
        <v>82</v>
      </c>
      <c r="G19" s="239">
        <v>84</v>
      </c>
      <c r="H19" s="239">
        <v>80</v>
      </c>
      <c r="I19" s="239">
        <v>116</v>
      </c>
      <c r="J19" s="239">
        <v>120</v>
      </c>
      <c r="K19" s="239">
        <v>102</v>
      </c>
      <c r="L19" s="239">
        <v>139</v>
      </c>
      <c r="M19" s="239">
        <v>118</v>
      </c>
      <c r="N19" s="239">
        <v>125</v>
      </c>
      <c r="O19" s="239">
        <v>141</v>
      </c>
      <c r="P19" s="239">
        <v>188</v>
      </c>
      <c r="Q19" s="239">
        <v>149</v>
      </c>
      <c r="R19" s="239">
        <v>154.6</v>
      </c>
      <c r="S19" s="239">
        <v>166</v>
      </c>
      <c r="T19" s="239">
        <v>168.4</v>
      </c>
      <c r="U19" s="932"/>
      <c r="V19" s="932"/>
      <c r="W19" s="932"/>
    </row>
    <row r="20" spans="1:23" ht="13.25" customHeight="1">
      <c r="A20" s="83"/>
      <c r="B20" s="23" t="s">
        <v>36</v>
      </c>
      <c r="C20" s="240">
        <v>229</v>
      </c>
      <c r="D20" s="240">
        <v>167</v>
      </c>
      <c r="E20" s="239">
        <v>135</v>
      </c>
      <c r="F20" s="239">
        <v>73</v>
      </c>
      <c r="G20" s="239">
        <v>122</v>
      </c>
      <c r="H20" s="239">
        <v>119</v>
      </c>
      <c r="I20" s="239">
        <v>140</v>
      </c>
      <c r="J20" s="239">
        <v>168</v>
      </c>
      <c r="K20" s="239">
        <v>100</v>
      </c>
      <c r="L20" s="239">
        <v>69</v>
      </c>
      <c r="M20" s="239">
        <v>94</v>
      </c>
      <c r="N20" s="239">
        <v>117</v>
      </c>
      <c r="O20" s="239">
        <v>152</v>
      </c>
      <c r="P20" s="239">
        <v>164</v>
      </c>
      <c r="Q20" s="239">
        <v>104</v>
      </c>
      <c r="R20" s="239">
        <v>101.8</v>
      </c>
      <c r="S20" s="239">
        <v>99.7</v>
      </c>
      <c r="T20" s="239">
        <v>99.6</v>
      </c>
      <c r="U20" s="932"/>
      <c r="V20" s="932"/>
      <c r="W20" s="932"/>
    </row>
    <row r="21" spans="1:23" ht="13.25" customHeight="1">
      <c r="A21" s="83"/>
      <c r="B21" s="23" t="s">
        <v>37</v>
      </c>
      <c r="C21" s="240">
        <v>228</v>
      </c>
      <c r="D21" s="240">
        <v>292</v>
      </c>
      <c r="E21" s="239">
        <v>346</v>
      </c>
      <c r="F21" s="239">
        <v>362</v>
      </c>
      <c r="G21" s="239">
        <v>444</v>
      </c>
      <c r="H21" s="239">
        <v>408</v>
      </c>
      <c r="I21" s="239">
        <v>413</v>
      </c>
      <c r="J21" s="239">
        <v>385</v>
      </c>
      <c r="K21" s="239">
        <v>370</v>
      </c>
      <c r="L21" s="239">
        <v>415</v>
      </c>
      <c r="M21" s="239">
        <v>296</v>
      </c>
      <c r="N21" s="239">
        <v>277</v>
      </c>
      <c r="O21" s="239">
        <v>209</v>
      </c>
      <c r="P21" s="239">
        <v>186</v>
      </c>
      <c r="Q21" s="239">
        <v>183</v>
      </c>
      <c r="R21" s="239">
        <v>147.6</v>
      </c>
      <c r="S21" s="239">
        <v>123.3</v>
      </c>
      <c r="T21" s="239">
        <v>127.6</v>
      </c>
      <c r="U21" s="932"/>
      <c r="V21" s="932"/>
      <c r="W21" s="932"/>
    </row>
    <row r="22" spans="1:23" ht="13.25" customHeight="1">
      <c r="A22" s="83"/>
      <c r="B22" s="23" t="s">
        <v>38</v>
      </c>
      <c r="C22" s="240">
        <v>11</v>
      </c>
      <c r="D22" s="240">
        <v>14</v>
      </c>
      <c r="E22" s="239">
        <v>18</v>
      </c>
      <c r="F22" s="239">
        <v>22</v>
      </c>
      <c r="G22" s="239">
        <v>8</v>
      </c>
      <c r="H22" s="239">
        <v>33</v>
      </c>
      <c r="I22" s="239">
        <v>108</v>
      </c>
      <c r="J22" s="239">
        <v>98</v>
      </c>
      <c r="K22" s="239">
        <v>49</v>
      </c>
      <c r="L22" s="239">
        <v>41</v>
      </c>
      <c r="M22" s="239">
        <v>76</v>
      </c>
      <c r="N22" s="239">
        <v>55</v>
      </c>
      <c r="O22" s="239">
        <v>78</v>
      </c>
      <c r="P22" s="239">
        <v>83</v>
      </c>
      <c r="Q22" s="239">
        <v>77</v>
      </c>
      <c r="R22" s="239">
        <v>67.099999999999994</v>
      </c>
      <c r="S22" s="239">
        <v>57.5</v>
      </c>
      <c r="T22" s="239">
        <v>54.9</v>
      </c>
      <c r="U22" s="932"/>
      <c r="V22" s="932"/>
      <c r="W22" s="932"/>
    </row>
    <row r="23" spans="1:23" ht="13.25" customHeight="1">
      <c r="A23" s="83"/>
      <c r="B23" s="23" t="s">
        <v>39</v>
      </c>
      <c r="C23" s="240">
        <v>12</v>
      </c>
      <c r="D23" s="240">
        <v>10</v>
      </c>
      <c r="E23" s="239">
        <v>22</v>
      </c>
      <c r="F23" s="239">
        <v>6</v>
      </c>
      <c r="G23" s="239">
        <v>3</v>
      </c>
      <c r="H23" s="239">
        <v>29</v>
      </c>
      <c r="I23" s="239">
        <v>20</v>
      </c>
      <c r="J23" s="239">
        <v>47</v>
      </c>
      <c r="K23" s="239">
        <v>31</v>
      </c>
      <c r="L23" s="239">
        <v>26</v>
      </c>
      <c r="M23" s="239">
        <v>71</v>
      </c>
      <c r="N23" s="239">
        <v>60</v>
      </c>
      <c r="O23" s="239">
        <v>63</v>
      </c>
      <c r="P23" s="239">
        <v>119</v>
      </c>
      <c r="Q23" s="239">
        <v>109</v>
      </c>
      <c r="R23" s="239">
        <v>100.9</v>
      </c>
      <c r="S23" s="239">
        <v>117.2</v>
      </c>
      <c r="T23" s="239">
        <v>111.3</v>
      </c>
      <c r="U23" s="932"/>
      <c r="V23" s="932"/>
      <c r="W23" s="932"/>
    </row>
    <row r="24" spans="1:23" ht="13.25" customHeight="1">
      <c r="A24" s="83"/>
      <c r="B24" s="23" t="s">
        <v>40</v>
      </c>
      <c r="C24" s="240">
        <v>124</v>
      </c>
      <c r="D24" s="240">
        <v>92</v>
      </c>
      <c r="E24" s="239">
        <v>110</v>
      </c>
      <c r="F24" s="239">
        <v>104</v>
      </c>
      <c r="G24" s="239">
        <v>126</v>
      </c>
      <c r="H24" s="239">
        <v>86</v>
      </c>
      <c r="I24" s="239">
        <v>139</v>
      </c>
      <c r="J24" s="239">
        <v>157</v>
      </c>
      <c r="K24" s="239">
        <v>173</v>
      </c>
      <c r="L24" s="239">
        <v>139</v>
      </c>
      <c r="M24" s="239">
        <v>133</v>
      </c>
      <c r="N24" s="239">
        <v>164</v>
      </c>
      <c r="O24" s="239">
        <v>154</v>
      </c>
      <c r="P24" s="239">
        <v>180</v>
      </c>
      <c r="Q24" s="239">
        <v>219</v>
      </c>
      <c r="R24" s="239">
        <v>169.1</v>
      </c>
      <c r="S24" s="239">
        <v>149.6</v>
      </c>
      <c r="T24" s="239">
        <v>144.6</v>
      </c>
      <c r="U24" s="932"/>
      <c r="V24" s="932"/>
      <c r="W24" s="932"/>
    </row>
    <row r="25" spans="1:23" ht="13.25" customHeight="1">
      <c r="A25" s="83"/>
      <c r="B25" s="23" t="s">
        <v>41</v>
      </c>
      <c r="C25" s="240">
        <v>186</v>
      </c>
      <c r="D25" s="240">
        <v>181</v>
      </c>
      <c r="E25" s="239">
        <v>207</v>
      </c>
      <c r="F25" s="239">
        <v>206</v>
      </c>
      <c r="G25" s="239">
        <v>142</v>
      </c>
      <c r="H25" s="239">
        <v>135</v>
      </c>
      <c r="I25" s="239">
        <v>220</v>
      </c>
      <c r="J25" s="239">
        <v>156</v>
      </c>
      <c r="K25" s="239">
        <v>154</v>
      </c>
      <c r="L25" s="239">
        <v>147</v>
      </c>
      <c r="M25" s="239">
        <v>138</v>
      </c>
      <c r="N25" s="239">
        <v>122</v>
      </c>
      <c r="O25" s="239">
        <v>91</v>
      </c>
      <c r="P25" s="239">
        <v>81</v>
      </c>
      <c r="Q25" s="239">
        <v>80</v>
      </c>
      <c r="R25" s="239">
        <v>78.5</v>
      </c>
      <c r="S25" s="239">
        <v>76.7</v>
      </c>
      <c r="T25" s="239">
        <v>76.7</v>
      </c>
      <c r="U25" s="932"/>
      <c r="V25" s="932"/>
      <c r="W25" s="932"/>
    </row>
    <row r="26" spans="1:23" ht="13.25" customHeight="1">
      <c r="A26" s="83"/>
      <c r="B26" s="23" t="s">
        <v>44</v>
      </c>
      <c r="C26" s="240">
        <v>318</v>
      </c>
      <c r="D26" s="240">
        <v>217</v>
      </c>
      <c r="E26" s="239">
        <v>464</v>
      </c>
      <c r="F26" s="239">
        <v>528</v>
      </c>
      <c r="G26" s="239">
        <v>736</v>
      </c>
      <c r="H26" s="239">
        <v>659</v>
      </c>
      <c r="I26" s="239">
        <v>637</v>
      </c>
      <c r="J26" s="239">
        <v>727</v>
      </c>
      <c r="K26" s="239">
        <v>583</v>
      </c>
      <c r="L26" s="239">
        <v>598</v>
      </c>
      <c r="M26" s="239">
        <v>605</v>
      </c>
      <c r="N26" s="239">
        <v>621</v>
      </c>
      <c r="O26" s="239">
        <v>569</v>
      </c>
      <c r="P26" s="239">
        <v>694</v>
      </c>
      <c r="Q26" s="239">
        <v>634</v>
      </c>
      <c r="R26" s="239">
        <v>618.9</v>
      </c>
      <c r="S26" s="239">
        <v>677.3</v>
      </c>
      <c r="T26" s="239">
        <v>691.8</v>
      </c>
      <c r="U26" s="932"/>
      <c r="V26" s="932"/>
      <c r="W26" s="932"/>
    </row>
    <row r="27" spans="1:23" ht="13.25" customHeight="1">
      <c r="A27" s="83"/>
      <c r="B27" s="23" t="s">
        <v>45</v>
      </c>
      <c r="C27" s="240">
        <v>2370</v>
      </c>
      <c r="D27" s="240">
        <v>2413</v>
      </c>
      <c r="E27" s="239">
        <v>2450</v>
      </c>
      <c r="F27" s="239">
        <v>2540</v>
      </c>
      <c r="G27" s="239">
        <v>2620</v>
      </c>
      <c r="H27" s="239">
        <v>2691</v>
      </c>
      <c r="I27" s="239">
        <v>2736</v>
      </c>
      <c r="J27" s="239">
        <v>2805</v>
      </c>
      <c r="K27" s="239">
        <v>2707</v>
      </c>
      <c r="L27" s="239">
        <v>2764</v>
      </c>
      <c r="M27" s="239">
        <v>2732</v>
      </c>
      <c r="N27" s="239">
        <v>2733</v>
      </c>
      <c r="O27" s="239">
        <v>2642</v>
      </c>
      <c r="P27" s="239">
        <v>2644</v>
      </c>
      <c r="Q27" s="239">
        <v>2660</v>
      </c>
      <c r="R27" s="239">
        <v>2682</v>
      </c>
      <c r="S27" s="239">
        <v>2691.4</v>
      </c>
      <c r="T27" s="239">
        <v>2708.2</v>
      </c>
      <c r="U27" s="932"/>
      <c r="V27" s="932"/>
      <c r="W27" s="932"/>
    </row>
    <row r="28" spans="1:23" ht="13.25" customHeight="1">
      <c r="A28" s="83"/>
      <c r="B28" s="82" t="s">
        <v>46</v>
      </c>
      <c r="C28" s="240">
        <v>0</v>
      </c>
      <c r="D28" s="240">
        <v>0</v>
      </c>
      <c r="E28" s="239" t="s">
        <v>636</v>
      </c>
      <c r="F28" s="239" t="s">
        <v>636</v>
      </c>
      <c r="G28" s="239" t="s">
        <v>636</v>
      </c>
      <c r="H28" s="239" t="s">
        <v>636</v>
      </c>
      <c r="I28" s="239" t="s">
        <v>636</v>
      </c>
      <c r="J28" s="239" t="s">
        <v>636</v>
      </c>
      <c r="K28" s="239" t="s">
        <v>636</v>
      </c>
      <c r="L28" s="239" t="s">
        <v>636</v>
      </c>
      <c r="M28" s="239" t="s">
        <v>636</v>
      </c>
      <c r="N28" s="239" t="s">
        <v>636</v>
      </c>
      <c r="O28" s="239" t="s">
        <v>636</v>
      </c>
      <c r="P28" s="239" t="s">
        <v>636</v>
      </c>
      <c r="Q28" s="239" t="s">
        <v>636</v>
      </c>
      <c r="R28" s="239" t="s">
        <v>636</v>
      </c>
      <c r="S28" s="239" t="s">
        <v>636</v>
      </c>
      <c r="T28" s="239" t="s">
        <v>636</v>
      </c>
      <c r="V28" s="90"/>
    </row>
    <row r="29" spans="1:23" ht="13.25" customHeight="1">
      <c r="A29" s="83"/>
      <c r="B29" s="23" t="s">
        <v>47</v>
      </c>
      <c r="C29" s="240">
        <v>0</v>
      </c>
      <c r="D29" s="240">
        <v>0</v>
      </c>
      <c r="E29" s="239" t="s">
        <v>636</v>
      </c>
      <c r="F29" s="239" t="s">
        <v>636</v>
      </c>
      <c r="G29" s="239" t="s">
        <v>636</v>
      </c>
      <c r="H29" s="239" t="s">
        <v>636</v>
      </c>
      <c r="I29" s="239" t="s">
        <v>636</v>
      </c>
      <c r="J29" s="239" t="s">
        <v>636</v>
      </c>
      <c r="K29" s="239" t="s">
        <v>636</v>
      </c>
      <c r="L29" s="239" t="s">
        <v>636</v>
      </c>
      <c r="M29" s="239" t="s">
        <v>636</v>
      </c>
      <c r="N29" s="239" t="s">
        <v>636</v>
      </c>
      <c r="O29" s="239" t="s">
        <v>636</v>
      </c>
      <c r="P29" s="239" t="s">
        <v>636</v>
      </c>
      <c r="Q29" s="239" t="s">
        <v>636</v>
      </c>
      <c r="R29" s="239" t="s">
        <v>636</v>
      </c>
      <c r="S29" s="239" t="s">
        <v>636</v>
      </c>
      <c r="T29" s="239" t="s">
        <v>636</v>
      </c>
      <c r="V29" s="90"/>
    </row>
    <row r="30" spans="1:23" ht="13.25" customHeight="1">
      <c r="A30" s="83"/>
      <c r="B30" s="23" t="s">
        <v>48</v>
      </c>
      <c r="C30" s="240">
        <v>0</v>
      </c>
      <c r="D30" s="240">
        <v>0</v>
      </c>
      <c r="E30" s="239" t="s">
        <v>636</v>
      </c>
      <c r="F30" s="239" t="s">
        <v>636</v>
      </c>
      <c r="G30" s="239" t="s">
        <v>636</v>
      </c>
      <c r="H30" s="239" t="s">
        <v>636</v>
      </c>
      <c r="I30" s="239" t="s">
        <v>636</v>
      </c>
      <c r="J30" s="239" t="s">
        <v>636</v>
      </c>
      <c r="K30" s="239" t="s">
        <v>636</v>
      </c>
      <c r="L30" s="239" t="s">
        <v>636</v>
      </c>
      <c r="M30" s="239" t="s">
        <v>636</v>
      </c>
      <c r="N30" s="239" t="s">
        <v>636</v>
      </c>
      <c r="O30" s="239" t="s">
        <v>636</v>
      </c>
      <c r="P30" s="239" t="s">
        <v>636</v>
      </c>
      <c r="Q30" s="239" t="s">
        <v>636</v>
      </c>
      <c r="R30" s="239" t="s">
        <v>636</v>
      </c>
      <c r="S30" s="239" t="s">
        <v>636</v>
      </c>
      <c r="T30" s="239" t="s">
        <v>636</v>
      </c>
      <c r="V30" s="90"/>
    </row>
    <row r="31" spans="1:23" ht="13.25" customHeight="1" thickBot="1">
      <c r="A31" s="88"/>
      <c r="B31" s="577" t="s">
        <v>49</v>
      </c>
      <c r="C31" s="579">
        <v>0</v>
      </c>
      <c r="D31" s="579">
        <v>0</v>
      </c>
      <c r="E31" s="580" t="s">
        <v>636</v>
      </c>
      <c r="F31" s="580" t="s">
        <v>636</v>
      </c>
      <c r="G31" s="580" t="s">
        <v>636</v>
      </c>
      <c r="H31" s="580" t="s">
        <v>636</v>
      </c>
      <c r="I31" s="580" t="s">
        <v>636</v>
      </c>
      <c r="J31" s="580" t="s">
        <v>636</v>
      </c>
      <c r="K31" s="580" t="s">
        <v>636</v>
      </c>
      <c r="L31" s="580" t="s">
        <v>636</v>
      </c>
      <c r="M31" s="580" t="s">
        <v>636</v>
      </c>
      <c r="N31" s="580" t="s">
        <v>636</v>
      </c>
      <c r="O31" s="580" t="s">
        <v>636</v>
      </c>
      <c r="P31" s="580" t="s">
        <v>636</v>
      </c>
      <c r="Q31" s="580" t="s">
        <v>636</v>
      </c>
      <c r="R31" s="580" t="s">
        <v>636</v>
      </c>
      <c r="S31" s="580" t="s">
        <v>636</v>
      </c>
      <c r="T31" s="580" t="s">
        <v>636</v>
      </c>
      <c r="V31" s="90"/>
    </row>
    <row r="32" spans="1:23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3">
    <tabColor theme="9" tint="0.59999389629810485"/>
  </sheetPr>
  <dimension ref="A2:X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5" width="8.19921875" style="82" customWidth="1"/>
    <col min="26" max="16384" width="7" style="82"/>
  </cols>
  <sheetData>
    <row r="2" spans="1:24" ht="13.25" customHeight="1">
      <c r="A2" s="230" t="s">
        <v>515</v>
      </c>
      <c r="B2" s="231"/>
    </row>
    <row r="3" spans="1:24" ht="13.25" customHeight="1">
      <c r="A3" s="232" t="s">
        <v>421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4" ht="15" customHeight="1">
      <c r="A6" s="963" t="s">
        <v>103</v>
      </c>
      <c r="B6" s="963"/>
      <c r="C6" s="570">
        <v>11.5</v>
      </c>
      <c r="D6" s="570">
        <v>16.96</v>
      </c>
      <c r="E6" s="570">
        <v>18.39</v>
      </c>
      <c r="F6" s="570">
        <v>18.7</v>
      </c>
      <c r="G6" s="570">
        <v>12.17</v>
      </c>
      <c r="H6" s="570">
        <v>12.86</v>
      </c>
      <c r="I6" s="570">
        <v>14.69</v>
      </c>
      <c r="J6" s="570">
        <v>14.8</v>
      </c>
      <c r="K6" s="570">
        <v>16.07</v>
      </c>
      <c r="L6" s="570">
        <v>17.100000000000001</v>
      </c>
      <c r="M6" s="570">
        <v>17.850000000000001</v>
      </c>
      <c r="N6" s="570">
        <v>17.2</v>
      </c>
      <c r="O6" s="570">
        <v>17.39</v>
      </c>
      <c r="P6" s="570">
        <v>17.489999999999998</v>
      </c>
      <c r="Q6" s="570">
        <v>16.05</v>
      </c>
      <c r="R6" s="570">
        <v>13.61</v>
      </c>
      <c r="S6" s="570">
        <v>14.43</v>
      </c>
      <c r="T6" s="570">
        <v>14.72</v>
      </c>
      <c r="V6" s="161"/>
      <c r="W6" s="161"/>
      <c r="X6" s="161"/>
    </row>
    <row r="7" spans="1:24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4" ht="13.25" customHeight="1">
      <c r="A8" s="83"/>
      <c r="B8" s="23" t="s">
        <v>21</v>
      </c>
      <c r="C8" s="238" t="s">
        <v>75</v>
      </c>
      <c r="D8" s="238" t="s">
        <v>75</v>
      </c>
      <c r="E8" s="238" t="s">
        <v>75</v>
      </c>
      <c r="F8" s="238" t="s">
        <v>75</v>
      </c>
      <c r="G8" s="238" t="s">
        <v>75</v>
      </c>
      <c r="H8" s="238" t="s">
        <v>75</v>
      </c>
      <c r="I8" s="238" t="s">
        <v>75</v>
      </c>
      <c r="J8" s="238" t="s">
        <v>75</v>
      </c>
      <c r="K8" s="238" t="s">
        <v>75</v>
      </c>
      <c r="L8" s="238" t="s">
        <v>75</v>
      </c>
      <c r="M8" s="238" t="s">
        <v>75</v>
      </c>
      <c r="N8" s="238" t="s">
        <v>75</v>
      </c>
      <c r="O8" s="238" t="s">
        <v>75</v>
      </c>
      <c r="P8" s="238" t="s">
        <v>75</v>
      </c>
      <c r="Q8" s="238" t="s">
        <v>75</v>
      </c>
      <c r="R8" s="238" t="s">
        <v>75</v>
      </c>
      <c r="S8" s="238" t="s">
        <v>75</v>
      </c>
      <c r="T8" s="238" t="s">
        <v>75</v>
      </c>
    </row>
    <row r="9" spans="1:24" ht="13.25" customHeight="1">
      <c r="A9" s="83"/>
      <c r="B9" s="23" t="s">
        <v>22</v>
      </c>
      <c r="C9" s="238" t="s">
        <v>75</v>
      </c>
      <c r="D9" s="238" t="s">
        <v>75</v>
      </c>
      <c r="E9" s="238" t="s">
        <v>75</v>
      </c>
      <c r="F9" s="238" t="s">
        <v>75</v>
      </c>
      <c r="G9" s="238" t="s">
        <v>75</v>
      </c>
      <c r="H9" s="238" t="s">
        <v>75</v>
      </c>
      <c r="I9" s="238" t="s">
        <v>75</v>
      </c>
      <c r="J9" s="238" t="s">
        <v>75</v>
      </c>
      <c r="K9" s="238" t="s">
        <v>75</v>
      </c>
      <c r="L9" s="238" t="s">
        <v>75</v>
      </c>
      <c r="M9" s="238">
        <v>12.17</v>
      </c>
      <c r="N9" s="238" t="s">
        <v>75</v>
      </c>
      <c r="O9" s="238">
        <v>12</v>
      </c>
      <c r="P9" s="238" t="s">
        <v>75</v>
      </c>
      <c r="Q9" s="238">
        <v>12.84</v>
      </c>
      <c r="R9" s="238">
        <v>12.62</v>
      </c>
      <c r="S9" s="238">
        <v>12.38</v>
      </c>
      <c r="T9" s="238">
        <v>12.91</v>
      </c>
      <c r="V9" s="161"/>
      <c r="W9" s="161"/>
      <c r="X9" s="161"/>
    </row>
    <row r="10" spans="1:24" ht="13.25" customHeight="1">
      <c r="A10" s="83"/>
      <c r="B10" s="23" t="s">
        <v>23</v>
      </c>
      <c r="C10" s="238" t="s">
        <v>75</v>
      </c>
      <c r="D10" s="238" t="s">
        <v>75</v>
      </c>
      <c r="E10" s="238" t="s">
        <v>75</v>
      </c>
      <c r="F10" s="238" t="s">
        <v>75</v>
      </c>
      <c r="G10" s="238" t="s">
        <v>75</v>
      </c>
      <c r="H10" s="238" t="s">
        <v>75</v>
      </c>
      <c r="I10" s="238" t="s">
        <v>75</v>
      </c>
      <c r="J10" s="238" t="s">
        <v>75</v>
      </c>
      <c r="K10" s="238" t="s">
        <v>75</v>
      </c>
      <c r="L10" s="238" t="s">
        <v>75</v>
      </c>
      <c r="M10" s="238" t="s">
        <v>75</v>
      </c>
      <c r="N10" s="238" t="s">
        <v>75</v>
      </c>
      <c r="O10" s="238" t="s">
        <v>75</v>
      </c>
      <c r="P10" s="238" t="s">
        <v>75</v>
      </c>
      <c r="Q10" s="238" t="s">
        <v>75</v>
      </c>
      <c r="R10" s="238"/>
      <c r="S10" s="238"/>
      <c r="T10" s="238"/>
    </row>
    <row r="11" spans="1:24" ht="13.25" customHeight="1">
      <c r="A11" s="83"/>
      <c r="B11" s="23" t="s">
        <v>24</v>
      </c>
      <c r="C11" s="238">
        <v>11.35</v>
      </c>
      <c r="D11" s="238">
        <v>11.12</v>
      </c>
      <c r="E11" s="238">
        <v>11.55</v>
      </c>
      <c r="F11" s="238">
        <v>13.39</v>
      </c>
      <c r="G11" s="238">
        <v>11.59</v>
      </c>
      <c r="H11" s="238">
        <v>11.73</v>
      </c>
      <c r="I11" s="238">
        <v>12.32</v>
      </c>
      <c r="J11" s="238">
        <v>17.940000000000001</v>
      </c>
      <c r="K11" s="238">
        <v>20.82</v>
      </c>
      <c r="L11" s="238">
        <v>10.36</v>
      </c>
      <c r="M11" s="238">
        <v>12.37</v>
      </c>
      <c r="N11" s="238">
        <v>12.11</v>
      </c>
      <c r="O11" s="238">
        <v>12.52</v>
      </c>
      <c r="P11" s="238">
        <v>12.39</v>
      </c>
      <c r="Q11" s="238">
        <v>13.17</v>
      </c>
      <c r="R11" s="238">
        <v>13.17</v>
      </c>
      <c r="S11" s="238">
        <v>13.29</v>
      </c>
      <c r="T11" s="238">
        <v>13.33</v>
      </c>
      <c r="V11" s="161"/>
      <c r="W11" s="161"/>
      <c r="X11" s="161"/>
    </row>
    <row r="12" spans="1:24" ht="13.25" customHeight="1">
      <c r="A12" s="83"/>
      <c r="B12" s="23" t="s">
        <v>25</v>
      </c>
      <c r="C12" s="238">
        <v>11.04</v>
      </c>
      <c r="D12" s="238">
        <v>12.14</v>
      </c>
      <c r="E12" s="238">
        <v>15.45</v>
      </c>
      <c r="F12" s="238">
        <v>17.66</v>
      </c>
      <c r="G12" s="238">
        <v>13.25</v>
      </c>
      <c r="H12" s="238" t="s">
        <v>75</v>
      </c>
      <c r="I12" s="238" t="s">
        <v>75</v>
      </c>
      <c r="J12" s="238" t="s">
        <v>75</v>
      </c>
      <c r="K12" s="238" t="s">
        <v>75</v>
      </c>
      <c r="L12" s="238" t="s">
        <v>75</v>
      </c>
      <c r="M12" s="238" t="s">
        <v>75</v>
      </c>
      <c r="N12" s="238" t="s">
        <v>75</v>
      </c>
      <c r="O12" s="238" t="s">
        <v>75</v>
      </c>
      <c r="P12" s="238" t="s">
        <v>75</v>
      </c>
      <c r="Q12" s="238" t="s">
        <v>75</v>
      </c>
      <c r="R12" s="238" t="s">
        <v>75</v>
      </c>
      <c r="S12" s="238" t="s">
        <v>75</v>
      </c>
      <c r="T12" s="238" t="s">
        <v>75</v>
      </c>
    </row>
    <row r="13" spans="1:24" ht="13.25" customHeight="1">
      <c r="A13" s="83"/>
      <c r="B13" s="23" t="s">
        <v>29</v>
      </c>
      <c r="C13" s="238" t="s">
        <v>75</v>
      </c>
      <c r="D13" s="238" t="s">
        <v>75</v>
      </c>
      <c r="E13" s="238" t="s">
        <v>75</v>
      </c>
      <c r="F13" s="238" t="s">
        <v>75</v>
      </c>
      <c r="G13" s="238" t="s">
        <v>75</v>
      </c>
      <c r="H13" s="238" t="s">
        <v>75</v>
      </c>
      <c r="I13" s="238" t="s">
        <v>75</v>
      </c>
      <c r="J13" s="238" t="s">
        <v>75</v>
      </c>
      <c r="K13" s="238" t="s">
        <v>75</v>
      </c>
      <c r="L13" s="238" t="s">
        <v>75</v>
      </c>
      <c r="M13" s="238" t="s">
        <v>75</v>
      </c>
      <c r="N13" s="238" t="s">
        <v>75</v>
      </c>
      <c r="O13" s="238" t="s">
        <v>75</v>
      </c>
      <c r="P13" s="238" t="s">
        <v>75</v>
      </c>
      <c r="Q13" s="238" t="s">
        <v>75</v>
      </c>
      <c r="R13" s="238" t="s">
        <v>75</v>
      </c>
      <c r="S13" s="238" t="s">
        <v>75</v>
      </c>
      <c r="T13" s="238" t="s">
        <v>75</v>
      </c>
    </row>
    <row r="14" spans="1:24" ht="13.25" customHeight="1">
      <c r="A14" s="83"/>
      <c r="B14" s="23" t="s">
        <v>30</v>
      </c>
      <c r="C14" s="238">
        <v>10.6</v>
      </c>
      <c r="D14" s="238">
        <v>12.58</v>
      </c>
      <c r="E14" s="238">
        <v>12.76</v>
      </c>
      <c r="F14" s="238">
        <v>14.22</v>
      </c>
      <c r="G14" s="238">
        <v>12.36</v>
      </c>
      <c r="H14" s="238">
        <v>12.14</v>
      </c>
      <c r="I14" s="238">
        <v>11.04</v>
      </c>
      <c r="J14" s="238">
        <v>13.25</v>
      </c>
      <c r="K14" s="238" t="s">
        <v>75</v>
      </c>
      <c r="L14" s="238" t="s">
        <v>75</v>
      </c>
      <c r="M14" s="238" t="s">
        <v>75</v>
      </c>
      <c r="N14" s="238" t="s">
        <v>75</v>
      </c>
      <c r="O14" s="238" t="s">
        <v>75</v>
      </c>
      <c r="P14" s="238" t="s">
        <v>75</v>
      </c>
      <c r="Q14" s="238" t="s">
        <v>75</v>
      </c>
      <c r="R14" s="238" t="s">
        <v>75</v>
      </c>
      <c r="S14" s="238" t="s">
        <v>75</v>
      </c>
      <c r="T14" s="238" t="s">
        <v>75</v>
      </c>
    </row>
    <row r="15" spans="1:24" ht="13.25" customHeight="1">
      <c r="A15" s="83"/>
      <c r="B15" s="23" t="s">
        <v>31</v>
      </c>
      <c r="C15" s="238">
        <v>10.82</v>
      </c>
      <c r="D15" s="238">
        <v>10.71</v>
      </c>
      <c r="E15" s="238">
        <v>11.02</v>
      </c>
      <c r="F15" s="238">
        <v>11.56</v>
      </c>
      <c r="G15" s="238">
        <v>10.84</v>
      </c>
      <c r="H15" s="238">
        <v>12.45</v>
      </c>
      <c r="I15" s="238">
        <v>11.8</v>
      </c>
      <c r="J15" s="238">
        <v>13.52</v>
      </c>
      <c r="K15" s="238">
        <v>11.3</v>
      </c>
      <c r="L15" s="238">
        <v>14.51</v>
      </c>
      <c r="M15" s="238">
        <v>14.58</v>
      </c>
      <c r="N15" s="238">
        <v>14.74</v>
      </c>
      <c r="O15" s="238">
        <v>12.79</v>
      </c>
      <c r="P15" s="238">
        <v>14.04</v>
      </c>
      <c r="Q15" s="238">
        <v>14.06</v>
      </c>
      <c r="R15" s="238">
        <v>14</v>
      </c>
      <c r="S15" s="238">
        <v>13.22</v>
      </c>
      <c r="T15" s="238">
        <v>13.77</v>
      </c>
      <c r="V15" s="161"/>
      <c r="W15" s="161"/>
      <c r="X15" s="161"/>
    </row>
    <row r="16" spans="1:24" ht="13.25" customHeight="1">
      <c r="A16" s="83"/>
      <c r="B16" s="23" t="s">
        <v>32</v>
      </c>
      <c r="C16" s="238" t="s">
        <v>75</v>
      </c>
      <c r="D16" s="238" t="s">
        <v>75</v>
      </c>
      <c r="E16" s="238" t="s">
        <v>75</v>
      </c>
      <c r="F16" s="238" t="s">
        <v>75</v>
      </c>
      <c r="G16" s="238" t="s">
        <v>75</v>
      </c>
      <c r="H16" s="238" t="s">
        <v>75</v>
      </c>
      <c r="I16" s="238" t="s">
        <v>75</v>
      </c>
      <c r="J16" s="238" t="s">
        <v>75</v>
      </c>
      <c r="K16" s="238" t="s">
        <v>75</v>
      </c>
      <c r="L16" s="238" t="s">
        <v>75</v>
      </c>
      <c r="M16" s="238" t="s">
        <v>75</v>
      </c>
      <c r="N16" s="238" t="s">
        <v>75</v>
      </c>
      <c r="O16" s="238" t="s">
        <v>75</v>
      </c>
      <c r="P16" s="238" t="s">
        <v>75</v>
      </c>
      <c r="Q16" s="238" t="s">
        <v>75</v>
      </c>
      <c r="R16" s="238" t="s">
        <v>75</v>
      </c>
      <c r="S16" s="238" t="s">
        <v>75</v>
      </c>
      <c r="T16" s="238" t="s">
        <v>75</v>
      </c>
    </row>
    <row r="17" spans="1:24" ht="13.25" customHeight="1">
      <c r="A17" s="83"/>
      <c r="B17" s="23" t="s">
        <v>33</v>
      </c>
      <c r="C17" s="238">
        <v>9.89</v>
      </c>
      <c r="D17" s="238">
        <v>9.93</v>
      </c>
      <c r="E17" s="238">
        <v>10.039999999999999</v>
      </c>
      <c r="F17" s="238">
        <v>10.27</v>
      </c>
      <c r="G17" s="238">
        <v>11.04</v>
      </c>
      <c r="H17" s="238">
        <v>9.93</v>
      </c>
      <c r="I17" s="238">
        <v>0</v>
      </c>
      <c r="J17" s="238">
        <v>14.46</v>
      </c>
      <c r="K17" s="238">
        <v>10.52</v>
      </c>
      <c r="L17" s="238">
        <v>12.44</v>
      </c>
      <c r="M17" s="238">
        <v>12.79</v>
      </c>
      <c r="N17" s="238">
        <v>12.1</v>
      </c>
      <c r="O17" s="238">
        <v>13.21</v>
      </c>
      <c r="P17" s="238">
        <v>13.43</v>
      </c>
      <c r="Q17" s="238">
        <v>13.66</v>
      </c>
      <c r="R17" s="238">
        <v>13.35</v>
      </c>
      <c r="S17" s="238">
        <v>13.56</v>
      </c>
      <c r="T17" s="238">
        <v>13.75</v>
      </c>
      <c r="V17" s="161"/>
      <c r="W17" s="161"/>
      <c r="X17" s="161"/>
    </row>
    <row r="18" spans="1:24" ht="13.25" customHeight="1">
      <c r="A18" s="83"/>
      <c r="B18" s="23" t="s">
        <v>34</v>
      </c>
      <c r="C18" s="238">
        <v>11.26</v>
      </c>
      <c r="D18" s="238">
        <v>11.43</v>
      </c>
      <c r="E18" s="238">
        <v>15.45</v>
      </c>
      <c r="F18" s="238">
        <v>13.25</v>
      </c>
      <c r="G18" s="238">
        <v>9.74</v>
      </c>
      <c r="H18" s="238">
        <v>10.07</v>
      </c>
      <c r="I18" s="238">
        <v>12.3</v>
      </c>
      <c r="J18" s="238">
        <v>13</v>
      </c>
      <c r="K18" s="238">
        <v>13.24</v>
      </c>
      <c r="L18" s="238">
        <v>15.12</v>
      </c>
      <c r="M18" s="238">
        <v>14.81</v>
      </c>
      <c r="N18" s="238">
        <v>12.47</v>
      </c>
      <c r="O18" s="238">
        <v>13.58</v>
      </c>
      <c r="P18" s="238">
        <v>13.49</v>
      </c>
      <c r="Q18" s="238">
        <v>13.5</v>
      </c>
      <c r="R18" s="238">
        <v>13.37</v>
      </c>
      <c r="S18" s="238">
        <v>13.53</v>
      </c>
      <c r="T18" s="238">
        <v>14.42</v>
      </c>
      <c r="V18" s="161"/>
      <c r="W18" s="161"/>
      <c r="X18" s="161"/>
    </row>
    <row r="19" spans="1:24" ht="13.25" customHeight="1">
      <c r="A19" s="83"/>
      <c r="B19" s="23" t="s">
        <v>35</v>
      </c>
      <c r="C19" s="238">
        <v>11.74</v>
      </c>
      <c r="D19" s="238">
        <v>14.42</v>
      </c>
      <c r="E19" s="238">
        <v>14.86</v>
      </c>
      <c r="F19" s="238">
        <v>16.739999999999998</v>
      </c>
      <c r="G19" s="238">
        <v>10.18</v>
      </c>
      <c r="H19" s="238">
        <v>12.56</v>
      </c>
      <c r="I19" s="238">
        <v>11.69</v>
      </c>
      <c r="J19" s="238">
        <v>13.24</v>
      </c>
      <c r="K19" s="238">
        <v>14.18</v>
      </c>
      <c r="L19" s="238">
        <v>14.96</v>
      </c>
      <c r="M19" s="238">
        <v>14.67</v>
      </c>
      <c r="N19" s="238">
        <v>18.649999999999999</v>
      </c>
      <c r="O19" s="238">
        <v>16.82</v>
      </c>
      <c r="P19" s="238">
        <v>15.98</v>
      </c>
      <c r="Q19" s="238">
        <v>15.55</v>
      </c>
      <c r="R19" s="238">
        <v>13.54</v>
      </c>
      <c r="S19" s="238">
        <v>13.89</v>
      </c>
      <c r="T19" s="238">
        <v>13.97</v>
      </c>
      <c r="V19" s="161"/>
      <c r="W19" s="161"/>
      <c r="X19" s="161"/>
    </row>
    <row r="20" spans="1:24" ht="13.25" customHeight="1">
      <c r="A20" s="83"/>
      <c r="B20" s="23" t="s">
        <v>36</v>
      </c>
      <c r="C20" s="238">
        <v>9.85</v>
      </c>
      <c r="D20" s="238">
        <v>10.98</v>
      </c>
      <c r="E20" s="238">
        <v>12.3</v>
      </c>
      <c r="F20" s="238">
        <v>15.67</v>
      </c>
      <c r="G20" s="238">
        <v>7.76</v>
      </c>
      <c r="H20" s="238">
        <v>9.4</v>
      </c>
      <c r="I20" s="238">
        <v>13.46</v>
      </c>
      <c r="J20" s="238">
        <v>11.73</v>
      </c>
      <c r="K20" s="238">
        <v>11.5</v>
      </c>
      <c r="L20" s="238">
        <v>14.12</v>
      </c>
      <c r="M20" s="238">
        <v>14.51</v>
      </c>
      <c r="N20" s="238">
        <v>14.98</v>
      </c>
      <c r="O20" s="238">
        <v>16.79</v>
      </c>
      <c r="P20" s="238">
        <v>15.1</v>
      </c>
      <c r="Q20" s="238">
        <v>15.78</v>
      </c>
      <c r="R20" s="238">
        <v>14.05</v>
      </c>
      <c r="S20" s="238">
        <v>13.83</v>
      </c>
      <c r="T20" s="238">
        <v>13.92</v>
      </c>
      <c r="V20" s="161"/>
      <c r="W20" s="161"/>
      <c r="X20" s="161"/>
    </row>
    <row r="21" spans="1:24" ht="13.25" customHeight="1">
      <c r="A21" s="83"/>
      <c r="B21" s="23" t="s">
        <v>37</v>
      </c>
      <c r="C21" s="238">
        <v>10.98</v>
      </c>
      <c r="D21" s="238">
        <v>11.83</v>
      </c>
      <c r="E21" s="238">
        <v>14.9</v>
      </c>
      <c r="F21" s="238">
        <v>16.04</v>
      </c>
      <c r="G21" s="238">
        <v>9.52</v>
      </c>
      <c r="H21" s="238">
        <v>11.98</v>
      </c>
      <c r="I21" s="238">
        <v>13.8</v>
      </c>
      <c r="J21" s="238">
        <v>13.34</v>
      </c>
      <c r="K21" s="238">
        <v>11.94</v>
      </c>
      <c r="L21" s="238">
        <v>16.940000000000001</v>
      </c>
      <c r="M21" s="238">
        <v>16.93</v>
      </c>
      <c r="N21" s="238">
        <v>16.170000000000002</v>
      </c>
      <c r="O21" s="238">
        <v>16.38</v>
      </c>
      <c r="P21" s="238">
        <v>15.81</v>
      </c>
      <c r="Q21" s="238">
        <v>17.03</v>
      </c>
      <c r="R21" s="238">
        <v>13.96</v>
      </c>
      <c r="S21" s="238">
        <v>16.57</v>
      </c>
      <c r="T21" s="238">
        <v>16.54</v>
      </c>
      <c r="V21" s="161"/>
      <c r="W21" s="161"/>
      <c r="X21" s="161"/>
    </row>
    <row r="22" spans="1:24" ht="13.25" customHeight="1">
      <c r="A22" s="83"/>
      <c r="B22" s="23" t="s">
        <v>38</v>
      </c>
      <c r="C22" s="238">
        <v>11.23</v>
      </c>
      <c r="D22" s="238">
        <v>12.41</v>
      </c>
      <c r="E22" s="238">
        <v>13.35</v>
      </c>
      <c r="F22" s="238">
        <v>14</v>
      </c>
      <c r="G22" s="238">
        <v>9.7899999999999991</v>
      </c>
      <c r="H22" s="238">
        <v>12.56</v>
      </c>
      <c r="I22" s="238">
        <v>14.7</v>
      </c>
      <c r="J22" s="238">
        <v>13.58</v>
      </c>
      <c r="K22" s="238">
        <v>10.64</v>
      </c>
      <c r="L22" s="238">
        <v>13.26</v>
      </c>
      <c r="M22" s="238">
        <v>13.62</v>
      </c>
      <c r="N22" s="238">
        <v>13.74</v>
      </c>
      <c r="O22" s="238">
        <v>14.86</v>
      </c>
      <c r="P22" s="238">
        <v>14.59</v>
      </c>
      <c r="Q22" s="238">
        <v>15.08</v>
      </c>
      <c r="R22" s="238">
        <v>14.63</v>
      </c>
      <c r="S22" s="238">
        <v>14.74</v>
      </c>
      <c r="T22" s="238">
        <v>14.79</v>
      </c>
      <c r="V22" s="161"/>
      <c r="W22" s="161"/>
      <c r="X22" s="161"/>
    </row>
    <row r="23" spans="1:24" ht="13.25" customHeight="1">
      <c r="A23" s="83"/>
      <c r="B23" s="23" t="s">
        <v>39</v>
      </c>
      <c r="C23" s="238">
        <v>10.6</v>
      </c>
      <c r="D23" s="238">
        <v>11.26</v>
      </c>
      <c r="E23" s="238">
        <v>16.18</v>
      </c>
      <c r="F23" s="238">
        <v>15.45</v>
      </c>
      <c r="G23" s="238">
        <v>11.29</v>
      </c>
      <c r="H23" s="238">
        <v>10.01</v>
      </c>
      <c r="I23" s="238">
        <v>13.41</v>
      </c>
      <c r="J23" s="238">
        <v>11.35</v>
      </c>
      <c r="K23" s="238">
        <v>11.04</v>
      </c>
      <c r="L23" s="238">
        <v>12.8</v>
      </c>
      <c r="M23" s="238">
        <v>14.49</v>
      </c>
      <c r="N23" s="238">
        <v>13.75</v>
      </c>
      <c r="O23" s="238">
        <v>14.35</v>
      </c>
      <c r="P23" s="238">
        <v>14.59</v>
      </c>
      <c r="Q23" s="238">
        <v>15.43</v>
      </c>
      <c r="R23" s="238">
        <v>14.54</v>
      </c>
      <c r="S23" s="238">
        <v>14.7</v>
      </c>
      <c r="T23" s="238">
        <v>14.85</v>
      </c>
      <c r="V23" s="161"/>
      <c r="W23" s="161"/>
      <c r="X23" s="161"/>
    </row>
    <row r="24" spans="1:24" ht="13.25" customHeight="1">
      <c r="A24" s="83"/>
      <c r="B24" s="23" t="s">
        <v>40</v>
      </c>
      <c r="C24" s="238">
        <v>10.49</v>
      </c>
      <c r="D24" s="238">
        <v>10.24</v>
      </c>
      <c r="E24" s="238">
        <v>10.44</v>
      </c>
      <c r="F24" s="238">
        <v>11.84</v>
      </c>
      <c r="G24" s="238">
        <v>9.2899999999999991</v>
      </c>
      <c r="H24" s="238">
        <v>8.67</v>
      </c>
      <c r="I24" s="238">
        <v>11.73</v>
      </c>
      <c r="J24" s="238">
        <v>7.47</v>
      </c>
      <c r="K24" s="238">
        <v>12.79</v>
      </c>
      <c r="L24" s="238">
        <v>12.86</v>
      </c>
      <c r="M24" s="238">
        <v>13.01</v>
      </c>
      <c r="N24" s="238">
        <v>14.21</v>
      </c>
      <c r="O24" s="238">
        <v>11.18</v>
      </c>
      <c r="P24" s="238">
        <v>12.73</v>
      </c>
      <c r="Q24" s="238">
        <v>13</v>
      </c>
      <c r="R24" s="238">
        <v>12.94</v>
      </c>
      <c r="S24" s="238">
        <v>12.35</v>
      </c>
      <c r="T24" s="238">
        <v>13.1</v>
      </c>
      <c r="V24" s="161"/>
      <c r="W24" s="161"/>
      <c r="X24" s="161"/>
    </row>
    <row r="25" spans="1:24" ht="13.25" customHeight="1">
      <c r="A25" s="83"/>
      <c r="B25" s="82" t="s">
        <v>41</v>
      </c>
      <c r="C25" s="238">
        <v>9.82</v>
      </c>
      <c r="D25" s="238">
        <v>9.7200000000000006</v>
      </c>
      <c r="E25" s="238">
        <v>10.11</v>
      </c>
      <c r="F25" s="238">
        <v>11.28</v>
      </c>
      <c r="G25" s="238">
        <v>11.19</v>
      </c>
      <c r="H25" s="238">
        <v>11.32</v>
      </c>
      <c r="I25" s="238">
        <v>11.84</v>
      </c>
      <c r="J25" s="238">
        <v>11.88</v>
      </c>
      <c r="K25" s="238">
        <v>12.25</v>
      </c>
      <c r="L25" s="238">
        <v>13.41</v>
      </c>
      <c r="M25" s="238">
        <v>12.82</v>
      </c>
      <c r="N25" s="238">
        <v>12.74</v>
      </c>
      <c r="O25" s="238">
        <v>12.46</v>
      </c>
      <c r="P25" s="238">
        <v>12.51</v>
      </c>
      <c r="Q25" s="238">
        <v>12.55</v>
      </c>
      <c r="R25" s="238">
        <v>12.9</v>
      </c>
      <c r="S25" s="238">
        <v>12.57</v>
      </c>
      <c r="T25" s="238">
        <v>12.83</v>
      </c>
      <c r="V25" s="161"/>
      <c r="W25" s="161"/>
      <c r="X25" s="161"/>
    </row>
    <row r="26" spans="1:24" ht="13.25" customHeight="1">
      <c r="A26" s="83"/>
      <c r="B26" s="23" t="s">
        <v>44</v>
      </c>
      <c r="C26" s="238">
        <v>11.93</v>
      </c>
      <c r="D26" s="238">
        <v>12.26</v>
      </c>
      <c r="E26" s="238">
        <v>13.75</v>
      </c>
      <c r="F26" s="238">
        <v>14.91</v>
      </c>
      <c r="G26" s="238">
        <v>12.27</v>
      </c>
      <c r="H26" s="238">
        <v>13.19</v>
      </c>
      <c r="I26" s="238">
        <v>14.22</v>
      </c>
      <c r="J26" s="238">
        <v>15.28</v>
      </c>
      <c r="K26" s="238">
        <v>17.690000000000001</v>
      </c>
      <c r="L26" s="238">
        <v>17.899999999999999</v>
      </c>
      <c r="M26" s="238">
        <v>16.46</v>
      </c>
      <c r="N26" s="238">
        <v>14.68</v>
      </c>
      <c r="O26" s="238">
        <v>13.21</v>
      </c>
      <c r="P26" s="238">
        <v>14.6</v>
      </c>
      <c r="Q26" s="238">
        <v>14.44</v>
      </c>
      <c r="R26" s="238">
        <v>14.37</v>
      </c>
      <c r="S26" s="238">
        <v>14.78</v>
      </c>
      <c r="T26" s="238">
        <v>14.83</v>
      </c>
      <c r="V26" s="161"/>
      <c r="W26" s="161"/>
      <c r="X26" s="161"/>
    </row>
    <row r="27" spans="1:24" ht="13.25" customHeight="1">
      <c r="A27" s="83"/>
      <c r="B27" s="82" t="s">
        <v>45</v>
      </c>
      <c r="C27" s="238">
        <v>13.19</v>
      </c>
      <c r="D27" s="238">
        <v>13.8</v>
      </c>
      <c r="E27" s="238">
        <v>14.68</v>
      </c>
      <c r="F27" s="238">
        <v>15.76</v>
      </c>
      <c r="G27" s="238">
        <v>13.22</v>
      </c>
      <c r="H27" s="238">
        <v>13.99</v>
      </c>
      <c r="I27" s="238">
        <v>15.63</v>
      </c>
      <c r="J27" s="238">
        <v>15.86</v>
      </c>
      <c r="K27" s="238">
        <v>17.22</v>
      </c>
      <c r="L27" s="238">
        <v>17.78</v>
      </c>
      <c r="M27" s="238">
        <v>17.7</v>
      </c>
      <c r="N27" s="238">
        <v>18.809999999999999</v>
      </c>
      <c r="O27" s="238">
        <v>14.84</v>
      </c>
      <c r="P27" s="238">
        <v>19.68</v>
      </c>
      <c r="Q27" s="238">
        <v>17.03</v>
      </c>
      <c r="R27" s="238">
        <v>13.42</v>
      </c>
      <c r="S27" s="238">
        <v>14.54</v>
      </c>
      <c r="T27" s="238">
        <v>14.86</v>
      </c>
      <c r="V27" s="161"/>
      <c r="W27" s="161"/>
      <c r="X27" s="161"/>
    </row>
    <row r="28" spans="1:24" ht="13.25" customHeight="1">
      <c r="A28" s="34"/>
      <c r="B28" s="23" t="s">
        <v>46</v>
      </c>
      <c r="C28" s="238" t="s">
        <v>75</v>
      </c>
      <c r="D28" s="238" t="s">
        <v>75</v>
      </c>
      <c r="E28" s="238" t="s">
        <v>75</v>
      </c>
      <c r="F28" s="238" t="s">
        <v>75</v>
      </c>
      <c r="G28" s="238" t="s">
        <v>75</v>
      </c>
      <c r="H28" s="238" t="s">
        <v>75</v>
      </c>
      <c r="I28" s="238" t="s">
        <v>75</v>
      </c>
      <c r="J28" s="238" t="s">
        <v>75</v>
      </c>
      <c r="K28" s="238" t="s">
        <v>75</v>
      </c>
      <c r="L28" s="238" t="s">
        <v>75</v>
      </c>
      <c r="M28" s="238" t="s">
        <v>75</v>
      </c>
      <c r="N28" s="238" t="s">
        <v>75</v>
      </c>
      <c r="O28" s="238" t="s">
        <v>75</v>
      </c>
      <c r="P28" s="238" t="s">
        <v>75</v>
      </c>
      <c r="Q28" s="238" t="s">
        <v>75</v>
      </c>
      <c r="R28" s="238" t="s">
        <v>75</v>
      </c>
      <c r="S28" s="238" t="s">
        <v>75</v>
      </c>
      <c r="T28" s="238" t="s">
        <v>75</v>
      </c>
    </row>
    <row r="29" spans="1:24" ht="13.25" customHeight="1">
      <c r="A29" s="35"/>
      <c r="B29" s="35" t="s">
        <v>47</v>
      </c>
      <c r="C29" s="238" t="s">
        <v>75</v>
      </c>
      <c r="D29" s="238" t="s">
        <v>75</v>
      </c>
      <c r="E29" s="238" t="s">
        <v>75</v>
      </c>
      <c r="F29" s="238" t="s">
        <v>75</v>
      </c>
      <c r="G29" s="238" t="s">
        <v>75</v>
      </c>
      <c r="H29" s="238" t="s">
        <v>75</v>
      </c>
      <c r="I29" s="238" t="s">
        <v>75</v>
      </c>
      <c r="J29" s="238" t="s">
        <v>75</v>
      </c>
      <c r="K29" s="238" t="s">
        <v>75</v>
      </c>
      <c r="L29" s="238" t="s">
        <v>75</v>
      </c>
      <c r="M29" s="238" t="s">
        <v>75</v>
      </c>
      <c r="N29" s="238" t="s">
        <v>75</v>
      </c>
      <c r="O29" s="238" t="s">
        <v>75</v>
      </c>
      <c r="P29" s="238" t="s">
        <v>75</v>
      </c>
      <c r="Q29" s="238" t="s">
        <v>75</v>
      </c>
      <c r="R29" s="238" t="s">
        <v>75</v>
      </c>
      <c r="S29" s="238" t="s">
        <v>75</v>
      </c>
      <c r="T29" s="238" t="s">
        <v>75</v>
      </c>
    </row>
    <row r="30" spans="1:24" ht="13.25" customHeight="1">
      <c r="A30" s="42"/>
      <c r="B30" s="42" t="s">
        <v>48</v>
      </c>
      <c r="C30" s="238" t="s">
        <v>75</v>
      </c>
      <c r="D30" s="238" t="s">
        <v>75</v>
      </c>
      <c r="E30" s="238" t="s">
        <v>75</v>
      </c>
      <c r="F30" s="238" t="s">
        <v>75</v>
      </c>
      <c r="G30" s="238" t="s">
        <v>75</v>
      </c>
      <c r="H30" s="238" t="s">
        <v>75</v>
      </c>
      <c r="I30" s="238" t="s">
        <v>75</v>
      </c>
      <c r="J30" s="238" t="s">
        <v>75</v>
      </c>
      <c r="K30" s="238" t="s">
        <v>75</v>
      </c>
      <c r="L30" s="238" t="s">
        <v>75</v>
      </c>
      <c r="M30" s="238" t="s">
        <v>75</v>
      </c>
      <c r="N30" s="238" t="s">
        <v>75</v>
      </c>
      <c r="O30" s="238" t="s">
        <v>75</v>
      </c>
      <c r="P30" s="238" t="s">
        <v>75</v>
      </c>
      <c r="Q30" s="238" t="s">
        <v>75</v>
      </c>
      <c r="R30" s="238" t="s">
        <v>75</v>
      </c>
      <c r="S30" s="238" t="s">
        <v>75</v>
      </c>
      <c r="T30" s="238" t="s">
        <v>75</v>
      </c>
    </row>
    <row r="31" spans="1:24" ht="13.25" customHeight="1" thickBot="1">
      <c r="A31" s="39"/>
      <c r="B31" s="575" t="s">
        <v>49</v>
      </c>
      <c r="C31" s="576" t="s">
        <v>75</v>
      </c>
      <c r="D31" s="576" t="s">
        <v>75</v>
      </c>
      <c r="E31" s="576" t="s">
        <v>75</v>
      </c>
      <c r="F31" s="576" t="s">
        <v>75</v>
      </c>
      <c r="G31" s="576" t="s">
        <v>75</v>
      </c>
      <c r="H31" s="576" t="s">
        <v>75</v>
      </c>
      <c r="I31" s="576" t="s">
        <v>75</v>
      </c>
      <c r="J31" s="576" t="s">
        <v>75</v>
      </c>
      <c r="K31" s="576" t="s">
        <v>75</v>
      </c>
      <c r="L31" s="576" t="s">
        <v>75</v>
      </c>
      <c r="M31" s="576" t="s">
        <v>75</v>
      </c>
      <c r="N31" s="576" t="s">
        <v>75</v>
      </c>
      <c r="O31" s="576" t="s">
        <v>75</v>
      </c>
      <c r="P31" s="576" t="s">
        <v>75</v>
      </c>
      <c r="Q31" s="576" t="s">
        <v>75</v>
      </c>
      <c r="R31" s="576" t="s">
        <v>75</v>
      </c>
      <c r="S31" s="576" t="s">
        <v>75</v>
      </c>
      <c r="T31" s="576" t="s">
        <v>75</v>
      </c>
    </row>
    <row r="32" spans="1:24" ht="9" customHeight="1">
      <c r="A32" s="778" t="s">
        <v>402</v>
      </c>
      <c r="B32" s="780"/>
      <c r="C32" s="805"/>
      <c r="D32" s="805"/>
      <c r="E32" s="805"/>
      <c r="F32" s="805"/>
      <c r="G32" s="805"/>
      <c r="H32" s="805"/>
      <c r="I32" s="805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</row>
    <row r="33" spans="1:20" ht="9" customHeight="1">
      <c r="A33" s="778" t="s">
        <v>359</v>
      </c>
      <c r="B33" s="780"/>
      <c r="C33" s="805"/>
      <c r="D33" s="805"/>
      <c r="E33" s="805"/>
      <c r="F33" s="805"/>
      <c r="G33" s="805"/>
      <c r="H33" s="805"/>
      <c r="I33" s="805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5"/>
      <c r="D34" s="805"/>
      <c r="E34" s="805"/>
      <c r="F34" s="805"/>
      <c r="G34" s="805"/>
      <c r="H34" s="805"/>
      <c r="I34" s="805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4">
    <tabColor theme="9" tint="0.59999389629810485"/>
  </sheetPr>
  <dimension ref="A2:T62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5" width="8.19921875" style="82" customWidth="1"/>
    <col min="26" max="16384" width="7" style="82"/>
  </cols>
  <sheetData>
    <row r="2" spans="1:20" ht="13.25" customHeight="1">
      <c r="A2" s="230" t="s">
        <v>516</v>
      </c>
      <c r="B2" s="231"/>
    </row>
    <row r="3" spans="1:20" ht="13.25" customHeight="1">
      <c r="A3" s="232" t="s">
        <v>232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0" ht="15" customHeight="1">
      <c r="A6" s="963" t="s">
        <v>96</v>
      </c>
      <c r="B6" s="963"/>
      <c r="C6" s="574">
        <f>(C8+C9+C10+C11+C12+C13+C14+C15+C16+C17+C18+C19+C20+C21+C22+C23+C24+C25+C26+C27+C28+C29+C30+C31)</f>
        <v>1269979</v>
      </c>
      <c r="D6" s="574">
        <f>(D8+D9+D10+D11+D12+D13+D14+D15+D16+D17+D18+D19+D20+D21+D22+D23+D24+D25+D26+D27+D28+D29+D30+D31)</f>
        <v>1256101</v>
      </c>
      <c r="E6" s="806">
        <v>1274425</v>
      </c>
      <c r="F6" s="806">
        <v>1262782</v>
      </c>
      <c r="G6" s="806">
        <v>1237593</v>
      </c>
      <c r="H6" s="806">
        <v>1245169</v>
      </c>
      <c r="I6" s="806">
        <v>1226612</v>
      </c>
      <c r="J6" s="806">
        <v>1194404</v>
      </c>
      <c r="K6" s="806">
        <v>1234089</v>
      </c>
      <c r="L6" s="806">
        <v>1211917</v>
      </c>
      <c r="M6" s="806">
        <v>1194708</v>
      </c>
      <c r="N6" s="806">
        <v>1105018</v>
      </c>
      <c r="O6" s="806">
        <v>1106201</v>
      </c>
      <c r="P6" s="806">
        <v>1093043</v>
      </c>
      <c r="Q6" s="806">
        <v>1089699</v>
      </c>
      <c r="R6" s="806">
        <v>1092770.6666666667</v>
      </c>
      <c r="S6" s="806">
        <f>SUM(S15:S27)</f>
        <v>1075425</v>
      </c>
      <c r="T6" s="806">
        <f>SUM(T15:T27)</f>
        <v>1069410.8</v>
      </c>
    </row>
    <row r="7" spans="1:20" ht="3" customHeight="1">
      <c r="A7" s="83"/>
      <c r="B7" s="84"/>
      <c r="C7" s="223"/>
      <c r="D7" s="223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</row>
    <row r="8" spans="1:20" ht="13.25" customHeight="1">
      <c r="A8" s="83"/>
      <c r="B8" s="23" t="s">
        <v>21</v>
      </c>
      <c r="C8" s="222">
        <v>0</v>
      </c>
      <c r="D8" s="222">
        <v>0</v>
      </c>
      <c r="E8" s="950" t="s">
        <v>239</v>
      </c>
      <c r="F8" s="950" t="s">
        <v>239</v>
      </c>
      <c r="G8" s="950" t="s">
        <v>239</v>
      </c>
      <c r="H8" s="950" t="s">
        <v>239</v>
      </c>
      <c r="I8" s="950" t="s">
        <v>239</v>
      </c>
      <c r="J8" s="950" t="s">
        <v>239</v>
      </c>
      <c r="K8" s="950" t="s">
        <v>239</v>
      </c>
      <c r="L8" s="950" t="s">
        <v>239</v>
      </c>
      <c r="M8" s="950" t="s">
        <v>239</v>
      </c>
      <c r="N8" s="950" t="s">
        <v>239</v>
      </c>
      <c r="O8" s="950" t="s">
        <v>239</v>
      </c>
      <c r="P8" s="950" t="s">
        <v>239</v>
      </c>
      <c r="Q8" s="950" t="s">
        <v>239</v>
      </c>
      <c r="R8" s="950" t="s">
        <v>239</v>
      </c>
      <c r="S8" s="950" t="s">
        <v>239</v>
      </c>
      <c r="T8" s="950" t="s">
        <v>239</v>
      </c>
    </row>
    <row r="9" spans="1:20" ht="13.25" customHeight="1">
      <c r="A9" s="83"/>
      <c r="B9" s="23" t="s">
        <v>22</v>
      </c>
      <c r="C9" s="222">
        <v>0</v>
      </c>
      <c r="D9" s="222">
        <v>0</v>
      </c>
      <c r="E9" s="950" t="s">
        <v>239</v>
      </c>
      <c r="F9" s="950" t="s">
        <v>239</v>
      </c>
      <c r="G9" s="950" t="s">
        <v>239</v>
      </c>
      <c r="H9" s="950" t="s">
        <v>239</v>
      </c>
      <c r="I9" s="950" t="s">
        <v>239</v>
      </c>
      <c r="J9" s="950" t="s">
        <v>239</v>
      </c>
      <c r="K9" s="950" t="s">
        <v>239</v>
      </c>
      <c r="L9" s="950" t="s">
        <v>239</v>
      </c>
      <c r="M9" s="950" t="s">
        <v>239</v>
      </c>
      <c r="N9" s="950" t="s">
        <v>239</v>
      </c>
      <c r="O9" s="950" t="s">
        <v>239</v>
      </c>
      <c r="P9" s="950" t="s">
        <v>239</v>
      </c>
      <c r="Q9" s="950" t="s">
        <v>239</v>
      </c>
      <c r="R9" s="950" t="s">
        <v>239</v>
      </c>
      <c r="S9" s="950" t="s">
        <v>239</v>
      </c>
      <c r="T9" s="950" t="s">
        <v>239</v>
      </c>
    </row>
    <row r="10" spans="1:20" ht="13.25" customHeight="1">
      <c r="A10" s="83"/>
      <c r="B10" s="23" t="s">
        <v>23</v>
      </c>
      <c r="C10" s="222">
        <v>0</v>
      </c>
      <c r="D10" s="222">
        <v>0</v>
      </c>
      <c r="E10" s="950" t="s">
        <v>239</v>
      </c>
      <c r="F10" s="950" t="s">
        <v>239</v>
      </c>
      <c r="G10" s="950" t="s">
        <v>239</v>
      </c>
      <c r="H10" s="950" t="s">
        <v>239</v>
      </c>
      <c r="I10" s="950" t="s">
        <v>239</v>
      </c>
      <c r="J10" s="950" t="s">
        <v>239</v>
      </c>
      <c r="K10" s="950" t="s">
        <v>239</v>
      </c>
      <c r="L10" s="950" t="s">
        <v>239</v>
      </c>
      <c r="M10" s="950" t="s">
        <v>239</v>
      </c>
      <c r="N10" s="950" t="s">
        <v>239</v>
      </c>
      <c r="O10" s="950" t="s">
        <v>239</v>
      </c>
      <c r="P10" s="950" t="s">
        <v>239</v>
      </c>
      <c r="Q10" s="950" t="s">
        <v>239</v>
      </c>
      <c r="R10" s="950" t="s">
        <v>239</v>
      </c>
      <c r="S10" s="950" t="s">
        <v>239</v>
      </c>
      <c r="T10" s="950" t="s">
        <v>239</v>
      </c>
    </row>
    <row r="11" spans="1:20" ht="13.25" customHeight="1">
      <c r="A11" s="83"/>
      <c r="B11" s="23" t="s">
        <v>24</v>
      </c>
      <c r="C11" s="222">
        <v>0</v>
      </c>
      <c r="D11" s="222">
        <v>0</v>
      </c>
      <c r="E11" s="950" t="s">
        <v>239</v>
      </c>
      <c r="F11" s="950" t="s">
        <v>239</v>
      </c>
      <c r="G11" s="950" t="s">
        <v>239</v>
      </c>
      <c r="H11" s="950" t="s">
        <v>239</v>
      </c>
      <c r="I11" s="950" t="s">
        <v>239</v>
      </c>
      <c r="J11" s="950" t="s">
        <v>239</v>
      </c>
      <c r="K11" s="950" t="s">
        <v>239</v>
      </c>
      <c r="L11" s="950" t="s">
        <v>239</v>
      </c>
      <c r="M11" s="950" t="s">
        <v>239</v>
      </c>
      <c r="N11" s="950" t="s">
        <v>239</v>
      </c>
      <c r="O11" s="950" t="s">
        <v>239</v>
      </c>
      <c r="P11" s="950" t="s">
        <v>239</v>
      </c>
      <c r="Q11" s="950" t="s">
        <v>239</v>
      </c>
      <c r="R11" s="950" t="s">
        <v>239</v>
      </c>
      <c r="S11" s="950" t="s">
        <v>239</v>
      </c>
      <c r="T11" s="950" t="s">
        <v>239</v>
      </c>
    </row>
    <row r="12" spans="1:20" ht="13.25" customHeight="1">
      <c r="A12" s="83"/>
      <c r="B12" s="23" t="s">
        <v>25</v>
      </c>
      <c r="C12" s="222">
        <v>0</v>
      </c>
      <c r="D12" s="222">
        <v>0</v>
      </c>
      <c r="E12" s="950" t="s">
        <v>239</v>
      </c>
      <c r="F12" s="950" t="s">
        <v>239</v>
      </c>
      <c r="G12" s="950" t="s">
        <v>239</v>
      </c>
      <c r="H12" s="950" t="s">
        <v>239</v>
      </c>
      <c r="I12" s="950" t="s">
        <v>239</v>
      </c>
      <c r="J12" s="950" t="s">
        <v>239</v>
      </c>
      <c r="K12" s="950" t="s">
        <v>239</v>
      </c>
      <c r="L12" s="950" t="s">
        <v>239</v>
      </c>
      <c r="M12" s="950" t="s">
        <v>239</v>
      </c>
      <c r="N12" s="950" t="s">
        <v>239</v>
      </c>
      <c r="O12" s="950" t="s">
        <v>239</v>
      </c>
      <c r="P12" s="950" t="s">
        <v>239</v>
      </c>
      <c r="Q12" s="950" t="s">
        <v>239</v>
      </c>
      <c r="R12" s="950" t="s">
        <v>239</v>
      </c>
      <c r="S12" s="950" t="s">
        <v>239</v>
      </c>
      <c r="T12" s="950" t="s">
        <v>239</v>
      </c>
    </row>
    <row r="13" spans="1:20" ht="13.25" customHeight="1">
      <c r="A13" s="83"/>
      <c r="B13" s="23" t="s">
        <v>29</v>
      </c>
      <c r="C13" s="222">
        <v>0</v>
      </c>
      <c r="D13" s="222">
        <v>0</v>
      </c>
      <c r="E13" s="950" t="s">
        <v>239</v>
      </c>
      <c r="F13" s="950" t="s">
        <v>239</v>
      </c>
      <c r="G13" s="950" t="s">
        <v>239</v>
      </c>
      <c r="H13" s="950" t="s">
        <v>239</v>
      </c>
      <c r="I13" s="950" t="s">
        <v>239</v>
      </c>
      <c r="J13" s="950" t="s">
        <v>239</v>
      </c>
      <c r="K13" s="950" t="s">
        <v>239</v>
      </c>
      <c r="L13" s="950" t="s">
        <v>239</v>
      </c>
      <c r="M13" s="950" t="s">
        <v>239</v>
      </c>
      <c r="N13" s="950" t="s">
        <v>239</v>
      </c>
      <c r="O13" s="950" t="s">
        <v>239</v>
      </c>
      <c r="P13" s="950" t="s">
        <v>239</v>
      </c>
      <c r="Q13" s="950" t="s">
        <v>239</v>
      </c>
      <c r="R13" s="950" t="s">
        <v>239</v>
      </c>
      <c r="S13" s="950" t="s">
        <v>239</v>
      </c>
      <c r="T13" s="950" t="s">
        <v>239</v>
      </c>
    </row>
    <row r="14" spans="1:20" ht="13.25" customHeight="1">
      <c r="A14" s="83"/>
      <c r="B14" s="23" t="s">
        <v>30</v>
      </c>
      <c r="C14" s="222">
        <v>1500</v>
      </c>
      <c r="D14" s="222">
        <v>0</v>
      </c>
      <c r="E14" s="950" t="s">
        <v>239</v>
      </c>
      <c r="F14" s="950" t="s">
        <v>239</v>
      </c>
      <c r="G14" s="950" t="s">
        <v>239</v>
      </c>
      <c r="H14" s="950" t="s">
        <v>239</v>
      </c>
      <c r="I14" s="950" t="s">
        <v>239</v>
      </c>
      <c r="J14" s="950" t="s">
        <v>239</v>
      </c>
      <c r="K14" s="950" t="s">
        <v>239</v>
      </c>
      <c r="L14" s="950" t="s">
        <v>239</v>
      </c>
      <c r="M14" s="950" t="s">
        <v>239</v>
      </c>
      <c r="N14" s="950" t="s">
        <v>239</v>
      </c>
      <c r="O14" s="950" t="s">
        <v>239</v>
      </c>
      <c r="P14" s="950" t="s">
        <v>239</v>
      </c>
      <c r="Q14" s="950" t="s">
        <v>239</v>
      </c>
      <c r="R14" s="950" t="s">
        <v>239</v>
      </c>
      <c r="S14" s="950" t="s">
        <v>239</v>
      </c>
      <c r="T14" s="950" t="s">
        <v>239</v>
      </c>
    </row>
    <row r="15" spans="1:20" ht="13.25" customHeight="1">
      <c r="A15" s="83"/>
      <c r="B15" s="23" t="s">
        <v>31</v>
      </c>
      <c r="C15" s="222">
        <v>21456</v>
      </c>
      <c r="D15" s="222">
        <v>23600</v>
      </c>
      <c r="E15" s="93">
        <v>23748</v>
      </c>
      <c r="F15" s="93">
        <v>21894</v>
      </c>
      <c r="G15" s="93">
        <v>22000</v>
      </c>
      <c r="H15" s="93">
        <v>22540</v>
      </c>
      <c r="I15" s="93">
        <v>22202</v>
      </c>
      <c r="J15" s="93">
        <v>23710</v>
      </c>
      <c r="K15" s="93">
        <v>23890</v>
      </c>
      <c r="L15" s="93">
        <v>24487</v>
      </c>
      <c r="M15" s="808">
        <v>24111</v>
      </c>
      <c r="N15" s="808">
        <v>20152</v>
      </c>
      <c r="O15" s="808">
        <v>21904</v>
      </c>
      <c r="P15" s="808">
        <v>22126</v>
      </c>
      <c r="Q15" s="808">
        <v>21780</v>
      </c>
      <c r="R15" s="808">
        <v>19780</v>
      </c>
      <c r="S15" s="808">
        <v>18780</v>
      </c>
      <c r="T15" s="808">
        <v>19280</v>
      </c>
    </row>
    <row r="16" spans="1:20" ht="13.25" customHeight="1">
      <c r="A16" s="83"/>
      <c r="B16" s="23" t="s">
        <v>32</v>
      </c>
      <c r="C16" s="222">
        <v>0</v>
      </c>
      <c r="D16" s="222">
        <v>0</v>
      </c>
      <c r="E16" s="950" t="s">
        <v>239</v>
      </c>
      <c r="F16" s="950" t="s">
        <v>239</v>
      </c>
      <c r="G16" s="950" t="s">
        <v>239</v>
      </c>
      <c r="H16" s="950" t="s">
        <v>239</v>
      </c>
      <c r="I16" s="950" t="s">
        <v>239</v>
      </c>
      <c r="J16" s="950" t="s">
        <v>239</v>
      </c>
      <c r="K16" s="950" t="s">
        <v>239</v>
      </c>
      <c r="L16" s="950" t="s">
        <v>239</v>
      </c>
      <c r="M16" s="950" t="s">
        <v>239</v>
      </c>
      <c r="N16" s="950" t="s">
        <v>239</v>
      </c>
      <c r="O16" s="950" t="s">
        <v>239</v>
      </c>
      <c r="P16" s="950" t="s">
        <v>239</v>
      </c>
      <c r="Q16" s="950" t="s">
        <v>239</v>
      </c>
      <c r="R16" s="950" t="s">
        <v>239</v>
      </c>
      <c r="S16" s="950" t="s">
        <v>239</v>
      </c>
      <c r="T16" s="950" t="s">
        <v>239</v>
      </c>
    </row>
    <row r="17" spans="1:20" ht="13.25" customHeight="1">
      <c r="A17" s="83"/>
      <c r="B17" s="23" t="s">
        <v>33</v>
      </c>
      <c r="C17" s="222">
        <v>6405</v>
      </c>
      <c r="D17" s="222">
        <v>0</v>
      </c>
      <c r="E17" s="950" t="s">
        <v>239</v>
      </c>
      <c r="F17" s="950" t="s">
        <v>239</v>
      </c>
      <c r="G17" s="950" t="s">
        <v>239</v>
      </c>
      <c r="H17" s="950" t="s">
        <v>239</v>
      </c>
      <c r="I17" s="950" t="s">
        <v>239</v>
      </c>
      <c r="J17" s="93">
        <v>3750</v>
      </c>
      <c r="K17" s="93">
        <v>3800</v>
      </c>
      <c r="L17" s="93">
        <v>4000</v>
      </c>
      <c r="M17" s="808">
        <v>3500</v>
      </c>
      <c r="N17" s="808">
        <v>3450</v>
      </c>
      <c r="O17" s="808">
        <v>3530</v>
      </c>
      <c r="P17" s="808">
        <v>3495</v>
      </c>
      <c r="Q17" s="808">
        <v>3512.5</v>
      </c>
      <c r="R17" s="808">
        <v>3460</v>
      </c>
      <c r="S17" s="808">
        <v>3485</v>
      </c>
      <c r="T17" s="808">
        <v>3472.5</v>
      </c>
    </row>
    <row r="18" spans="1:20" ht="13.25" customHeight="1">
      <c r="A18" s="83"/>
      <c r="B18" s="23" t="s">
        <v>34</v>
      </c>
      <c r="C18" s="222">
        <v>44590</v>
      </c>
      <c r="D18" s="222">
        <v>43194</v>
      </c>
      <c r="E18" s="93">
        <v>44310</v>
      </c>
      <c r="F18" s="93">
        <v>43124</v>
      </c>
      <c r="G18" s="93">
        <v>40880</v>
      </c>
      <c r="H18" s="93">
        <v>38635</v>
      </c>
      <c r="I18" s="93">
        <v>35755</v>
      </c>
      <c r="J18" s="93">
        <v>34591</v>
      </c>
      <c r="K18" s="93">
        <v>33297</v>
      </c>
      <c r="L18" s="93">
        <v>33924</v>
      </c>
      <c r="M18" s="808">
        <v>33584</v>
      </c>
      <c r="N18" s="808">
        <v>33250</v>
      </c>
      <c r="O18" s="808">
        <v>44169</v>
      </c>
      <c r="P18" s="808">
        <v>43590</v>
      </c>
      <c r="Q18" s="808">
        <v>43879.5</v>
      </c>
      <c r="R18" s="808">
        <v>44677</v>
      </c>
      <c r="S18" s="808">
        <v>44276</v>
      </c>
      <c r="T18" s="808">
        <v>44476.5</v>
      </c>
    </row>
    <row r="19" spans="1:20" ht="13.25" customHeight="1">
      <c r="A19" s="83"/>
      <c r="B19" s="23" t="s">
        <v>35</v>
      </c>
      <c r="C19" s="222">
        <v>38340</v>
      </c>
      <c r="D19" s="222">
        <v>36650</v>
      </c>
      <c r="E19" s="93">
        <v>38340</v>
      </c>
      <c r="F19" s="93">
        <v>40385</v>
      </c>
      <c r="G19" s="93">
        <v>39200</v>
      </c>
      <c r="H19" s="93">
        <v>37583</v>
      </c>
      <c r="I19" s="93">
        <v>40495</v>
      </c>
      <c r="J19" s="93">
        <v>60081</v>
      </c>
      <c r="K19" s="93">
        <v>51560</v>
      </c>
      <c r="L19" s="93">
        <v>52446</v>
      </c>
      <c r="M19" s="808">
        <v>52954</v>
      </c>
      <c r="N19" s="808">
        <v>52868</v>
      </c>
      <c r="O19" s="808">
        <v>59605</v>
      </c>
      <c r="P19" s="808">
        <v>62556</v>
      </c>
      <c r="Q19" s="808">
        <v>67302</v>
      </c>
      <c r="R19" s="808">
        <v>65597</v>
      </c>
      <c r="S19" s="808">
        <v>63128</v>
      </c>
      <c r="T19" s="808">
        <v>64362.5</v>
      </c>
    </row>
    <row r="20" spans="1:20" ht="13.25" customHeight="1">
      <c r="A20" s="83"/>
      <c r="B20" s="23" t="s">
        <v>36</v>
      </c>
      <c r="C20" s="222">
        <v>133333</v>
      </c>
      <c r="D20" s="222">
        <v>134065</v>
      </c>
      <c r="E20" s="93">
        <v>133670</v>
      </c>
      <c r="F20" s="93">
        <v>129100</v>
      </c>
      <c r="G20" s="93">
        <v>130864</v>
      </c>
      <c r="H20" s="93">
        <v>132206</v>
      </c>
      <c r="I20" s="93">
        <v>130987</v>
      </c>
      <c r="J20" s="93">
        <v>131420</v>
      </c>
      <c r="K20" s="93">
        <v>141096</v>
      </c>
      <c r="L20" s="93">
        <v>143295</v>
      </c>
      <c r="M20" s="808">
        <v>139124</v>
      </c>
      <c r="N20" s="808">
        <v>131758</v>
      </c>
      <c r="O20" s="808">
        <v>127731</v>
      </c>
      <c r="P20" s="808">
        <v>128540</v>
      </c>
      <c r="Q20" s="808">
        <v>131322</v>
      </c>
      <c r="R20" s="808">
        <v>129197.66666666667</v>
      </c>
      <c r="S20" s="808">
        <v>129587</v>
      </c>
      <c r="T20" s="808">
        <v>129392.3</v>
      </c>
    </row>
    <row r="21" spans="1:20" ht="13.25" customHeight="1">
      <c r="A21" s="83"/>
      <c r="B21" s="23" t="s">
        <v>37</v>
      </c>
      <c r="C21" s="222">
        <v>115265</v>
      </c>
      <c r="D21" s="222">
        <v>116940</v>
      </c>
      <c r="E21" s="93">
        <v>114410</v>
      </c>
      <c r="F21" s="93">
        <v>112650</v>
      </c>
      <c r="G21" s="93">
        <v>108990</v>
      </c>
      <c r="H21" s="93">
        <v>105753</v>
      </c>
      <c r="I21" s="93">
        <v>107261</v>
      </c>
      <c r="J21" s="93">
        <v>106033</v>
      </c>
      <c r="K21" s="93">
        <v>101370</v>
      </c>
      <c r="L21" s="93">
        <v>102450</v>
      </c>
      <c r="M21" s="808">
        <v>99937</v>
      </c>
      <c r="N21" s="808">
        <v>91070</v>
      </c>
      <c r="O21" s="808">
        <v>87181</v>
      </c>
      <c r="P21" s="808">
        <v>90122</v>
      </c>
      <c r="Q21" s="808">
        <v>88209</v>
      </c>
      <c r="R21" s="808">
        <v>87209</v>
      </c>
      <c r="S21" s="808">
        <v>94372</v>
      </c>
      <c r="T21" s="808">
        <v>94914</v>
      </c>
    </row>
    <row r="22" spans="1:20" ht="13.25" customHeight="1">
      <c r="A22" s="83"/>
      <c r="B22" s="23" t="s">
        <v>38</v>
      </c>
      <c r="C22" s="222">
        <v>40508</v>
      </c>
      <c r="D22" s="222">
        <v>36448</v>
      </c>
      <c r="E22" s="93">
        <v>42803</v>
      </c>
      <c r="F22" s="93">
        <v>39301</v>
      </c>
      <c r="G22" s="93">
        <v>39600</v>
      </c>
      <c r="H22" s="93">
        <v>39732</v>
      </c>
      <c r="I22" s="93">
        <v>38737</v>
      </c>
      <c r="J22" s="93">
        <v>37450</v>
      </c>
      <c r="K22" s="93">
        <v>36980</v>
      </c>
      <c r="L22" s="93">
        <v>37027</v>
      </c>
      <c r="M22" s="808">
        <v>37704</v>
      </c>
      <c r="N22" s="808">
        <v>39589</v>
      </c>
      <c r="O22" s="808">
        <v>38640</v>
      </c>
      <c r="P22" s="808">
        <v>38670</v>
      </c>
      <c r="Q22" s="808">
        <v>38655</v>
      </c>
      <c r="R22" s="808">
        <v>38655</v>
      </c>
      <c r="S22" s="808">
        <v>38059</v>
      </c>
      <c r="T22" s="808">
        <v>38357</v>
      </c>
    </row>
    <row r="23" spans="1:20" ht="13.25" customHeight="1">
      <c r="A23" s="83"/>
      <c r="B23" s="23" t="s">
        <v>39</v>
      </c>
      <c r="C23" s="222">
        <v>18555</v>
      </c>
      <c r="D23" s="222">
        <v>18980</v>
      </c>
      <c r="E23" s="93">
        <v>14575</v>
      </c>
      <c r="F23" s="93">
        <v>19865</v>
      </c>
      <c r="G23" s="93">
        <v>18404</v>
      </c>
      <c r="H23" s="93">
        <v>20680</v>
      </c>
      <c r="I23" s="93">
        <v>20968</v>
      </c>
      <c r="J23" s="93">
        <v>21445</v>
      </c>
      <c r="K23" s="93">
        <v>27998</v>
      </c>
      <c r="L23" s="93">
        <v>27046</v>
      </c>
      <c r="M23" s="808">
        <v>28326</v>
      </c>
      <c r="N23" s="808">
        <v>29742</v>
      </c>
      <c r="O23" s="808">
        <v>28405</v>
      </c>
      <c r="P23" s="808">
        <v>28405</v>
      </c>
      <c r="Q23" s="808">
        <v>28405</v>
      </c>
      <c r="R23" s="808">
        <v>28405</v>
      </c>
      <c r="S23" s="808">
        <v>28397</v>
      </c>
      <c r="T23" s="808">
        <v>28401</v>
      </c>
    </row>
    <row r="24" spans="1:20" ht="13.25" customHeight="1">
      <c r="A24" s="83"/>
      <c r="B24" s="23" t="s">
        <v>40</v>
      </c>
      <c r="C24" s="222">
        <v>128288</v>
      </c>
      <c r="D24" s="222">
        <v>119003</v>
      </c>
      <c r="E24" s="93">
        <v>129320</v>
      </c>
      <c r="F24" s="93">
        <v>134210</v>
      </c>
      <c r="G24" s="93">
        <v>121678</v>
      </c>
      <c r="H24" s="93">
        <v>131132</v>
      </c>
      <c r="I24" s="93">
        <v>136942</v>
      </c>
      <c r="J24" s="93">
        <v>127960</v>
      </c>
      <c r="K24" s="93">
        <v>150209</v>
      </c>
      <c r="L24" s="93">
        <v>136915</v>
      </c>
      <c r="M24" s="808">
        <v>129387</v>
      </c>
      <c r="N24" s="808">
        <v>95020</v>
      </c>
      <c r="O24" s="808">
        <v>85162</v>
      </c>
      <c r="P24" s="808">
        <v>82871</v>
      </c>
      <c r="Q24" s="808">
        <v>79754</v>
      </c>
      <c r="R24" s="808">
        <v>78570</v>
      </c>
      <c r="S24" s="808">
        <v>78681</v>
      </c>
      <c r="T24" s="808">
        <v>78476</v>
      </c>
    </row>
    <row r="25" spans="1:20" ht="13.25" customHeight="1">
      <c r="A25" s="83"/>
      <c r="B25" s="23" t="s">
        <v>41</v>
      </c>
      <c r="C25" s="222">
        <v>51610</v>
      </c>
      <c r="D25" s="222">
        <v>57945</v>
      </c>
      <c r="E25" s="93">
        <v>58370</v>
      </c>
      <c r="F25" s="93">
        <v>66971</v>
      </c>
      <c r="G25" s="93">
        <v>65430</v>
      </c>
      <c r="H25" s="93">
        <v>63065</v>
      </c>
      <c r="I25" s="93">
        <v>61554</v>
      </c>
      <c r="J25" s="93">
        <v>63014</v>
      </c>
      <c r="K25" s="93">
        <v>67160</v>
      </c>
      <c r="L25" s="93">
        <v>67839</v>
      </c>
      <c r="M25" s="808">
        <v>69980</v>
      </c>
      <c r="N25" s="808">
        <v>73479</v>
      </c>
      <c r="O25" s="808">
        <v>72980</v>
      </c>
      <c r="P25" s="808">
        <v>72241</v>
      </c>
      <c r="Q25" s="808">
        <v>72610.5</v>
      </c>
      <c r="R25" s="808">
        <v>72240</v>
      </c>
      <c r="S25" s="808">
        <v>72280</v>
      </c>
      <c r="T25" s="808">
        <v>72260</v>
      </c>
    </row>
    <row r="26" spans="1:20" ht="13.25" customHeight="1">
      <c r="A26" s="83"/>
      <c r="B26" s="23" t="s">
        <v>44</v>
      </c>
      <c r="C26" s="222">
        <v>233219</v>
      </c>
      <c r="D26" s="222">
        <v>235396</v>
      </c>
      <c r="E26" s="93">
        <v>237789</v>
      </c>
      <c r="F26" s="93">
        <v>209672</v>
      </c>
      <c r="G26" s="93">
        <v>201287</v>
      </c>
      <c r="H26" s="93">
        <v>201473</v>
      </c>
      <c r="I26" s="93">
        <v>184421</v>
      </c>
      <c r="J26" s="93">
        <v>179650</v>
      </c>
      <c r="K26" s="93">
        <v>161609</v>
      </c>
      <c r="L26" s="93">
        <v>158708</v>
      </c>
      <c r="M26" s="808">
        <v>152251</v>
      </c>
      <c r="N26" s="808">
        <v>139859</v>
      </c>
      <c r="O26" s="808">
        <v>142064</v>
      </c>
      <c r="P26" s="808">
        <v>150238</v>
      </c>
      <c r="Q26" s="808">
        <v>150801</v>
      </c>
      <c r="R26" s="808">
        <v>148034</v>
      </c>
      <c r="S26" s="808">
        <v>144965</v>
      </c>
      <c r="T26" s="808">
        <v>139394</v>
      </c>
    </row>
    <row r="27" spans="1:20" ht="13.25" customHeight="1">
      <c r="A27" s="83"/>
      <c r="B27" s="23" t="s">
        <v>45</v>
      </c>
      <c r="C27" s="222">
        <v>436910</v>
      </c>
      <c r="D27" s="222">
        <v>433880</v>
      </c>
      <c r="E27" s="93">
        <v>437090</v>
      </c>
      <c r="F27" s="93">
        <v>445610</v>
      </c>
      <c r="G27" s="93">
        <v>449260</v>
      </c>
      <c r="H27" s="93">
        <v>452370</v>
      </c>
      <c r="I27" s="93">
        <v>447290</v>
      </c>
      <c r="J27" s="93">
        <v>405300</v>
      </c>
      <c r="K27" s="93">
        <v>435120</v>
      </c>
      <c r="L27" s="93">
        <v>423780</v>
      </c>
      <c r="M27" s="808">
        <v>423850</v>
      </c>
      <c r="N27" s="808">
        <v>394780</v>
      </c>
      <c r="O27" s="808">
        <v>394830</v>
      </c>
      <c r="P27" s="808">
        <v>370270</v>
      </c>
      <c r="Q27" s="808">
        <v>369690</v>
      </c>
      <c r="R27" s="808">
        <v>369725</v>
      </c>
      <c r="S27" s="808">
        <v>359415</v>
      </c>
      <c r="T27" s="808">
        <v>356625</v>
      </c>
    </row>
    <row r="28" spans="1:20" ht="13.25" customHeight="1">
      <c r="A28" s="83"/>
      <c r="B28" s="82" t="s">
        <v>46</v>
      </c>
      <c r="C28" s="222">
        <v>0</v>
      </c>
      <c r="D28" s="222">
        <v>0</v>
      </c>
      <c r="E28" s="950" t="s">
        <v>239</v>
      </c>
      <c r="F28" s="950" t="s">
        <v>239</v>
      </c>
      <c r="G28" s="950" t="s">
        <v>239</v>
      </c>
      <c r="H28" s="950" t="s">
        <v>239</v>
      </c>
      <c r="I28" s="950" t="s">
        <v>239</v>
      </c>
      <c r="J28" s="950" t="s">
        <v>239</v>
      </c>
      <c r="K28" s="950" t="s">
        <v>239</v>
      </c>
      <c r="L28" s="950" t="s">
        <v>239</v>
      </c>
      <c r="M28" s="950" t="s">
        <v>239</v>
      </c>
      <c r="N28" s="950" t="s">
        <v>239</v>
      </c>
      <c r="O28" s="950" t="s">
        <v>239</v>
      </c>
      <c r="P28" s="950" t="s">
        <v>239</v>
      </c>
      <c r="Q28" s="950" t="s">
        <v>239</v>
      </c>
      <c r="R28" s="950" t="s">
        <v>239</v>
      </c>
      <c r="S28" s="950" t="s">
        <v>239</v>
      </c>
      <c r="T28" s="950" t="s">
        <v>239</v>
      </c>
    </row>
    <row r="29" spans="1:20" ht="13.25" customHeight="1">
      <c r="A29" s="83"/>
      <c r="B29" s="23" t="s">
        <v>47</v>
      </c>
      <c r="C29" s="222">
        <v>0</v>
      </c>
      <c r="D29" s="222">
        <v>0</v>
      </c>
      <c r="E29" s="950" t="s">
        <v>239</v>
      </c>
      <c r="F29" s="950" t="s">
        <v>239</v>
      </c>
      <c r="G29" s="950" t="s">
        <v>239</v>
      </c>
      <c r="H29" s="950" t="s">
        <v>239</v>
      </c>
      <c r="I29" s="950" t="s">
        <v>239</v>
      </c>
      <c r="J29" s="950" t="s">
        <v>239</v>
      </c>
      <c r="K29" s="950" t="s">
        <v>239</v>
      </c>
      <c r="L29" s="950" t="s">
        <v>239</v>
      </c>
      <c r="M29" s="950" t="s">
        <v>239</v>
      </c>
      <c r="N29" s="950" t="s">
        <v>239</v>
      </c>
      <c r="O29" s="950" t="s">
        <v>239</v>
      </c>
      <c r="P29" s="950" t="s">
        <v>239</v>
      </c>
      <c r="Q29" s="950" t="s">
        <v>239</v>
      </c>
      <c r="R29" s="950" t="s">
        <v>239</v>
      </c>
      <c r="S29" s="950" t="s">
        <v>239</v>
      </c>
      <c r="T29" s="950" t="s">
        <v>239</v>
      </c>
    </row>
    <row r="30" spans="1:20" ht="13.25" customHeight="1">
      <c r="A30" s="83"/>
      <c r="B30" s="23" t="s">
        <v>48</v>
      </c>
      <c r="C30" s="222">
        <v>0</v>
      </c>
      <c r="D30" s="222">
        <v>0</v>
      </c>
      <c r="E30" s="950" t="s">
        <v>239</v>
      </c>
      <c r="F30" s="950" t="s">
        <v>239</v>
      </c>
      <c r="G30" s="950" t="s">
        <v>239</v>
      </c>
      <c r="H30" s="950" t="s">
        <v>239</v>
      </c>
      <c r="I30" s="950" t="s">
        <v>239</v>
      </c>
      <c r="J30" s="950" t="s">
        <v>239</v>
      </c>
      <c r="K30" s="950" t="s">
        <v>239</v>
      </c>
      <c r="L30" s="950" t="s">
        <v>239</v>
      </c>
      <c r="M30" s="950" t="s">
        <v>239</v>
      </c>
      <c r="N30" s="950" t="s">
        <v>239</v>
      </c>
      <c r="O30" s="950" t="s">
        <v>239</v>
      </c>
      <c r="P30" s="950" t="s">
        <v>239</v>
      </c>
      <c r="Q30" s="950" t="s">
        <v>239</v>
      </c>
      <c r="R30" s="950" t="s">
        <v>239</v>
      </c>
      <c r="S30" s="950" t="s">
        <v>239</v>
      </c>
      <c r="T30" s="950" t="s">
        <v>239</v>
      </c>
    </row>
    <row r="31" spans="1:20" ht="13.25" customHeight="1" thickBot="1">
      <c r="A31" s="88"/>
      <c r="B31" s="577" t="s">
        <v>49</v>
      </c>
      <c r="C31" s="581">
        <v>0</v>
      </c>
      <c r="D31" s="581">
        <v>0</v>
      </c>
      <c r="E31" s="951" t="s">
        <v>239</v>
      </c>
      <c r="F31" s="951" t="s">
        <v>239</v>
      </c>
      <c r="G31" s="951" t="s">
        <v>239</v>
      </c>
      <c r="H31" s="951" t="s">
        <v>239</v>
      </c>
      <c r="I31" s="951" t="s">
        <v>239</v>
      </c>
      <c r="J31" s="951" t="s">
        <v>239</v>
      </c>
      <c r="K31" s="951" t="s">
        <v>239</v>
      </c>
      <c r="L31" s="951" t="s">
        <v>239</v>
      </c>
      <c r="M31" s="951" t="s">
        <v>239</v>
      </c>
      <c r="N31" s="951" t="s">
        <v>239</v>
      </c>
      <c r="O31" s="951" t="s">
        <v>239</v>
      </c>
      <c r="P31" s="951" t="s">
        <v>239</v>
      </c>
      <c r="Q31" s="951" t="s">
        <v>239</v>
      </c>
      <c r="R31" s="951" t="s">
        <v>239</v>
      </c>
      <c r="S31" s="951" t="s">
        <v>239</v>
      </c>
      <c r="T31" s="951" t="s">
        <v>239</v>
      </c>
    </row>
    <row r="32" spans="1:20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  <c r="R35" s="84"/>
      <c r="S35" s="84"/>
      <c r="T35" s="84"/>
    </row>
    <row r="36" spans="1:20" ht="13.25" customHeight="1">
      <c r="R36" s="84"/>
      <c r="S36" s="84"/>
      <c r="T36" s="84"/>
    </row>
    <row r="37" spans="1:20" ht="13.25" customHeight="1">
      <c r="T37" s="84"/>
    </row>
    <row r="38" spans="1:20" ht="13.25" customHeight="1">
      <c r="T38" s="84"/>
    </row>
    <row r="39" spans="1:20" ht="13.25" customHeight="1">
      <c r="T39" s="84"/>
    </row>
    <row r="40" spans="1:20" ht="13.25" customHeight="1">
      <c r="T40" s="84"/>
    </row>
    <row r="41" spans="1:20" ht="13.25" customHeight="1">
      <c r="T41" s="84"/>
    </row>
    <row r="42" spans="1:20" ht="13.25" customHeight="1">
      <c r="T42" s="84"/>
    </row>
    <row r="43" spans="1:20" ht="13.25" customHeight="1">
      <c r="T43" s="84"/>
    </row>
    <row r="44" spans="1:20" ht="13.25" customHeight="1">
      <c r="T44" s="84"/>
    </row>
    <row r="45" spans="1:20" ht="13.25" customHeight="1">
      <c r="T45" s="84"/>
    </row>
    <row r="46" spans="1:20" ht="13.25" customHeight="1">
      <c r="T46" s="84"/>
    </row>
    <row r="47" spans="1:20" ht="13.25" customHeight="1">
      <c r="T47" s="84"/>
    </row>
    <row r="48" spans="1:20" ht="13.25" customHeight="1">
      <c r="T48" s="84"/>
    </row>
    <row r="49" spans="20:20" ht="13.25" customHeight="1">
      <c r="T49" s="84"/>
    </row>
    <row r="50" spans="20:20" ht="13.25" customHeight="1">
      <c r="T50" s="84"/>
    </row>
    <row r="51" spans="20:20" ht="13.25" customHeight="1">
      <c r="T51" s="84"/>
    </row>
    <row r="52" spans="20:20" ht="13.25" customHeight="1">
      <c r="T52" s="84"/>
    </row>
    <row r="53" spans="20:20" ht="13.25" customHeight="1">
      <c r="T53" s="84"/>
    </row>
    <row r="54" spans="20:20" ht="13.25" customHeight="1">
      <c r="T54" s="84"/>
    </row>
    <row r="55" spans="20:20" ht="13.25" customHeight="1">
      <c r="T55" s="84"/>
    </row>
    <row r="56" spans="20:20" ht="13.25" customHeight="1">
      <c r="T56" s="84"/>
    </row>
    <row r="57" spans="20:20" ht="13.25" customHeight="1">
      <c r="T57" s="84"/>
    </row>
    <row r="58" spans="20:20" ht="13.25" customHeight="1">
      <c r="T58" s="84"/>
    </row>
    <row r="59" spans="20:20" ht="13.25" customHeight="1">
      <c r="T59" s="84"/>
    </row>
    <row r="60" spans="20:20" ht="13.25" customHeight="1">
      <c r="T60" s="84"/>
    </row>
    <row r="61" spans="20:20" ht="13.25" customHeight="1">
      <c r="T61" s="84"/>
    </row>
    <row r="62" spans="20:20" ht="13.25" customHeight="1">
      <c r="T62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5">
    <tabColor theme="9" tint="0.59999389629810485"/>
  </sheetPr>
  <dimension ref="A2:V36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7" width="8.19921875" style="82" customWidth="1"/>
    <col min="28" max="16384" width="7" style="82"/>
  </cols>
  <sheetData>
    <row r="2" spans="1:22" ht="13.25" customHeight="1">
      <c r="A2" s="230" t="s">
        <v>517</v>
      </c>
      <c r="B2" s="231"/>
    </row>
    <row r="3" spans="1:22" ht="13.25" customHeight="1">
      <c r="A3" s="232" t="s">
        <v>238</v>
      </c>
      <c r="B3" s="232"/>
    </row>
    <row r="4" spans="1:22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2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2" ht="15" customHeight="1">
      <c r="A6" s="963" t="s">
        <v>96</v>
      </c>
      <c r="B6" s="963"/>
      <c r="C6" s="573">
        <f>(C8+C9+C10+C11+C12+C13+C14+C15+C16+C17+C18+C19+C20+C21+C22+C23+C24+C25+C26+C27+C28+C29+C30+C31)</f>
        <v>112106</v>
      </c>
      <c r="D6" s="573">
        <f>(D8+D9+D10+D11+D12+D13+D14+D15+D16+D17+D18+D19+D20+D21+D22+D23+D24+D25+D26+D27+D28+D29+D30+D31)</f>
        <v>113801</v>
      </c>
      <c r="E6" s="574">
        <v>118399</v>
      </c>
      <c r="F6" s="574">
        <v>119237</v>
      </c>
      <c r="G6" s="574">
        <v>127316</v>
      </c>
      <c r="H6" s="574">
        <v>123384</v>
      </c>
      <c r="I6" s="574">
        <v>128346</v>
      </c>
      <c r="J6" s="574">
        <v>130530</v>
      </c>
      <c r="K6" s="574">
        <v>125729</v>
      </c>
      <c r="L6" s="574">
        <v>123360</v>
      </c>
      <c r="M6" s="574">
        <v>119806</v>
      </c>
      <c r="N6" s="574">
        <v>119195</v>
      </c>
      <c r="O6" s="574">
        <v>120748</v>
      </c>
      <c r="P6" s="574">
        <v>119726</v>
      </c>
      <c r="Q6" s="574">
        <f>SUM(Q8:Q31)</f>
        <v>115794.0344341668</v>
      </c>
      <c r="R6" s="574">
        <f>SUM(R8:R31)</f>
        <v>113685.48</v>
      </c>
      <c r="S6" s="574">
        <f>SUM(S8:S31)</f>
        <v>117682.3</v>
      </c>
      <c r="T6" s="574">
        <f>SUM(T8:T31)</f>
        <v>118241.3</v>
      </c>
    </row>
    <row r="7" spans="1:22" ht="3" customHeight="1">
      <c r="A7" s="83"/>
      <c r="B7" s="84"/>
      <c r="C7" s="233"/>
      <c r="D7" s="23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2" ht="13.25" customHeight="1">
      <c r="A8" s="83"/>
      <c r="B8" s="23" t="s">
        <v>21</v>
      </c>
      <c r="C8" s="239">
        <v>0</v>
      </c>
      <c r="D8" s="239">
        <v>0</v>
      </c>
      <c r="E8" s="224" t="s">
        <v>239</v>
      </c>
      <c r="F8" s="224" t="s">
        <v>239</v>
      </c>
      <c r="G8" s="224" t="s">
        <v>239</v>
      </c>
      <c r="H8" s="224" t="s">
        <v>239</v>
      </c>
      <c r="I8" s="224" t="s">
        <v>239</v>
      </c>
      <c r="J8" s="224" t="s">
        <v>239</v>
      </c>
      <c r="K8" s="224" t="s">
        <v>239</v>
      </c>
      <c r="L8" s="224" t="s">
        <v>239</v>
      </c>
      <c r="M8" s="224" t="s">
        <v>239</v>
      </c>
      <c r="N8" s="224" t="s">
        <v>239</v>
      </c>
      <c r="O8" s="224" t="s">
        <v>239</v>
      </c>
      <c r="P8" s="224" t="s">
        <v>239</v>
      </c>
      <c r="Q8" s="224">
        <v>4</v>
      </c>
      <c r="R8" s="224"/>
      <c r="S8" s="224"/>
      <c r="T8" s="224"/>
    </row>
    <row r="9" spans="1:22" ht="13.25" customHeight="1">
      <c r="A9" s="83"/>
      <c r="B9" s="23" t="s">
        <v>22</v>
      </c>
      <c r="C9" s="239">
        <v>0</v>
      </c>
      <c r="D9" s="239">
        <v>0</v>
      </c>
      <c r="E9" s="224" t="s">
        <v>239</v>
      </c>
      <c r="F9" s="224" t="s">
        <v>239</v>
      </c>
      <c r="G9" s="224" t="s">
        <v>239</v>
      </c>
      <c r="H9" s="224" t="s">
        <v>239</v>
      </c>
      <c r="I9" s="224" t="s">
        <v>239</v>
      </c>
      <c r="J9" s="224" t="s">
        <v>239</v>
      </c>
      <c r="K9" s="224" t="s">
        <v>239</v>
      </c>
      <c r="L9" s="224" t="s">
        <v>239</v>
      </c>
      <c r="M9" s="224" t="s">
        <v>239</v>
      </c>
      <c r="N9" s="224" t="s">
        <v>239</v>
      </c>
      <c r="O9" s="224" t="s">
        <v>239</v>
      </c>
      <c r="P9" s="224" t="s">
        <v>239</v>
      </c>
      <c r="Q9" s="224"/>
      <c r="R9" s="224"/>
      <c r="S9" s="224"/>
      <c r="T9" s="224"/>
      <c r="V9" s="90"/>
    </row>
    <row r="10" spans="1:22" ht="13.25" customHeight="1">
      <c r="A10" s="83"/>
      <c r="B10" s="23" t="s">
        <v>23</v>
      </c>
      <c r="C10" s="239">
        <v>0</v>
      </c>
      <c r="D10" s="239">
        <v>0</v>
      </c>
      <c r="E10" s="224" t="s">
        <v>239</v>
      </c>
      <c r="F10" s="224" t="s">
        <v>239</v>
      </c>
      <c r="G10" s="224" t="s">
        <v>239</v>
      </c>
      <c r="H10" s="224" t="s">
        <v>239</v>
      </c>
      <c r="I10" s="224" t="s">
        <v>239</v>
      </c>
      <c r="J10" s="224" t="s">
        <v>239</v>
      </c>
      <c r="K10" s="224" t="s">
        <v>239</v>
      </c>
      <c r="L10" s="224" t="s">
        <v>239</v>
      </c>
      <c r="M10" s="224" t="s">
        <v>239</v>
      </c>
      <c r="N10" s="224" t="s">
        <v>239</v>
      </c>
      <c r="O10" s="224" t="s">
        <v>239</v>
      </c>
      <c r="P10" s="224" t="s">
        <v>239</v>
      </c>
      <c r="Q10" s="224"/>
      <c r="R10" s="224"/>
      <c r="S10" s="224"/>
      <c r="T10" s="224"/>
      <c r="V10" s="90"/>
    </row>
    <row r="11" spans="1:22" ht="13.25" customHeight="1">
      <c r="A11" s="83"/>
      <c r="B11" s="23" t="s">
        <v>24</v>
      </c>
      <c r="C11" s="239">
        <v>0</v>
      </c>
      <c r="D11" s="239">
        <v>0</v>
      </c>
      <c r="E11" s="224" t="s">
        <v>239</v>
      </c>
      <c r="F11" s="224" t="s">
        <v>239</v>
      </c>
      <c r="G11" s="224" t="s">
        <v>239</v>
      </c>
      <c r="H11" s="224" t="s">
        <v>239</v>
      </c>
      <c r="I11" s="224" t="s">
        <v>239</v>
      </c>
      <c r="J11" s="224" t="s">
        <v>239</v>
      </c>
      <c r="K11" s="224" t="s">
        <v>239</v>
      </c>
      <c r="L11" s="224" t="s">
        <v>239</v>
      </c>
      <c r="M11" s="224" t="s">
        <v>239</v>
      </c>
      <c r="N11" s="224" t="s">
        <v>239</v>
      </c>
      <c r="O11" s="224" t="s">
        <v>239</v>
      </c>
      <c r="P11" s="224" t="s">
        <v>239</v>
      </c>
      <c r="Q11" s="224"/>
      <c r="R11" s="224"/>
      <c r="S11" s="224"/>
      <c r="T11" s="224"/>
      <c r="V11" s="90"/>
    </row>
    <row r="12" spans="1:22" ht="13.25" customHeight="1">
      <c r="A12" s="83"/>
      <c r="B12" s="23" t="s">
        <v>25</v>
      </c>
      <c r="C12" s="239">
        <v>0</v>
      </c>
      <c r="D12" s="239">
        <v>0</v>
      </c>
      <c r="E12" s="224" t="s">
        <v>239</v>
      </c>
      <c r="F12" s="224" t="s">
        <v>239</v>
      </c>
      <c r="G12" s="224" t="s">
        <v>239</v>
      </c>
      <c r="H12" s="224" t="s">
        <v>239</v>
      </c>
      <c r="I12" s="224" t="s">
        <v>239</v>
      </c>
      <c r="J12" s="224" t="s">
        <v>239</v>
      </c>
      <c r="K12" s="224" t="s">
        <v>239</v>
      </c>
      <c r="L12" s="224" t="s">
        <v>239</v>
      </c>
      <c r="M12" s="224" t="s">
        <v>239</v>
      </c>
      <c r="N12" s="224" t="s">
        <v>239</v>
      </c>
      <c r="O12" s="224" t="s">
        <v>239</v>
      </c>
      <c r="P12" s="224" t="s">
        <v>239</v>
      </c>
      <c r="Q12" s="224"/>
      <c r="R12" s="224"/>
      <c r="S12" s="224"/>
      <c r="T12" s="224"/>
      <c r="V12" s="90"/>
    </row>
    <row r="13" spans="1:22" ht="13.25" customHeight="1">
      <c r="A13" s="83"/>
      <c r="B13" s="23" t="s">
        <v>29</v>
      </c>
      <c r="C13" s="239">
        <v>0</v>
      </c>
      <c r="D13" s="239">
        <v>0</v>
      </c>
      <c r="E13" s="224" t="s">
        <v>239</v>
      </c>
      <c r="F13" s="224" t="s">
        <v>239</v>
      </c>
      <c r="G13" s="224" t="s">
        <v>239</v>
      </c>
      <c r="H13" s="224" t="s">
        <v>239</v>
      </c>
      <c r="I13" s="224" t="s">
        <v>239</v>
      </c>
      <c r="J13" s="224" t="s">
        <v>239</v>
      </c>
      <c r="K13" s="224" t="s">
        <v>239</v>
      </c>
      <c r="L13" s="224" t="s">
        <v>239</v>
      </c>
      <c r="M13" s="224" t="s">
        <v>239</v>
      </c>
      <c r="N13" s="224" t="s">
        <v>239</v>
      </c>
      <c r="O13" s="224" t="s">
        <v>239</v>
      </c>
      <c r="P13" s="224" t="s">
        <v>239</v>
      </c>
      <c r="Q13" s="224"/>
      <c r="R13" s="224"/>
      <c r="S13" s="224"/>
      <c r="T13" s="224"/>
      <c r="V13" s="90"/>
    </row>
    <row r="14" spans="1:22" ht="13.25" customHeight="1">
      <c r="A14" s="83"/>
      <c r="B14" s="23" t="s">
        <v>30</v>
      </c>
      <c r="C14" s="239">
        <v>0</v>
      </c>
      <c r="D14" s="239">
        <v>0</v>
      </c>
      <c r="E14" s="224" t="s">
        <v>239</v>
      </c>
      <c r="F14" s="224" t="s">
        <v>239</v>
      </c>
      <c r="G14" s="224" t="s">
        <v>239</v>
      </c>
      <c r="H14" s="224" t="s">
        <v>239</v>
      </c>
      <c r="I14" s="224" t="s">
        <v>239</v>
      </c>
      <c r="J14" s="224" t="s">
        <v>239</v>
      </c>
      <c r="K14" s="224" t="s">
        <v>239</v>
      </c>
      <c r="L14" s="224" t="s">
        <v>239</v>
      </c>
      <c r="M14" s="224" t="s">
        <v>239</v>
      </c>
      <c r="N14" s="224" t="s">
        <v>239</v>
      </c>
      <c r="O14" s="224" t="s">
        <v>239</v>
      </c>
      <c r="P14" s="224" t="s">
        <v>239</v>
      </c>
      <c r="Q14" s="224"/>
      <c r="R14" s="224"/>
      <c r="S14" s="224"/>
      <c r="T14" s="224"/>
      <c r="V14" s="90"/>
    </row>
    <row r="15" spans="1:22" ht="13.25" customHeight="1">
      <c r="A15" s="83"/>
      <c r="B15" s="23" t="s">
        <v>31</v>
      </c>
      <c r="C15" s="239">
        <v>2867</v>
      </c>
      <c r="D15" s="239">
        <v>2944</v>
      </c>
      <c r="E15" s="224">
        <v>2849</v>
      </c>
      <c r="F15" s="224">
        <v>2439</v>
      </c>
      <c r="G15" s="224">
        <v>2693</v>
      </c>
      <c r="H15" s="224">
        <v>2398</v>
      </c>
      <c r="I15" s="224">
        <v>2046</v>
      </c>
      <c r="J15" s="224">
        <v>2270</v>
      </c>
      <c r="K15" s="224">
        <v>1703</v>
      </c>
      <c r="L15" s="224">
        <v>1724</v>
      </c>
      <c r="M15" s="224">
        <v>1627</v>
      </c>
      <c r="N15" s="224">
        <v>1675</v>
      </c>
      <c r="O15" s="224">
        <v>1597</v>
      </c>
      <c r="P15" s="224">
        <v>2354</v>
      </c>
      <c r="Q15" s="224">
        <v>2030</v>
      </c>
      <c r="R15" s="224">
        <v>2296</v>
      </c>
      <c r="S15" s="224">
        <v>2126</v>
      </c>
      <c r="T15" s="224">
        <v>1963</v>
      </c>
      <c r="V15" s="90"/>
    </row>
    <row r="16" spans="1:22" ht="13.25" customHeight="1">
      <c r="A16" s="83"/>
      <c r="B16" s="23" t="s">
        <v>32</v>
      </c>
      <c r="C16" s="239">
        <v>0</v>
      </c>
      <c r="D16" s="239">
        <v>0</v>
      </c>
      <c r="E16" s="224" t="s">
        <v>239</v>
      </c>
      <c r="F16" s="224" t="s">
        <v>239</v>
      </c>
      <c r="G16" s="224" t="s">
        <v>239</v>
      </c>
      <c r="H16" s="224" t="s">
        <v>239</v>
      </c>
      <c r="I16" s="224" t="s">
        <v>239</v>
      </c>
      <c r="J16" s="224" t="s">
        <v>239</v>
      </c>
      <c r="K16" s="224" t="s">
        <v>239</v>
      </c>
      <c r="L16" s="224" t="s">
        <v>239</v>
      </c>
      <c r="M16" s="224" t="s">
        <v>239</v>
      </c>
      <c r="N16" s="224" t="s">
        <v>239</v>
      </c>
      <c r="O16" s="224" t="s">
        <v>239</v>
      </c>
      <c r="P16" s="224" t="s">
        <v>239</v>
      </c>
      <c r="Q16" s="224" t="s">
        <v>239</v>
      </c>
      <c r="R16" s="224" t="s">
        <v>239</v>
      </c>
      <c r="S16" s="224" t="s">
        <v>239</v>
      </c>
      <c r="T16" s="224" t="s">
        <v>239</v>
      </c>
      <c r="V16" s="90"/>
    </row>
    <row r="17" spans="1:22" ht="13.25" customHeight="1">
      <c r="A17" s="83"/>
      <c r="B17" s="23" t="s">
        <v>33</v>
      </c>
      <c r="C17" s="239">
        <v>0</v>
      </c>
      <c r="D17" s="239">
        <v>0</v>
      </c>
      <c r="E17" s="224" t="s">
        <v>239</v>
      </c>
      <c r="F17" s="224" t="s">
        <v>239</v>
      </c>
      <c r="G17" s="224" t="s">
        <v>239</v>
      </c>
      <c r="H17" s="224" t="s">
        <v>239</v>
      </c>
      <c r="I17" s="224" t="s">
        <v>239</v>
      </c>
      <c r="J17" s="224" t="s">
        <v>239</v>
      </c>
      <c r="K17" s="224">
        <v>351</v>
      </c>
      <c r="L17" s="224">
        <v>310</v>
      </c>
      <c r="M17" s="224">
        <v>112</v>
      </c>
      <c r="N17" s="224">
        <v>26</v>
      </c>
      <c r="O17" s="224">
        <v>45</v>
      </c>
      <c r="P17" s="224" t="s">
        <v>239</v>
      </c>
      <c r="Q17" s="224" t="s">
        <v>239</v>
      </c>
      <c r="R17" s="224" t="s">
        <v>239</v>
      </c>
      <c r="S17" s="224" t="s">
        <v>239</v>
      </c>
      <c r="T17" s="224" t="s">
        <v>239</v>
      </c>
      <c r="V17" s="90"/>
    </row>
    <row r="18" spans="1:22" ht="13.25" customHeight="1">
      <c r="A18" s="83"/>
      <c r="B18" s="23" t="s">
        <v>34</v>
      </c>
      <c r="C18" s="239">
        <v>1843</v>
      </c>
      <c r="D18" s="239">
        <v>3268</v>
      </c>
      <c r="E18" s="224">
        <v>3527</v>
      </c>
      <c r="F18" s="224">
        <v>3142</v>
      </c>
      <c r="G18" s="224">
        <v>3243</v>
      </c>
      <c r="H18" s="224">
        <v>3189</v>
      </c>
      <c r="I18" s="224">
        <v>3300</v>
      </c>
      <c r="J18" s="224">
        <v>3605</v>
      </c>
      <c r="K18" s="224">
        <v>3577</v>
      </c>
      <c r="L18" s="224">
        <v>3224</v>
      </c>
      <c r="M18" s="224">
        <v>3860</v>
      </c>
      <c r="N18" s="224">
        <v>3759</v>
      </c>
      <c r="O18" s="224">
        <v>3896</v>
      </c>
      <c r="P18" s="224">
        <v>4117</v>
      </c>
      <c r="Q18" s="224">
        <v>3832</v>
      </c>
      <c r="R18" s="224">
        <v>3856</v>
      </c>
      <c r="S18" s="224">
        <v>4122</v>
      </c>
      <c r="T18" s="224">
        <v>4193</v>
      </c>
      <c r="V18" s="90"/>
    </row>
    <row r="19" spans="1:22" ht="13.25" customHeight="1">
      <c r="A19" s="83"/>
      <c r="B19" s="23" t="s">
        <v>35</v>
      </c>
      <c r="C19" s="239">
        <v>2900</v>
      </c>
      <c r="D19" s="239">
        <v>2940</v>
      </c>
      <c r="E19" s="224">
        <v>3097</v>
      </c>
      <c r="F19" s="224">
        <v>2769</v>
      </c>
      <c r="G19" s="224">
        <v>3470</v>
      </c>
      <c r="H19" s="224">
        <v>3896</v>
      </c>
      <c r="I19" s="224">
        <v>5687</v>
      </c>
      <c r="J19" s="224">
        <v>6316</v>
      </c>
      <c r="K19" s="224">
        <v>6675</v>
      </c>
      <c r="L19" s="224">
        <v>6957</v>
      </c>
      <c r="M19" s="224">
        <v>7433</v>
      </c>
      <c r="N19" s="224">
        <v>8230</v>
      </c>
      <c r="O19" s="224">
        <v>9563</v>
      </c>
      <c r="P19" s="224">
        <v>11275</v>
      </c>
      <c r="Q19" s="224">
        <v>8636.0344341667878</v>
      </c>
      <c r="R19" s="224">
        <v>7247</v>
      </c>
      <c r="S19" s="224">
        <v>8361</v>
      </c>
      <c r="T19" s="224">
        <v>8850</v>
      </c>
      <c r="V19" s="90"/>
    </row>
    <row r="20" spans="1:22" ht="13.25" customHeight="1">
      <c r="A20" s="83"/>
      <c r="B20" s="23" t="s">
        <v>36</v>
      </c>
      <c r="C20" s="239">
        <v>11379</v>
      </c>
      <c r="D20" s="239">
        <v>10991</v>
      </c>
      <c r="E20" s="224">
        <v>10579</v>
      </c>
      <c r="F20" s="224">
        <v>10568</v>
      </c>
      <c r="G20" s="224">
        <v>11106</v>
      </c>
      <c r="H20" s="224">
        <v>10706</v>
      </c>
      <c r="I20" s="224">
        <v>10873</v>
      </c>
      <c r="J20" s="224">
        <v>12370</v>
      </c>
      <c r="K20" s="224">
        <v>12347</v>
      </c>
      <c r="L20" s="224">
        <v>12785</v>
      </c>
      <c r="M20" s="224">
        <v>13393</v>
      </c>
      <c r="N20" s="224">
        <v>12123</v>
      </c>
      <c r="O20" s="224">
        <v>11023</v>
      </c>
      <c r="P20" s="224">
        <v>9733</v>
      </c>
      <c r="Q20" s="224">
        <v>7899</v>
      </c>
      <c r="R20" s="224">
        <v>7612.86</v>
      </c>
      <c r="S20" s="224">
        <v>8199.2999999999993</v>
      </c>
      <c r="T20" s="224">
        <v>8444</v>
      </c>
      <c r="V20" s="90"/>
    </row>
    <row r="21" spans="1:22" ht="13.25" customHeight="1">
      <c r="A21" s="83"/>
      <c r="B21" s="23" t="s">
        <v>37</v>
      </c>
      <c r="C21" s="239">
        <v>14649</v>
      </c>
      <c r="D21" s="239">
        <v>14501</v>
      </c>
      <c r="E21" s="224">
        <v>14873</v>
      </c>
      <c r="F21" s="224">
        <v>15399</v>
      </c>
      <c r="G21" s="224">
        <v>15610</v>
      </c>
      <c r="H21" s="224">
        <v>10056</v>
      </c>
      <c r="I21" s="224">
        <v>9726</v>
      </c>
      <c r="J21" s="224">
        <v>10478</v>
      </c>
      <c r="K21" s="224">
        <v>11988</v>
      </c>
      <c r="L21" s="224">
        <v>15265</v>
      </c>
      <c r="M21" s="224">
        <v>14037</v>
      </c>
      <c r="N21" s="224">
        <v>10375</v>
      </c>
      <c r="O21" s="224">
        <v>11994</v>
      </c>
      <c r="P21" s="224">
        <v>10331</v>
      </c>
      <c r="Q21" s="224">
        <v>9379</v>
      </c>
      <c r="R21" s="224">
        <v>11033</v>
      </c>
      <c r="S21" s="224">
        <v>12612</v>
      </c>
      <c r="T21" s="224">
        <v>12838</v>
      </c>
      <c r="V21" s="90"/>
    </row>
    <row r="22" spans="1:22" ht="13.25" customHeight="1">
      <c r="A22" s="83"/>
      <c r="B22" s="23" t="s">
        <v>38</v>
      </c>
      <c r="C22" s="239">
        <v>2087</v>
      </c>
      <c r="D22" s="239">
        <v>2060</v>
      </c>
      <c r="E22" s="224">
        <v>2155</v>
      </c>
      <c r="F22" s="224">
        <v>1848</v>
      </c>
      <c r="G22" s="224">
        <v>2566</v>
      </c>
      <c r="H22" s="224">
        <v>2781</v>
      </c>
      <c r="I22" s="224">
        <v>2996</v>
      </c>
      <c r="J22" s="224">
        <v>2649</v>
      </c>
      <c r="K22" s="224">
        <v>2841</v>
      </c>
      <c r="L22" s="224">
        <v>2216</v>
      </c>
      <c r="M22" s="224">
        <v>2209</v>
      </c>
      <c r="N22" s="224">
        <v>2586</v>
      </c>
      <c r="O22" s="224">
        <v>1788</v>
      </c>
      <c r="P22" s="224">
        <v>1454</v>
      </c>
      <c r="Q22" s="224">
        <v>1353</v>
      </c>
      <c r="R22" s="224">
        <v>1304</v>
      </c>
      <c r="S22" s="224">
        <v>1665</v>
      </c>
      <c r="T22" s="224">
        <v>1689</v>
      </c>
      <c r="V22" s="90"/>
    </row>
    <row r="23" spans="1:22" ht="13.25" customHeight="1">
      <c r="A23" s="83"/>
      <c r="B23" s="23" t="s">
        <v>39</v>
      </c>
      <c r="C23" s="239">
        <v>4239</v>
      </c>
      <c r="D23" s="239">
        <v>4243</v>
      </c>
      <c r="E23" s="224">
        <v>3798</v>
      </c>
      <c r="F23" s="224">
        <v>3552</v>
      </c>
      <c r="G23" s="224">
        <v>3191</v>
      </c>
      <c r="H23" s="224">
        <v>3491</v>
      </c>
      <c r="I23" s="224">
        <v>3582</v>
      </c>
      <c r="J23" s="224">
        <v>3658</v>
      </c>
      <c r="K23" s="224">
        <v>3872</v>
      </c>
      <c r="L23" s="224">
        <v>4238</v>
      </c>
      <c r="M23" s="224">
        <v>4103</v>
      </c>
      <c r="N23" s="224">
        <v>4326</v>
      </c>
      <c r="O23" s="224">
        <v>4418</v>
      </c>
      <c r="P23" s="224">
        <v>4469</v>
      </c>
      <c r="Q23" s="224">
        <v>4650</v>
      </c>
      <c r="R23" s="224">
        <v>4656</v>
      </c>
      <c r="S23" s="224">
        <v>4938</v>
      </c>
      <c r="T23" s="224">
        <v>5134</v>
      </c>
      <c r="V23" s="90"/>
    </row>
    <row r="24" spans="1:22" ht="13.25" customHeight="1">
      <c r="A24" s="83"/>
      <c r="B24" s="23" t="s">
        <v>40</v>
      </c>
      <c r="C24" s="239">
        <v>12781</v>
      </c>
      <c r="D24" s="239">
        <v>11464</v>
      </c>
      <c r="E24" s="224">
        <v>13170</v>
      </c>
      <c r="F24" s="224">
        <v>12957</v>
      </c>
      <c r="G24" s="224">
        <v>14449</v>
      </c>
      <c r="H24" s="224">
        <v>14367</v>
      </c>
      <c r="I24" s="224">
        <v>15796</v>
      </c>
      <c r="J24" s="224">
        <v>13982</v>
      </c>
      <c r="K24" s="224">
        <v>13479</v>
      </c>
      <c r="L24" s="224">
        <v>8793</v>
      </c>
      <c r="M24" s="224">
        <v>9682</v>
      </c>
      <c r="N24" s="224">
        <v>8666</v>
      </c>
      <c r="O24" s="224">
        <v>8586</v>
      </c>
      <c r="P24" s="224">
        <v>8081</v>
      </c>
      <c r="Q24" s="224">
        <v>8451</v>
      </c>
      <c r="R24" s="224">
        <v>6966</v>
      </c>
      <c r="S24" s="224">
        <v>5520</v>
      </c>
      <c r="T24" s="224">
        <v>5586</v>
      </c>
      <c r="V24" s="90"/>
    </row>
    <row r="25" spans="1:22" ht="13.25" customHeight="1">
      <c r="A25" s="83"/>
      <c r="B25" s="23" t="s">
        <v>41</v>
      </c>
      <c r="C25" s="239">
        <v>6157</v>
      </c>
      <c r="D25" s="239">
        <v>6926</v>
      </c>
      <c r="E25" s="224">
        <v>7952</v>
      </c>
      <c r="F25" s="224">
        <v>7975</v>
      </c>
      <c r="G25" s="224">
        <v>8696</v>
      </c>
      <c r="H25" s="224">
        <v>9012</v>
      </c>
      <c r="I25" s="224">
        <v>9372</v>
      </c>
      <c r="J25" s="224">
        <v>9382</v>
      </c>
      <c r="K25" s="224">
        <v>9395</v>
      </c>
      <c r="L25" s="224">
        <v>8866</v>
      </c>
      <c r="M25" s="224">
        <v>9039</v>
      </c>
      <c r="N25" s="224">
        <v>9459</v>
      </c>
      <c r="O25" s="224">
        <v>9871</v>
      </c>
      <c r="P25" s="224">
        <v>9623</v>
      </c>
      <c r="Q25" s="224">
        <v>9923</v>
      </c>
      <c r="R25" s="224">
        <v>9437.619999999999</v>
      </c>
      <c r="S25" s="224">
        <v>10267</v>
      </c>
      <c r="T25" s="224">
        <v>10042.299999999999</v>
      </c>
      <c r="V25" s="90"/>
    </row>
    <row r="26" spans="1:22" ht="13.25" customHeight="1">
      <c r="A26" s="83"/>
      <c r="B26" s="23" t="s">
        <v>44</v>
      </c>
      <c r="C26" s="239">
        <v>14894</v>
      </c>
      <c r="D26" s="239">
        <v>14894</v>
      </c>
      <c r="E26" s="224">
        <v>15559</v>
      </c>
      <c r="F26" s="224">
        <v>17113</v>
      </c>
      <c r="G26" s="224">
        <v>19842</v>
      </c>
      <c r="H26" s="224">
        <v>21448</v>
      </c>
      <c r="I26" s="224">
        <v>21154</v>
      </c>
      <c r="J26" s="224">
        <v>22572</v>
      </c>
      <c r="K26" s="224">
        <v>16076</v>
      </c>
      <c r="L26" s="224">
        <v>15807</v>
      </c>
      <c r="M26" s="224">
        <v>17606</v>
      </c>
      <c r="N26" s="224">
        <v>18183</v>
      </c>
      <c r="O26" s="224">
        <v>17966</v>
      </c>
      <c r="P26" s="224">
        <v>18455</v>
      </c>
      <c r="Q26" s="224">
        <v>19710</v>
      </c>
      <c r="R26" s="224">
        <v>19393</v>
      </c>
      <c r="S26" s="224">
        <v>20127</v>
      </c>
      <c r="T26" s="224">
        <v>20037</v>
      </c>
      <c r="V26" s="90"/>
    </row>
    <row r="27" spans="1:22" ht="13.25" customHeight="1">
      <c r="A27" s="83"/>
      <c r="B27" s="23" t="s">
        <v>45</v>
      </c>
      <c r="C27" s="239">
        <v>38310</v>
      </c>
      <c r="D27" s="239">
        <v>39570</v>
      </c>
      <c r="E27" s="224">
        <v>40840</v>
      </c>
      <c r="F27" s="224">
        <v>41475</v>
      </c>
      <c r="G27" s="224">
        <v>42450</v>
      </c>
      <c r="H27" s="224">
        <v>42040</v>
      </c>
      <c r="I27" s="224">
        <v>43814</v>
      </c>
      <c r="J27" s="224">
        <v>43248</v>
      </c>
      <c r="K27" s="224">
        <v>43425</v>
      </c>
      <c r="L27" s="224">
        <v>43175</v>
      </c>
      <c r="M27" s="224">
        <v>36705</v>
      </c>
      <c r="N27" s="224">
        <v>39787</v>
      </c>
      <c r="O27" s="224">
        <v>40001</v>
      </c>
      <c r="P27" s="224">
        <v>39834</v>
      </c>
      <c r="Q27" s="224">
        <v>39927</v>
      </c>
      <c r="R27" s="224">
        <v>39884</v>
      </c>
      <c r="S27" s="224">
        <v>39745</v>
      </c>
      <c r="T27" s="224">
        <v>39465</v>
      </c>
      <c r="V27" s="90"/>
    </row>
    <row r="28" spans="1:22" ht="13.25" customHeight="1">
      <c r="A28" s="83"/>
      <c r="B28" s="82" t="s">
        <v>46</v>
      </c>
      <c r="C28" s="239">
        <v>0</v>
      </c>
      <c r="D28" s="239">
        <v>0</v>
      </c>
      <c r="E28" s="224" t="s">
        <v>239</v>
      </c>
      <c r="F28" s="224" t="s">
        <v>239</v>
      </c>
      <c r="G28" s="224" t="s">
        <v>239</v>
      </c>
      <c r="H28" s="224" t="s">
        <v>239</v>
      </c>
      <c r="I28" s="224" t="s">
        <v>239</v>
      </c>
      <c r="J28" s="224" t="s">
        <v>239</v>
      </c>
      <c r="K28" s="224" t="s">
        <v>239</v>
      </c>
      <c r="L28" s="224" t="s">
        <v>239</v>
      </c>
      <c r="M28" s="224" t="s">
        <v>239</v>
      </c>
      <c r="N28" s="224" t="s">
        <v>239</v>
      </c>
      <c r="O28" s="224" t="s">
        <v>239</v>
      </c>
      <c r="P28" s="224" t="s">
        <v>239</v>
      </c>
      <c r="Q28" s="224" t="s">
        <v>239</v>
      </c>
      <c r="R28" s="224" t="s">
        <v>239</v>
      </c>
      <c r="S28" s="224" t="s">
        <v>239</v>
      </c>
      <c r="T28" s="224" t="s">
        <v>239</v>
      </c>
      <c r="V28" s="90"/>
    </row>
    <row r="29" spans="1:22" ht="13.25" customHeight="1">
      <c r="A29" s="83"/>
      <c r="B29" s="23" t="s">
        <v>47</v>
      </c>
      <c r="C29" s="239">
        <v>0</v>
      </c>
      <c r="D29" s="239">
        <v>0</v>
      </c>
      <c r="E29" s="224" t="s">
        <v>239</v>
      </c>
      <c r="F29" s="224" t="s">
        <v>239</v>
      </c>
      <c r="G29" s="224" t="s">
        <v>239</v>
      </c>
      <c r="H29" s="224" t="s">
        <v>239</v>
      </c>
      <c r="I29" s="224" t="s">
        <v>239</v>
      </c>
      <c r="J29" s="224" t="s">
        <v>239</v>
      </c>
      <c r="K29" s="224" t="s">
        <v>239</v>
      </c>
      <c r="L29" s="224" t="s">
        <v>239</v>
      </c>
      <c r="M29" s="224" t="s">
        <v>239</v>
      </c>
      <c r="N29" s="224" t="s">
        <v>239</v>
      </c>
      <c r="O29" s="224" t="s">
        <v>239</v>
      </c>
      <c r="P29" s="224" t="s">
        <v>239</v>
      </c>
      <c r="Q29" s="224" t="s">
        <v>239</v>
      </c>
      <c r="R29" s="224" t="s">
        <v>239</v>
      </c>
      <c r="S29" s="224" t="s">
        <v>239</v>
      </c>
      <c r="T29" s="224" t="s">
        <v>239</v>
      </c>
      <c r="V29" s="90"/>
    </row>
    <row r="30" spans="1:22" ht="13.25" customHeight="1">
      <c r="A30" s="83"/>
      <c r="B30" s="23" t="s">
        <v>48</v>
      </c>
      <c r="C30" s="239">
        <v>0</v>
      </c>
      <c r="D30" s="239">
        <v>0</v>
      </c>
      <c r="E30" s="224" t="s">
        <v>239</v>
      </c>
      <c r="F30" s="224" t="s">
        <v>239</v>
      </c>
      <c r="G30" s="224" t="s">
        <v>239</v>
      </c>
      <c r="H30" s="224" t="s">
        <v>239</v>
      </c>
      <c r="I30" s="224" t="s">
        <v>239</v>
      </c>
      <c r="J30" s="224" t="s">
        <v>239</v>
      </c>
      <c r="K30" s="224" t="s">
        <v>239</v>
      </c>
      <c r="L30" s="224" t="s">
        <v>239</v>
      </c>
      <c r="M30" s="224" t="s">
        <v>239</v>
      </c>
      <c r="N30" s="224" t="s">
        <v>239</v>
      </c>
      <c r="O30" s="224" t="s">
        <v>239</v>
      </c>
      <c r="P30" s="224" t="s">
        <v>239</v>
      </c>
      <c r="Q30" s="224" t="s">
        <v>239</v>
      </c>
      <c r="R30" s="224" t="s">
        <v>239</v>
      </c>
      <c r="S30" s="224" t="s">
        <v>239</v>
      </c>
      <c r="T30" s="224" t="s">
        <v>239</v>
      </c>
      <c r="V30" s="90"/>
    </row>
    <row r="31" spans="1:22" ht="13.25" customHeight="1" thickBot="1">
      <c r="A31" s="88"/>
      <c r="B31" s="577" t="s">
        <v>49</v>
      </c>
      <c r="C31" s="580">
        <v>0</v>
      </c>
      <c r="D31" s="580">
        <v>0</v>
      </c>
      <c r="E31" s="582" t="s">
        <v>239</v>
      </c>
      <c r="F31" s="582" t="s">
        <v>239</v>
      </c>
      <c r="G31" s="582" t="s">
        <v>239</v>
      </c>
      <c r="H31" s="582" t="s">
        <v>239</v>
      </c>
      <c r="I31" s="582" t="s">
        <v>239</v>
      </c>
      <c r="J31" s="582" t="s">
        <v>239</v>
      </c>
      <c r="K31" s="582" t="s">
        <v>239</v>
      </c>
      <c r="L31" s="582" t="s">
        <v>239</v>
      </c>
      <c r="M31" s="582" t="s">
        <v>239</v>
      </c>
      <c r="N31" s="582" t="s">
        <v>239</v>
      </c>
      <c r="O31" s="582" t="s">
        <v>239</v>
      </c>
      <c r="P31" s="582" t="s">
        <v>239</v>
      </c>
      <c r="Q31" s="582" t="s">
        <v>239</v>
      </c>
      <c r="R31" s="582" t="s">
        <v>239</v>
      </c>
      <c r="S31" s="582" t="s">
        <v>239</v>
      </c>
      <c r="T31" s="582" t="s">
        <v>239</v>
      </c>
      <c r="V31" s="90"/>
    </row>
    <row r="32" spans="1:22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6">
    <tabColor theme="9" tint="0.59999389629810485"/>
  </sheetPr>
  <dimension ref="A2:W36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8" width="8.19921875" style="82" customWidth="1"/>
    <col min="29" max="16384" width="7" style="82"/>
  </cols>
  <sheetData>
    <row r="2" spans="1:23" ht="13.25" customHeight="1">
      <c r="A2" s="230" t="s">
        <v>518</v>
      </c>
      <c r="B2" s="231"/>
    </row>
    <row r="3" spans="1:23" ht="13.25" customHeight="1">
      <c r="A3" s="232" t="s">
        <v>236</v>
      </c>
      <c r="B3" s="232"/>
    </row>
    <row r="4" spans="1:23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3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477</v>
      </c>
    </row>
    <row r="6" spans="1:23" ht="15" customHeight="1">
      <c r="A6" s="963" t="s">
        <v>96</v>
      </c>
      <c r="B6" s="963"/>
      <c r="C6" s="572">
        <f>(C8+C9+C10+C11+C12+C13+C14+C15+C16+C17+C18+C19+C20+C21+C22+C23+C24+C25+C26+C27+C28+C29+C30+C31)</f>
        <v>3862</v>
      </c>
      <c r="D6" s="572">
        <f>(D8+D9+D10+D11+D12+D13+D14+D15+D16+D17+D18+D19+D20+D21+D22+D23+D24+D25+D26+D27+D28+D29+D30+D31)</f>
        <v>3839</v>
      </c>
      <c r="E6" s="574">
        <v>4053</v>
      </c>
      <c r="F6" s="574">
        <v>3971</v>
      </c>
      <c r="G6" s="574">
        <v>4175</v>
      </c>
      <c r="H6" s="574">
        <v>4075</v>
      </c>
      <c r="I6" s="574">
        <v>4235</v>
      </c>
      <c r="J6" s="574">
        <v>4350</v>
      </c>
      <c r="K6" s="574">
        <v>4179</v>
      </c>
      <c r="L6" s="574">
        <v>4170</v>
      </c>
      <c r="M6" s="574">
        <v>3980</v>
      </c>
      <c r="N6" s="574">
        <v>3977</v>
      </c>
      <c r="O6" s="574">
        <v>4009</v>
      </c>
      <c r="P6" s="574">
        <v>4003</v>
      </c>
      <c r="Q6" s="574">
        <f>SUM(Q8:Q31)</f>
        <v>3849</v>
      </c>
      <c r="R6" s="574">
        <f>SUM(R8:R31)</f>
        <v>3818.2999999999997</v>
      </c>
      <c r="S6" s="574">
        <f>SUM(S8:S31)</f>
        <v>3940.2</v>
      </c>
      <c r="T6" s="574">
        <f>SUM(T8:T31)</f>
        <v>3971.3</v>
      </c>
    </row>
    <row r="7" spans="1:23" ht="3" customHeight="1">
      <c r="A7" s="83"/>
      <c r="B7" s="84"/>
      <c r="C7" s="235"/>
      <c r="D7" s="235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3" ht="13.25" customHeight="1">
      <c r="A8" s="83"/>
      <c r="B8" s="23" t="s">
        <v>21</v>
      </c>
      <c r="C8" s="240">
        <v>0</v>
      </c>
      <c r="D8" s="240">
        <v>0</v>
      </c>
      <c r="E8" s="224" t="s">
        <v>240</v>
      </c>
      <c r="F8" s="224" t="s">
        <v>240</v>
      </c>
      <c r="G8" s="224" t="s">
        <v>240</v>
      </c>
      <c r="H8" s="224" t="s">
        <v>240</v>
      </c>
      <c r="I8" s="224" t="s">
        <v>240</v>
      </c>
      <c r="J8" s="224" t="s">
        <v>240</v>
      </c>
      <c r="K8" s="224" t="s">
        <v>240</v>
      </c>
      <c r="L8" s="224" t="s">
        <v>240</v>
      </c>
      <c r="M8" s="224" t="s">
        <v>240</v>
      </c>
      <c r="N8" s="224" t="s">
        <v>240</v>
      </c>
      <c r="O8" s="224" t="s">
        <v>240</v>
      </c>
      <c r="P8" s="224" t="s">
        <v>240</v>
      </c>
      <c r="Q8" s="224" t="s">
        <v>240</v>
      </c>
      <c r="R8" s="224" t="s">
        <v>240</v>
      </c>
      <c r="S8" s="224" t="s">
        <v>240</v>
      </c>
      <c r="T8" s="224" t="s">
        <v>240</v>
      </c>
    </row>
    <row r="9" spans="1:23" ht="13.25" customHeight="1">
      <c r="A9" s="83"/>
      <c r="B9" s="23" t="s">
        <v>22</v>
      </c>
      <c r="C9" s="240">
        <v>0</v>
      </c>
      <c r="D9" s="240">
        <v>0</v>
      </c>
      <c r="E9" s="224" t="s">
        <v>240</v>
      </c>
      <c r="F9" s="224" t="s">
        <v>240</v>
      </c>
      <c r="G9" s="224" t="s">
        <v>240</v>
      </c>
      <c r="H9" s="224" t="s">
        <v>240</v>
      </c>
      <c r="I9" s="224" t="s">
        <v>240</v>
      </c>
      <c r="J9" s="224" t="s">
        <v>240</v>
      </c>
      <c r="K9" s="224" t="s">
        <v>240</v>
      </c>
      <c r="L9" s="224" t="s">
        <v>240</v>
      </c>
      <c r="M9" s="224" t="s">
        <v>240</v>
      </c>
      <c r="N9" s="224" t="s">
        <v>240</v>
      </c>
      <c r="O9" s="224" t="s">
        <v>240</v>
      </c>
      <c r="P9" s="224" t="s">
        <v>240</v>
      </c>
      <c r="Q9" s="224" t="s">
        <v>240</v>
      </c>
      <c r="R9" s="224" t="s">
        <v>240</v>
      </c>
      <c r="S9" s="224" t="s">
        <v>240</v>
      </c>
      <c r="T9" s="224" t="s">
        <v>240</v>
      </c>
      <c r="V9" s="90"/>
    </row>
    <row r="10" spans="1:23" ht="13.25" customHeight="1">
      <c r="A10" s="83"/>
      <c r="B10" s="23" t="s">
        <v>23</v>
      </c>
      <c r="C10" s="240">
        <v>0</v>
      </c>
      <c r="D10" s="240">
        <v>0</v>
      </c>
      <c r="E10" s="224" t="s">
        <v>240</v>
      </c>
      <c r="F10" s="224" t="s">
        <v>240</v>
      </c>
      <c r="G10" s="224" t="s">
        <v>240</v>
      </c>
      <c r="H10" s="224" t="s">
        <v>240</v>
      </c>
      <c r="I10" s="224" t="s">
        <v>240</v>
      </c>
      <c r="J10" s="224" t="s">
        <v>240</v>
      </c>
      <c r="K10" s="224" t="s">
        <v>240</v>
      </c>
      <c r="L10" s="224" t="s">
        <v>240</v>
      </c>
      <c r="M10" s="224" t="s">
        <v>240</v>
      </c>
      <c r="N10" s="224" t="s">
        <v>240</v>
      </c>
      <c r="O10" s="224" t="s">
        <v>240</v>
      </c>
      <c r="P10" s="224" t="s">
        <v>240</v>
      </c>
      <c r="Q10" s="224" t="s">
        <v>240</v>
      </c>
      <c r="R10" s="224" t="s">
        <v>240</v>
      </c>
      <c r="S10" s="224" t="s">
        <v>240</v>
      </c>
      <c r="T10" s="224" t="s">
        <v>240</v>
      </c>
      <c r="V10" s="90"/>
    </row>
    <row r="11" spans="1:23" ht="13.25" customHeight="1">
      <c r="A11" s="83"/>
      <c r="B11" s="23" t="s">
        <v>24</v>
      </c>
      <c r="C11" s="240">
        <v>0</v>
      </c>
      <c r="D11" s="240">
        <v>0</v>
      </c>
      <c r="E11" s="224" t="s">
        <v>240</v>
      </c>
      <c r="F11" s="224" t="s">
        <v>240</v>
      </c>
      <c r="G11" s="224" t="s">
        <v>240</v>
      </c>
      <c r="H11" s="224" t="s">
        <v>240</v>
      </c>
      <c r="I11" s="224" t="s">
        <v>240</v>
      </c>
      <c r="J11" s="224" t="s">
        <v>240</v>
      </c>
      <c r="K11" s="224" t="s">
        <v>240</v>
      </c>
      <c r="L11" s="224" t="s">
        <v>240</v>
      </c>
      <c r="M11" s="224" t="s">
        <v>240</v>
      </c>
      <c r="N11" s="224" t="s">
        <v>240</v>
      </c>
      <c r="O11" s="224" t="s">
        <v>240</v>
      </c>
      <c r="P11" s="224" t="s">
        <v>240</v>
      </c>
      <c r="Q11" s="224" t="s">
        <v>240</v>
      </c>
      <c r="R11" s="224" t="s">
        <v>240</v>
      </c>
      <c r="S11" s="224" t="s">
        <v>240</v>
      </c>
      <c r="T11" s="224" t="s">
        <v>240</v>
      </c>
      <c r="V11" s="90"/>
    </row>
    <row r="12" spans="1:23" ht="13.25" customHeight="1">
      <c r="A12" s="83"/>
      <c r="B12" s="23" t="s">
        <v>25</v>
      </c>
      <c r="C12" s="240">
        <v>0</v>
      </c>
      <c r="D12" s="240">
        <v>0</v>
      </c>
      <c r="E12" s="224" t="s">
        <v>240</v>
      </c>
      <c r="F12" s="224" t="s">
        <v>240</v>
      </c>
      <c r="G12" s="224" t="s">
        <v>240</v>
      </c>
      <c r="H12" s="224" t="s">
        <v>240</v>
      </c>
      <c r="I12" s="224" t="s">
        <v>240</v>
      </c>
      <c r="J12" s="224" t="s">
        <v>240</v>
      </c>
      <c r="K12" s="224" t="s">
        <v>240</v>
      </c>
      <c r="L12" s="224" t="s">
        <v>240</v>
      </c>
      <c r="M12" s="224" t="s">
        <v>240</v>
      </c>
      <c r="N12" s="224" t="s">
        <v>240</v>
      </c>
      <c r="O12" s="224" t="s">
        <v>240</v>
      </c>
      <c r="P12" s="224" t="s">
        <v>240</v>
      </c>
      <c r="Q12" s="224" t="s">
        <v>240</v>
      </c>
      <c r="R12" s="224" t="s">
        <v>240</v>
      </c>
      <c r="S12" s="224" t="s">
        <v>240</v>
      </c>
      <c r="T12" s="224" t="s">
        <v>240</v>
      </c>
      <c r="V12" s="90"/>
    </row>
    <row r="13" spans="1:23" ht="13.25" customHeight="1">
      <c r="A13" s="83"/>
      <c r="B13" s="23" t="s">
        <v>29</v>
      </c>
      <c r="C13" s="240">
        <v>0</v>
      </c>
      <c r="D13" s="240">
        <v>0</v>
      </c>
      <c r="E13" s="224" t="s">
        <v>240</v>
      </c>
      <c r="F13" s="224" t="s">
        <v>240</v>
      </c>
      <c r="G13" s="224" t="s">
        <v>240</v>
      </c>
      <c r="H13" s="224" t="s">
        <v>240</v>
      </c>
      <c r="I13" s="224" t="s">
        <v>240</v>
      </c>
      <c r="J13" s="224" t="s">
        <v>240</v>
      </c>
      <c r="K13" s="224" t="s">
        <v>240</v>
      </c>
      <c r="L13" s="224" t="s">
        <v>240</v>
      </c>
      <c r="M13" s="224" t="s">
        <v>240</v>
      </c>
      <c r="N13" s="224" t="s">
        <v>240</v>
      </c>
      <c r="O13" s="224" t="s">
        <v>240</v>
      </c>
      <c r="P13" s="224" t="s">
        <v>240</v>
      </c>
      <c r="Q13" s="224" t="s">
        <v>240</v>
      </c>
      <c r="R13" s="224" t="s">
        <v>240</v>
      </c>
      <c r="S13" s="224" t="s">
        <v>240</v>
      </c>
      <c r="T13" s="224" t="s">
        <v>240</v>
      </c>
      <c r="V13" s="90"/>
    </row>
    <row r="14" spans="1:23" ht="13.25" customHeight="1">
      <c r="A14" s="83"/>
      <c r="B14" s="23" t="s">
        <v>30</v>
      </c>
      <c r="C14" s="240">
        <v>0</v>
      </c>
      <c r="D14" s="240">
        <v>0</v>
      </c>
      <c r="E14" s="224" t="s">
        <v>240</v>
      </c>
      <c r="F14" s="224" t="s">
        <v>240</v>
      </c>
      <c r="G14" s="224" t="s">
        <v>240</v>
      </c>
      <c r="H14" s="224" t="s">
        <v>240</v>
      </c>
      <c r="I14" s="224" t="s">
        <v>240</v>
      </c>
      <c r="J14" s="224" t="s">
        <v>240</v>
      </c>
      <c r="K14" s="224" t="s">
        <v>240</v>
      </c>
      <c r="L14" s="224" t="s">
        <v>240</v>
      </c>
      <c r="M14" s="224" t="s">
        <v>240</v>
      </c>
      <c r="N14" s="224" t="s">
        <v>240</v>
      </c>
      <c r="O14" s="224" t="s">
        <v>240</v>
      </c>
      <c r="P14" s="224" t="s">
        <v>240</v>
      </c>
      <c r="Q14" s="224" t="s">
        <v>240</v>
      </c>
      <c r="R14" s="224" t="s">
        <v>240</v>
      </c>
      <c r="S14" s="224" t="s">
        <v>240</v>
      </c>
      <c r="T14" s="224" t="s">
        <v>240</v>
      </c>
      <c r="V14" s="90"/>
    </row>
    <row r="15" spans="1:23" ht="13.25" customHeight="1">
      <c r="A15" s="83"/>
      <c r="B15" s="23" t="s">
        <v>31</v>
      </c>
      <c r="C15" s="240">
        <v>107</v>
      </c>
      <c r="D15" s="240">
        <v>109</v>
      </c>
      <c r="E15" s="224">
        <v>110</v>
      </c>
      <c r="F15" s="224">
        <v>96</v>
      </c>
      <c r="G15" s="224">
        <v>106</v>
      </c>
      <c r="H15" s="224">
        <v>88</v>
      </c>
      <c r="I15" s="224">
        <v>70</v>
      </c>
      <c r="J15" s="224">
        <v>72</v>
      </c>
      <c r="K15" s="224">
        <v>56</v>
      </c>
      <c r="L15" s="224">
        <v>57</v>
      </c>
      <c r="M15" s="224">
        <v>53</v>
      </c>
      <c r="N15" s="224">
        <v>55</v>
      </c>
      <c r="O15" s="224">
        <v>50</v>
      </c>
      <c r="P15" s="224">
        <v>75</v>
      </c>
      <c r="Q15" s="224">
        <v>63</v>
      </c>
      <c r="R15" s="224">
        <v>68.8</v>
      </c>
      <c r="S15" s="224">
        <v>63.4</v>
      </c>
      <c r="T15" s="224">
        <v>59.7</v>
      </c>
      <c r="U15" s="932"/>
      <c r="V15" s="932"/>
      <c r="W15" s="932"/>
    </row>
    <row r="16" spans="1:23" ht="13.25" customHeight="1">
      <c r="A16" s="83"/>
      <c r="B16" s="23" t="s">
        <v>32</v>
      </c>
      <c r="C16" s="240">
        <v>0</v>
      </c>
      <c r="D16" s="240">
        <v>0</v>
      </c>
      <c r="E16" s="224" t="s">
        <v>240</v>
      </c>
      <c r="F16" s="224" t="s">
        <v>240</v>
      </c>
      <c r="G16" s="224" t="s">
        <v>240</v>
      </c>
      <c r="H16" s="224" t="s">
        <v>240</v>
      </c>
      <c r="I16" s="224" t="s">
        <v>240</v>
      </c>
      <c r="J16" s="224" t="s">
        <v>240</v>
      </c>
      <c r="K16" s="224" t="s">
        <v>240</v>
      </c>
      <c r="L16" s="224" t="s">
        <v>240</v>
      </c>
      <c r="M16" s="224" t="s">
        <v>240</v>
      </c>
      <c r="N16" s="224" t="s">
        <v>240</v>
      </c>
      <c r="O16" s="224" t="s">
        <v>240</v>
      </c>
      <c r="P16" s="224" t="s">
        <v>240</v>
      </c>
      <c r="Q16" s="224" t="s">
        <v>240</v>
      </c>
      <c r="R16" s="224" t="s">
        <v>240</v>
      </c>
      <c r="S16" s="224" t="s">
        <v>240</v>
      </c>
      <c r="T16" s="224" t="s">
        <v>240</v>
      </c>
      <c r="V16" s="90"/>
    </row>
    <row r="17" spans="1:23" ht="13.25" customHeight="1">
      <c r="A17" s="83"/>
      <c r="B17" s="23" t="s">
        <v>33</v>
      </c>
      <c r="C17" s="240">
        <v>0</v>
      </c>
      <c r="D17" s="240">
        <v>0</v>
      </c>
      <c r="E17" s="224" t="s">
        <v>240</v>
      </c>
      <c r="F17" s="224" t="s">
        <v>240</v>
      </c>
      <c r="G17" s="224" t="s">
        <v>240</v>
      </c>
      <c r="H17" s="224" t="s">
        <v>240</v>
      </c>
      <c r="I17" s="224" t="s">
        <v>240</v>
      </c>
      <c r="J17" s="224" t="s">
        <v>240</v>
      </c>
      <c r="K17" s="224">
        <v>11</v>
      </c>
      <c r="L17" s="224">
        <v>10</v>
      </c>
      <c r="M17" s="224">
        <v>4</v>
      </c>
      <c r="N17" s="224">
        <v>1</v>
      </c>
      <c r="O17" s="224">
        <v>1</v>
      </c>
      <c r="P17" s="224" t="s">
        <v>240</v>
      </c>
      <c r="Q17" s="224" t="s">
        <v>240</v>
      </c>
      <c r="R17" s="224" t="s">
        <v>240</v>
      </c>
      <c r="S17" s="224" t="s">
        <v>240</v>
      </c>
      <c r="T17" s="224" t="s">
        <v>240</v>
      </c>
      <c r="V17" s="90"/>
    </row>
    <row r="18" spans="1:23" ht="13.25" customHeight="1">
      <c r="A18" s="83"/>
      <c r="B18" s="23" t="s">
        <v>34</v>
      </c>
      <c r="C18" s="240">
        <v>64</v>
      </c>
      <c r="D18" s="240">
        <v>100</v>
      </c>
      <c r="E18" s="224">
        <v>109</v>
      </c>
      <c r="F18" s="224">
        <v>90</v>
      </c>
      <c r="G18" s="224">
        <v>90</v>
      </c>
      <c r="H18" s="224">
        <v>89</v>
      </c>
      <c r="I18" s="224">
        <v>94</v>
      </c>
      <c r="J18" s="224">
        <v>106</v>
      </c>
      <c r="K18" s="224">
        <v>106</v>
      </c>
      <c r="L18" s="224">
        <v>98</v>
      </c>
      <c r="M18" s="224">
        <v>106</v>
      </c>
      <c r="N18" s="224">
        <v>107</v>
      </c>
      <c r="O18" s="224">
        <v>115</v>
      </c>
      <c r="P18" s="224">
        <v>119</v>
      </c>
      <c r="Q18" s="224">
        <v>111</v>
      </c>
      <c r="R18" s="224">
        <v>107.9</v>
      </c>
      <c r="S18" s="224">
        <v>119.1</v>
      </c>
      <c r="T18" s="224">
        <v>122</v>
      </c>
      <c r="U18" s="932"/>
      <c r="V18" s="932"/>
      <c r="W18" s="932"/>
    </row>
    <row r="19" spans="1:23" ht="13.25" customHeight="1">
      <c r="A19" s="83"/>
      <c r="B19" s="23" t="s">
        <v>35</v>
      </c>
      <c r="C19" s="240">
        <v>97</v>
      </c>
      <c r="D19" s="240">
        <v>98</v>
      </c>
      <c r="E19" s="224">
        <v>105</v>
      </c>
      <c r="F19" s="224">
        <v>95</v>
      </c>
      <c r="G19" s="224">
        <v>104</v>
      </c>
      <c r="H19" s="224">
        <v>109</v>
      </c>
      <c r="I19" s="224">
        <v>157</v>
      </c>
      <c r="J19" s="224">
        <v>176</v>
      </c>
      <c r="K19" s="224">
        <v>182</v>
      </c>
      <c r="L19" s="224">
        <v>194</v>
      </c>
      <c r="M19" s="224">
        <v>202</v>
      </c>
      <c r="N19" s="224">
        <v>233</v>
      </c>
      <c r="O19" s="224">
        <v>273</v>
      </c>
      <c r="P19" s="224">
        <v>324</v>
      </c>
      <c r="Q19" s="224">
        <v>240</v>
      </c>
      <c r="R19" s="224">
        <v>199.7</v>
      </c>
      <c r="S19" s="224">
        <v>231.7</v>
      </c>
      <c r="T19" s="224">
        <v>248.5</v>
      </c>
      <c r="U19" s="932"/>
      <c r="V19" s="932"/>
      <c r="W19" s="932"/>
    </row>
    <row r="20" spans="1:23" ht="13.25" customHeight="1">
      <c r="A20" s="83"/>
      <c r="B20" s="23" t="s">
        <v>36</v>
      </c>
      <c r="C20" s="240">
        <v>384</v>
      </c>
      <c r="D20" s="240">
        <v>370</v>
      </c>
      <c r="E20" s="224">
        <v>356</v>
      </c>
      <c r="F20" s="224">
        <v>354</v>
      </c>
      <c r="G20" s="224">
        <v>359</v>
      </c>
      <c r="H20" s="224">
        <v>343</v>
      </c>
      <c r="I20" s="224">
        <v>387</v>
      </c>
      <c r="J20" s="224">
        <v>445</v>
      </c>
      <c r="K20" s="224">
        <v>406</v>
      </c>
      <c r="L20" s="224">
        <v>426</v>
      </c>
      <c r="M20" s="224">
        <v>432</v>
      </c>
      <c r="N20" s="224">
        <v>356</v>
      </c>
      <c r="O20" s="224">
        <v>376</v>
      </c>
      <c r="P20" s="224">
        <v>339</v>
      </c>
      <c r="Q20" s="224">
        <v>269</v>
      </c>
      <c r="R20" s="224">
        <v>258.7</v>
      </c>
      <c r="S20" s="224">
        <v>257.60000000000002</v>
      </c>
      <c r="T20" s="224">
        <v>252.7</v>
      </c>
      <c r="U20" s="932"/>
      <c r="V20" s="932"/>
      <c r="W20" s="932"/>
    </row>
    <row r="21" spans="1:23" ht="13.25" customHeight="1">
      <c r="A21" s="83"/>
      <c r="B21" s="23" t="s">
        <v>37</v>
      </c>
      <c r="C21" s="240">
        <v>523</v>
      </c>
      <c r="D21" s="240">
        <v>497</v>
      </c>
      <c r="E21" s="224">
        <v>511</v>
      </c>
      <c r="F21" s="224">
        <v>506</v>
      </c>
      <c r="G21" s="224">
        <v>513</v>
      </c>
      <c r="H21" s="224">
        <v>334</v>
      </c>
      <c r="I21" s="224">
        <v>331</v>
      </c>
      <c r="J21" s="224">
        <v>365</v>
      </c>
      <c r="K21" s="224">
        <v>415</v>
      </c>
      <c r="L21" s="224">
        <v>526</v>
      </c>
      <c r="M21" s="224">
        <v>479</v>
      </c>
      <c r="N21" s="224">
        <v>358</v>
      </c>
      <c r="O21" s="224">
        <v>380</v>
      </c>
      <c r="P21" s="224">
        <v>354</v>
      </c>
      <c r="Q21" s="224">
        <v>324</v>
      </c>
      <c r="R21" s="224">
        <v>380.5</v>
      </c>
      <c r="S21" s="224">
        <v>435.2</v>
      </c>
      <c r="T21" s="224">
        <v>443.4</v>
      </c>
      <c r="U21" s="932"/>
      <c r="V21" s="932"/>
      <c r="W21" s="932"/>
    </row>
    <row r="22" spans="1:23" ht="13.25" customHeight="1">
      <c r="A22" s="83"/>
      <c r="B22" s="23" t="s">
        <v>38</v>
      </c>
      <c r="C22" s="240">
        <v>89</v>
      </c>
      <c r="D22" s="240">
        <v>89</v>
      </c>
      <c r="E22" s="224">
        <v>91</v>
      </c>
      <c r="F22" s="224">
        <v>77</v>
      </c>
      <c r="G22" s="224">
        <v>93</v>
      </c>
      <c r="H22" s="224">
        <v>112</v>
      </c>
      <c r="I22" s="224">
        <v>117</v>
      </c>
      <c r="J22" s="224">
        <v>110</v>
      </c>
      <c r="K22" s="224">
        <v>123</v>
      </c>
      <c r="L22" s="224">
        <v>101</v>
      </c>
      <c r="M22" s="224">
        <v>98</v>
      </c>
      <c r="N22" s="224">
        <v>101</v>
      </c>
      <c r="O22" s="224">
        <v>77</v>
      </c>
      <c r="P22" s="224">
        <v>62</v>
      </c>
      <c r="Q22" s="224">
        <v>59</v>
      </c>
      <c r="R22" s="224">
        <v>55.8</v>
      </c>
      <c r="S22" s="224">
        <v>60.4</v>
      </c>
      <c r="T22" s="224">
        <v>61.3</v>
      </c>
      <c r="U22" s="932"/>
      <c r="V22" s="932"/>
      <c r="W22" s="932"/>
    </row>
    <row r="23" spans="1:23" ht="13.25" customHeight="1">
      <c r="A23" s="83"/>
      <c r="B23" s="23" t="s">
        <v>39</v>
      </c>
      <c r="C23" s="240">
        <v>135</v>
      </c>
      <c r="D23" s="240">
        <v>134</v>
      </c>
      <c r="E23" s="224">
        <v>119</v>
      </c>
      <c r="F23" s="224">
        <v>116</v>
      </c>
      <c r="G23" s="224">
        <v>101</v>
      </c>
      <c r="H23" s="224">
        <v>106</v>
      </c>
      <c r="I23" s="224">
        <v>109</v>
      </c>
      <c r="J23" s="224">
        <v>113</v>
      </c>
      <c r="K23" s="224">
        <v>123</v>
      </c>
      <c r="L23" s="224">
        <v>135</v>
      </c>
      <c r="M23" s="224">
        <v>125</v>
      </c>
      <c r="N23" s="224">
        <v>128</v>
      </c>
      <c r="O23" s="224">
        <v>129</v>
      </c>
      <c r="P23" s="224">
        <v>131</v>
      </c>
      <c r="Q23" s="224">
        <v>137</v>
      </c>
      <c r="R23" s="224">
        <v>137.1</v>
      </c>
      <c r="S23" s="224">
        <v>144.80000000000001</v>
      </c>
      <c r="T23" s="224">
        <v>149.19999999999999</v>
      </c>
      <c r="U23" s="932"/>
      <c r="V23" s="932"/>
      <c r="W23" s="932"/>
    </row>
    <row r="24" spans="1:23" ht="13.25" customHeight="1">
      <c r="A24" s="83"/>
      <c r="B24" s="23" t="s">
        <v>40</v>
      </c>
      <c r="C24" s="240">
        <v>404</v>
      </c>
      <c r="D24" s="240">
        <v>377</v>
      </c>
      <c r="E24" s="224">
        <v>447</v>
      </c>
      <c r="F24" s="224">
        <v>389</v>
      </c>
      <c r="G24" s="224">
        <v>435</v>
      </c>
      <c r="H24" s="224">
        <v>421</v>
      </c>
      <c r="I24" s="224">
        <v>463</v>
      </c>
      <c r="J24" s="224">
        <v>403</v>
      </c>
      <c r="K24" s="224">
        <v>396</v>
      </c>
      <c r="L24" s="224">
        <v>262</v>
      </c>
      <c r="M24" s="224">
        <v>288</v>
      </c>
      <c r="N24" s="224">
        <v>296</v>
      </c>
      <c r="O24" s="224">
        <v>260</v>
      </c>
      <c r="P24" s="224">
        <v>244</v>
      </c>
      <c r="Q24" s="224">
        <v>252</v>
      </c>
      <c r="R24" s="224">
        <v>206.3</v>
      </c>
      <c r="S24" s="224">
        <v>169.3</v>
      </c>
      <c r="T24" s="224">
        <v>167.7</v>
      </c>
      <c r="U24" s="932"/>
      <c r="V24" s="932"/>
      <c r="W24" s="932"/>
    </row>
    <row r="25" spans="1:23" ht="13.25" customHeight="1">
      <c r="A25" s="83"/>
      <c r="B25" s="23" t="s">
        <v>41</v>
      </c>
      <c r="C25" s="240">
        <v>190</v>
      </c>
      <c r="D25" s="240">
        <v>204</v>
      </c>
      <c r="E25" s="224">
        <v>255</v>
      </c>
      <c r="F25" s="224">
        <v>244</v>
      </c>
      <c r="G25" s="224">
        <v>269</v>
      </c>
      <c r="H25" s="224">
        <v>275</v>
      </c>
      <c r="I25" s="224">
        <v>290</v>
      </c>
      <c r="J25" s="224">
        <v>299</v>
      </c>
      <c r="K25" s="224">
        <v>292</v>
      </c>
      <c r="L25" s="224">
        <v>289</v>
      </c>
      <c r="M25" s="224">
        <v>288</v>
      </c>
      <c r="N25" s="224">
        <v>291</v>
      </c>
      <c r="O25" s="224">
        <v>291</v>
      </c>
      <c r="P25" s="224">
        <v>286</v>
      </c>
      <c r="Q25" s="224">
        <v>284</v>
      </c>
      <c r="R25" s="224">
        <v>283.60000000000002</v>
      </c>
      <c r="S25" s="224">
        <v>285.39999999999998</v>
      </c>
      <c r="T25" s="224">
        <v>284.3</v>
      </c>
      <c r="U25" s="932"/>
      <c r="V25" s="932"/>
      <c r="W25" s="932"/>
    </row>
    <row r="26" spans="1:23" ht="13.25" customHeight="1">
      <c r="A26" s="83"/>
      <c r="B26" s="23" t="s">
        <v>44</v>
      </c>
      <c r="C26" s="240">
        <v>484</v>
      </c>
      <c r="D26" s="240">
        <v>458</v>
      </c>
      <c r="E26" s="224">
        <v>500</v>
      </c>
      <c r="F26" s="224">
        <v>507</v>
      </c>
      <c r="G26" s="224">
        <v>582</v>
      </c>
      <c r="H26" s="224">
        <v>628</v>
      </c>
      <c r="I26" s="224">
        <v>614</v>
      </c>
      <c r="J26" s="224">
        <v>642</v>
      </c>
      <c r="K26" s="224">
        <v>437</v>
      </c>
      <c r="L26" s="224">
        <v>435</v>
      </c>
      <c r="M26" s="224">
        <v>515</v>
      </c>
      <c r="N26" s="224">
        <v>532</v>
      </c>
      <c r="O26" s="224">
        <v>526</v>
      </c>
      <c r="P26" s="224">
        <v>539</v>
      </c>
      <c r="Q26" s="224">
        <v>573</v>
      </c>
      <c r="R26" s="224">
        <v>574.9</v>
      </c>
      <c r="S26" s="224">
        <v>615</v>
      </c>
      <c r="T26" s="224">
        <v>614.6</v>
      </c>
      <c r="U26" s="932"/>
      <c r="V26" s="932"/>
      <c r="W26" s="932"/>
    </row>
    <row r="27" spans="1:23" ht="13.25" customHeight="1">
      <c r="A27" s="83"/>
      <c r="B27" s="23" t="s">
        <v>45</v>
      </c>
      <c r="C27" s="240">
        <v>1385</v>
      </c>
      <c r="D27" s="240">
        <v>1403</v>
      </c>
      <c r="E27" s="224">
        <v>1451</v>
      </c>
      <c r="F27" s="224">
        <v>1498</v>
      </c>
      <c r="G27" s="224">
        <v>1524</v>
      </c>
      <c r="H27" s="224">
        <v>1569</v>
      </c>
      <c r="I27" s="224">
        <v>1604</v>
      </c>
      <c r="J27" s="224">
        <v>1619</v>
      </c>
      <c r="K27" s="224">
        <v>1632</v>
      </c>
      <c r="L27" s="224">
        <v>1637</v>
      </c>
      <c r="M27" s="224">
        <v>1390</v>
      </c>
      <c r="N27" s="224">
        <v>1520</v>
      </c>
      <c r="O27" s="224">
        <v>1529</v>
      </c>
      <c r="P27" s="224">
        <v>1528</v>
      </c>
      <c r="Q27" s="224">
        <v>1537</v>
      </c>
      <c r="R27" s="224">
        <v>1545</v>
      </c>
      <c r="S27" s="224">
        <v>1558.3</v>
      </c>
      <c r="T27" s="224">
        <v>1567.9</v>
      </c>
      <c r="U27" s="932"/>
      <c r="V27" s="932"/>
      <c r="W27" s="932"/>
    </row>
    <row r="28" spans="1:23" ht="13.25" customHeight="1">
      <c r="A28" s="83"/>
      <c r="B28" s="82" t="s">
        <v>46</v>
      </c>
      <c r="C28" s="240">
        <v>0</v>
      </c>
      <c r="D28" s="240">
        <v>0</v>
      </c>
      <c r="E28" s="224" t="s">
        <v>240</v>
      </c>
      <c r="F28" s="224" t="s">
        <v>240</v>
      </c>
      <c r="G28" s="224" t="s">
        <v>240</v>
      </c>
      <c r="H28" s="224" t="s">
        <v>240</v>
      </c>
      <c r="I28" s="224" t="s">
        <v>240</v>
      </c>
      <c r="J28" s="224" t="s">
        <v>240</v>
      </c>
      <c r="K28" s="224" t="s">
        <v>240</v>
      </c>
      <c r="L28" s="224" t="s">
        <v>240</v>
      </c>
      <c r="M28" s="224" t="s">
        <v>240</v>
      </c>
      <c r="N28" s="224" t="s">
        <v>240</v>
      </c>
      <c r="O28" s="224" t="s">
        <v>240</v>
      </c>
      <c r="P28" s="224" t="s">
        <v>240</v>
      </c>
      <c r="Q28" s="224" t="s">
        <v>240</v>
      </c>
      <c r="R28" s="224" t="s">
        <v>240</v>
      </c>
      <c r="S28" s="224" t="s">
        <v>240</v>
      </c>
      <c r="T28" s="224" t="s">
        <v>240</v>
      </c>
      <c r="V28" s="90"/>
    </row>
    <row r="29" spans="1:23" ht="13.25" customHeight="1">
      <c r="A29" s="83"/>
      <c r="B29" s="23" t="s">
        <v>47</v>
      </c>
      <c r="C29" s="240">
        <v>0</v>
      </c>
      <c r="D29" s="240">
        <v>0</v>
      </c>
      <c r="E29" s="224" t="s">
        <v>240</v>
      </c>
      <c r="F29" s="224" t="s">
        <v>240</v>
      </c>
      <c r="G29" s="224" t="s">
        <v>240</v>
      </c>
      <c r="H29" s="224" t="s">
        <v>240</v>
      </c>
      <c r="I29" s="224" t="s">
        <v>240</v>
      </c>
      <c r="J29" s="224" t="s">
        <v>240</v>
      </c>
      <c r="K29" s="224" t="s">
        <v>240</v>
      </c>
      <c r="L29" s="224" t="s">
        <v>240</v>
      </c>
      <c r="M29" s="224" t="s">
        <v>240</v>
      </c>
      <c r="N29" s="224" t="s">
        <v>240</v>
      </c>
      <c r="O29" s="224" t="s">
        <v>240</v>
      </c>
      <c r="P29" s="224" t="s">
        <v>240</v>
      </c>
      <c r="Q29" s="224" t="s">
        <v>240</v>
      </c>
      <c r="R29" s="224" t="s">
        <v>240</v>
      </c>
      <c r="S29" s="224" t="s">
        <v>240</v>
      </c>
      <c r="T29" s="224" t="s">
        <v>240</v>
      </c>
      <c r="V29" s="90"/>
    </row>
    <row r="30" spans="1:23" ht="13.25" customHeight="1">
      <c r="A30" s="83"/>
      <c r="B30" s="23" t="s">
        <v>48</v>
      </c>
      <c r="C30" s="240">
        <v>0</v>
      </c>
      <c r="D30" s="240">
        <v>0</v>
      </c>
      <c r="E30" s="224" t="s">
        <v>240</v>
      </c>
      <c r="F30" s="224" t="s">
        <v>240</v>
      </c>
      <c r="G30" s="224" t="s">
        <v>240</v>
      </c>
      <c r="H30" s="224" t="s">
        <v>240</v>
      </c>
      <c r="I30" s="224" t="s">
        <v>240</v>
      </c>
      <c r="J30" s="224" t="s">
        <v>240</v>
      </c>
      <c r="K30" s="224" t="s">
        <v>240</v>
      </c>
      <c r="L30" s="224" t="s">
        <v>240</v>
      </c>
      <c r="M30" s="224" t="s">
        <v>240</v>
      </c>
      <c r="N30" s="224" t="s">
        <v>240</v>
      </c>
      <c r="O30" s="224" t="s">
        <v>240</v>
      </c>
      <c r="P30" s="224" t="s">
        <v>240</v>
      </c>
      <c r="Q30" s="224" t="s">
        <v>240</v>
      </c>
      <c r="R30" s="224" t="s">
        <v>240</v>
      </c>
      <c r="S30" s="224" t="s">
        <v>240</v>
      </c>
      <c r="T30" s="224" t="s">
        <v>240</v>
      </c>
      <c r="V30" s="90"/>
    </row>
    <row r="31" spans="1:23" ht="13.25" customHeight="1" thickBot="1">
      <c r="A31" s="88"/>
      <c r="B31" s="577" t="s">
        <v>49</v>
      </c>
      <c r="C31" s="579">
        <v>0</v>
      </c>
      <c r="D31" s="579">
        <v>0</v>
      </c>
      <c r="E31" s="582" t="s">
        <v>240</v>
      </c>
      <c r="F31" s="582" t="s">
        <v>240</v>
      </c>
      <c r="G31" s="582" t="s">
        <v>240</v>
      </c>
      <c r="H31" s="582" t="s">
        <v>240</v>
      </c>
      <c r="I31" s="582" t="s">
        <v>240</v>
      </c>
      <c r="J31" s="582" t="s">
        <v>240</v>
      </c>
      <c r="K31" s="582" t="s">
        <v>240</v>
      </c>
      <c r="L31" s="582" t="s">
        <v>240</v>
      </c>
      <c r="M31" s="582" t="s">
        <v>240</v>
      </c>
      <c r="N31" s="582" t="s">
        <v>240</v>
      </c>
      <c r="O31" s="582" t="s">
        <v>240</v>
      </c>
      <c r="P31" s="582" t="s">
        <v>240</v>
      </c>
      <c r="Q31" s="582" t="s">
        <v>240</v>
      </c>
      <c r="R31" s="582" t="s">
        <v>240</v>
      </c>
      <c r="S31" s="582" t="s">
        <v>240</v>
      </c>
      <c r="T31" s="582" t="s">
        <v>240</v>
      </c>
      <c r="V31" s="90"/>
    </row>
    <row r="32" spans="1:23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7">
    <tabColor theme="9" tint="0.59999389629810485"/>
  </sheetPr>
  <dimension ref="A2:T35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3" width="8.19921875" style="82" customWidth="1"/>
    <col min="24" max="16384" width="7" style="82"/>
  </cols>
  <sheetData>
    <row r="2" spans="1:20" ht="13.25" customHeight="1">
      <c r="A2" s="230" t="s">
        <v>519</v>
      </c>
      <c r="B2" s="231"/>
    </row>
    <row r="3" spans="1:20" ht="13.25" customHeight="1">
      <c r="A3" s="232" t="s">
        <v>421</v>
      </c>
      <c r="B3" s="232"/>
    </row>
    <row r="4" spans="1:20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0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490</v>
      </c>
    </row>
    <row r="6" spans="1:20" ht="15" customHeight="1">
      <c r="A6" s="963" t="s">
        <v>103</v>
      </c>
      <c r="B6" s="963"/>
      <c r="C6" s="570" t="s">
        <v>50</v>
      </c>
      <c r="D6" s="570" t="s">
        <v>50</v>
      </c>
      <c r="E6" s="570">
        <v>2.31</v>
      </c>
      <c r="F6" s="570">
        <v>2.7</v>
      </c>
      <c r="G6" s="570">
        <v>2.88</v>
      </c>
      <c r="H6" s="570">
        <v>3.02</v>
      </c>
      <c r="I6" s="570">
        <v>3.4</v>
      </c>
      <c r="J6" s="570">
        <v>3.61</v>
      </c>
      <c r="K6" s="570">
        <v>3.87</v>
      </c>
      <c r="L6" s="570">
        <v>4.26</v>
      </c>
      <c r="M6" s="570">
        <v>4.09</v>
      </c>
      <c r="N6" s="570">
        <v>4.32</v>
      </c>
      <c r="O6" s="570">
        <v>4.25</v>
      </c>
      <c r="P6" s="570">
        <v>4.28</v>
      </c>
      <c r="Q6" s="570">
        <v>4.2699999999999996</v>
      </c>
      <c r="R6" s="570">
        <v>4.13</v>
      </c>
      <c r="S6" s="570">
        <v>3.97</v>
      </c>
      <c r="T6" s="570">
        <v>3.97</v>
      </c>
    </row>
    <row r="7" spans="1:20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0" ht="13.25" customHeight="1">
      <c r="A8" s="83"/>
      <c r="B8" s="23" t="s">
        <v>21</v>
      </c>
      <c r="C8" s="238" t="s">
        <v>75</v>
      </c>
      <c r="D8" s="238" t="s">
        <v>75</v>
      </c>
      <c r="E8" s="238" t="s">
        <v>75</v>
      </c>
      <c r="F8" s="238" t="s">
        <v>75</v>
      </c>
      <c r="G8" s="238" t="s">
        <v>75</v>
      </c>
      <c r="H8" s="238" t="s">
        <v>75</v>
      </c>
      <c r="I8" s="238" t="s">
        <v>75</v>
      </c>
      <c r="J8" s="238" t="s">
        <v>75</v>
      </c>
      <c r="K8" s="238" t="s">
        <v>75</v>
      </c>
      <c r="L8" s="238" t="s">
        <v>75</v>
      </c>
      <c r="M8" s="238" t="s">
        <v>75</v>
      </c>
      <c r="N8" s="238" t="s">
        <v>75</v>
      </c>
      <c r="O8" s="238" t="s">
        <v>75</v>
      </c>
      <c r="P8" s="238" t="s">
        <v>75</v>
      </c>
      <c r="Q8" s="238" t="s">
        <v>75</v>
      </c>
      <c r="R8" s="238" t="s">
        <v>75</v>
      </c>
      <c r="S8" s="238" t="s">
        <v>75</v>
      </c>
      <c r="T8" s="238" t="s">
        <v>75</v>
      </c>
    </row>
    <row r="9" spans="1:20" ht="13.25" customHeight="1">
      <c r="A9" s="83"/>
      <c r="B9" s="23" t="s">
        <v>22</v>
      </c>
      <c r="C9" s="238" t="s">
        <v>75</v>
      </c>
      <c r="D9" s="238" t="s">
        <v>75</v>
      </c>
      <c r="E9" s="238" t="s">
        <v>75</v>
      </c>
      <c r="F9" s="238" t="s">
        <v>75</v>
      </c>
      <c r="G9" s="238" t="s">
        <v>75</v>
      </c>
      <c r="H9" s="238" t="s">
        <v>75</v>
      </c>
      <c r="I9" s="238" t="s">
        <v>75</v>
      </c>
      <c r="J9" s="238" t="s">
        <v>75</v>
      </c>
      <c r="K9" s="238" t="s">
        <v>75</v>
      </c>
      <c r="L9" s="238" t="s">
        <v>75</v>
      </c>
      <c r="M9" s="238" t="s">
        <v>75</v>
      </c>
      <c r="N9" s="238" t="s">
        <v>75</v>
      </c>
      <c r="O9" s="238" t="s">
        <v>75</v>
      </c>
      <c r="P9" s="238" t="s">
        <v>75</v>
      </c>
      <c r="Q9" s="238" t="s">
        <v>75</v>
      </c>
      <c r="R9" s="238" t="s">
        <v>75</v>
      </c>
      <c r="S9" s="238" t="s">
        <v>75</v>
      </c>
      <c r="T9" s="238" t="s">
        <v>75</v>
      </c>
    </row>
    <row r="10" spans="1:20" ht="13.25" customHeight="1">
      <c r="A10" s="83"/>
      <c r="B10" s="23" t="s">
        <v>23</v>
      </c>
      <c r="C10" s="238" t="s">
        <v>75</v>
      </c>
      <c r="D10" s="238" t="s">
        <v>75</v>
      </c>
      <c r="E10" s="238" t="s">
        <v>75</v>
      </c>
      <c r="F10" s="238" t="s">
        <v>75</v>
      </c>
      <c r="G10" s="238" t="s">
        <v>75</v>
      </c>
      <c r="H10" s="238" t="s">
        <v>75</v>
      </c>
      <c r="I10" s="238" t="s">
        <v>75</v>
      </c>
      <c r="J10" s="238" t="s">
        <v>75</v>
      </c>
      <c r="K10" s="238" t="s">
        <v>75</v>
      </c>
      <c r="L10" s="238" t="s">
        <v>75</v>
      </c>
      <c r="M10" s="238" t="s">
        <v>75</v>
      </c>
      <c r="N10" s="238" t="s">
        <v>75</v>
      </c>
      <c r="O10" s="238" t="s">
        <v>75</v>
      </c>
      <c r="P10" s="238" t="s">
        <v>75</v>
      </c>
      <c r="Q10" s="238" t="s">
        <v>75</v>
      </c>
      <c r="R10" s="238" t="s">
        <v>75</v>
      </c>
      <c r="S10" s="238" t="s">
        <v>75</v>
      </c>
      <c r="T10" s="238" t="s">
        <v>75</v>
      </c>
    </row>
    <row r="11" spans="1:20" ht="13.25" customHeight="1">
      <c r="A11" s="83"/>
      <c r="B11" s="23" t="s">
        <v>24</v>
      </c>
      <c r="C11" s="238" t="s">
        <v>75</v>
      </c>
      <c r="D11" s="238" t="s">
        <v>75</v>
      </c>
      <c r="E11" s="238" t="s">
        <v>75</v>
      </c>
      <c r="F11" s="238" t="s">
        <v>75</v>
      </c>
      <c r="G11" s="238" t="s">
        <v>75</v>
      </c>
      <c r="H11" s="238" t="s">
        <v>75</v>
      </c>
      <c r="I11" s="238" t="s">
        <v>75</v>
      </c>
      <c r="J11" s="238" t="s">
        <v>75</v>
      </c>
      <c r="K11" s="238" t="s">
        <v>75</v>
      </c>
      <c r="L11" s="238" t="s">
        <v>75</v>
      </c>
      <c r="M11" s="238" t="s">
        <v>75</v>
      </c>
      <c r="N11" s="238" t="s">
        <v>75</v>
      </c>
      <c r="O11" s="238" t="s">
        <v>75</v>
      </c>
      <c r="P11" s="238" t="s">
        <v>75</v>
      </c>
      <c r="Q11" s="238" t="s">
        <v>75</v>
      </c>
      <c r="R11" s="238" t="s">
        <v>75</v>
      </c>
      <c r="S11" s="238" t="s">
        <v>75</v>
      </c>
      <c r="T11" s="238" t="s">
        <v>75</v>
      </c>
    </row>
    <row r="12" spans="1:20" ht="13.25" customHeight="1">
      <c r="A12" s="83"/>
      <c r="B12" s="23" t="s">
        <v>25</v>
      </c>
      <c r="C12" s="238" t="s">
        <v>75</v>
      </c>
      <c r="D12" s="238" t="s">
        <v>75</v>
      </c>
      <c r="E12" s="238" t="s">
        <v>75</v>
      </c>
      <c r="F12" s="238" t="s">
        <v>75</v>
      </c>
      <c r="G12" s="238" t="s">
        <v>75</v>
      </c>
      <c r="H12" s="238" t="s">
        <v>75</v>
      </c>
      <c r="I12" s="238" t="s">
        <v>75</v>
      </c>
      <c r="J12" s="238" t="s">
        <v>75</v>
      </c>
      <c r="K12" s="238" t="s">
        <v>75</v>
      </c>
      <c r="L12" s="238" t="s">
        <v>75</v>
      </c>
      <c r="M12" s="238" t="s">
        <v>75</v>
      </c>
      <c r="N12" s="238" t="s">
        <v>75</v>
      </c>
      <c r="O12" s="238" t="s">
        <v>75</v>
      </c>
      <c r="P12" s="238" t="s">
        <v>75</v>
      </c>
      <c r="Q12" s="238" t="s">
        <v>75</v>
      </c>
      <c r="R12" s="238" t="s">
        <v>75</v>
      </c>
      <c r="S12" s="238" t="s">
        <v>75</v>
      </c>
      <c r="T12" s="238" t="s">
        <v>75</v>
      </c>
    </row>
    <row r="13" spans="1:20" ht="13.25" customHeight="1">
      <c r="A13" s="83"/>
      <c r="B13" s="23" t="s">
        <v>29</v>
      </c>
      <c r="C13" s="238" t="s">
        <v>75</v>
      </c>
      <c r="D13" s="238" t="s">
        <v>75</v>
      </c>
      <c r="E13" s="238" t="s">
        <v>75</v>
      </c>
      <c r="F13" s="238" t="s">
        <v>75</v>
      </c>
      <c r="G13" s="238" t="s">
        <v>75</v>
      </c>
      <c r="H13" s="238" t="s">
        <v>75</v>
      </c>
      <c r="I13" s="238" t="s">
        <v>75</v>
      </c>
      <c r="J13" s="238" t="s">
        <v>75</v>
      </c>
      <c r="K13" s="238" t="s">
        <v>75</v>
      </c>
      <c r="L13" s="238" t="s">
        <v>75</v>
      </c>
      <c r="M13" s="238" t="s">
        <v>75</v>
      </c>
      <c r="N13" s="238" t="s">
        <v>75</v>
      </c>
      <c r="O13" s="238" t="s">
        <v>75</v>
      </c>
      <c r="P13" s="238" t="s">
        <v>75</v>
      </c>
      <c r="Q13" s="238" t="s">
        <v>75</v>
      </c>
      <c r="R13" s="238" t="s">
        <v>75</v>
      </c>
      <c r="S13" s="238" t="s">
        <v>75</v>
      </c>
      <c r="T13" s="238" t="s">
        <v>75</v>
      </c>
    </row>
    <row r="14" spans="1:20" ht="13.25" customHeight="1">
      <c r="A14" s="83"/>
      <c r="B14" s="23" t="s">
        <v>30</v>
      </c>
      <c r="C14" s="238" t="s">
        <v>75</v>
      </c>
      <c r="D14" s="238" t="s">
        <v>75</v>
      </c>
      <c r="E14" s="238" t="s">
        <v>75</v>
      </c>
      <c r="F14" s="238" t="s">
        <v>75</v>
      </c>
      <c r="G14" s="238" t="s">
        <v>75</v>
      </c>
      <c r="H14" s="238" t="s">
        <v>75</v>
      </c>
      <c r="I14" s="238" t="s">
        <v>75</v>
      </c>
      <c r="J14" s="238" t="s">
        <v>75</v>
      </c>
      <c r="K14" s="238" t="s">
        <v>75</v>
      </c>
      <c r="L14" s="238" t="s">
        <v>75</v>
      </c>
      <c r="M14" s="238" t="s">
        <v>75</v>
      </c>
      <c r="N14" s="238" t="s">
        <v>75</v>
      </c>
      <c r="O14" s="238" t="s">
        <v>75</v>
      </c>
      <c r="P14" s="238" t="s">
        <v>75</v>
      </c>
      <c r="Q14" s="238" t="s">
        <v>75</v>
      </c>
      <c r="R14" s="238" t="s">
        <v>75</v>
      </c>
      <c r="S14" s="238" t="s">
        <v>75</v>
      </c>
      <c r="T14" s="238" t="s">
        <v>75</v>
      </c>
    </row>
    <row r="15" spans="1:20" ht="13.25" customHeight="1">
      <c r="A15" s="83"/>
      <c r="B15" s="23" t="s">
        <v>31</v>
      </c>
      <c r="C15" s="238"/>
      <c r="D15" s="238"/>
      <c r="E15" s="238">
        <v>2.4900000000000002</v>
      </c>
      <c r="F15" s="238">
        <v>2.58</v>
      </c>
      <c r="G15" s="238">
        <v>2.65</v>
      </c>
      <c r="H15" s="238">
        <v>2.91</v>
      </c>
      <c r="I15" s="238">
        <v>3.05</v>
      </c>
      <c r="J15" s="238">
        <v>3.28</v>
      </c>
      <c r="K15" s="238">
        <v>3.36</v>
      </c>
      <c r="L15" s="238">
        <v>3.66</v>
      </c>
      <c r="M15" s="238">
        <v>4.03</v>
      </c>
      <c r="N15" s="238">
        <v>4.8099999999999996</v>
      </c>
      <c r="O15" s="238">
        <v>3.72</v>
      </c>
      <c r="P15" s="238">
        <v>3.76</v>
      </c>
      <c r="Q15" s="238">
        <v>3.81</v>
      </c>
      <c r="R15" s="238">
        <v>3.77</v>
      </c>
      <c r="S15" s="238">
        <v>3.64</v>
      </c>
      <c r="T15" s="238">
        <v>3.51</v>
      </c>
    </row>
    <row r="16" spans="1:20" ht="13.25" customHeight="1">
      <c r="A16" s="83"/>
      <c r="B16" s="23" t="s">
        <v>32</v>
      </c>
      <c r="C16" s="238" t="s">
        <v>75</v>
      </c>
      <c r="D16" s="238" t="s">
        <v>75</v>
      </c>
      <c r="E16" s="238" t="s">
        <v>75</v>
      </c>
      <c r="F16" s="238" t="s">
        <v>75</v>
      </c>
      <c r="G16" s="238" t="s">
        <v>75</v>
      </c>
      <c r="H16" s="238" t="s">
        <v>75</v>
      </c>
      <c r="I16" s="238" t="s">
        <v>75</v>
      </c>
      <c r="J16" s="238" t="s">
        <v>75</v>
      </c>
      <c r="K16" s="238" t="s">
        <v>75</v>
      </c>
      <c r="L16" s="238" t="s">
        <v>75</v>
      </c>
      <c r="M16" s="238" t="s">
        <v>75</v>
      </c>
      <c r="N16" s="238" t="s">
        <v>75</v>
      </c>
      <c r="O16" s="238" t="s">
        <v>75</v>
      </c>
      <c r="P16" s="238" t="s">
        <v>75</v>
      </c>
      <c r="Q16" s="238" t="s">
        <v>75</v>
      </c>
      <c r="R16" s="238" t="s">
        <v>75</v>
      </c>
      <c r="S16" s="238" t="s">
        <v>75</v>
      </c>
      <c r="T16" s="238" t="s">
        <v>75</v>
      </c>
    </row>
    <row r="17" spans="1:20" ht="13.25" customHeight="1">
      <c r="A17" s="83"/>
      <c r="B17" s="23" t="s">
        <v>33</v>
      </c>
      <c r="C17" s="238" t="s">
        <v>75</v>
      </c>
      <c r="D17" s="238" t="s">
        <v>75</v>
      </c>
      <c r="E17" s="238" t="s">
        <v>75</v>
      </c>
      <c r="F17" s="238" t="s">
        <v>75</v>
      </c>
      <c r="G17" s="238" t="s">
        <v>75</v>
      </c>
      <c r="H17" s="238" t="s">
        <v>75</v>
      </c>
      <c r="I17" s="238" t="s">
        <v>75</v>
      </c>
      <c r="J17" s="238" t="s">
        <v>75</v>
      </c>
      <c r="K17" s="238">
        <v>3.4</v>
      </c>
      <c r="L17" s="238">
        <v>3.68</v>
      </c>
      <c r="M17" s="238">
        <v>3.95</v>
      </c>
      <c r="N17" s="238">
        <v>3.9</v>
      </c>
      <c r="O17" s="238">
        <v>3.9</v>
      </c>
      <c r="P17" s="238" t="s">
        <v>75</v>
      </c>
      <c r="Q17" s="238" t="s">
        <v>75</v>
      </c>
      <c r="R17" s="238" t="s">
        <v>75</v>
      </c>
      <c r="S17" s="238" t="s">
        <v>75</v>
      </c>
      <c r="T17" s="238" t="s">
        <v>75</v>
      </c>
    </row>
    <row r="18" spans="1:20" ht="13.25" customHeight="1">
      <c r="A18" s="83"/>
      <c r="B18" s="23" t="s">
        <v>34</v>
      </c>
      <c r="C18" s="238" t="s">
        <v>75</v>
      </c>
      <c r="D18" s="238" t="s">
        <v>75</v>
      </c>
      <c r="E18" s="238">
        <v>2.63</v>
      </c>
      <c r="F18" s="238">
        <v>3.01</v>
      </c>
      <c r="G18" s="238">
        <v>2.91</v>
      </c>
      <c r="H18" s="238">
        <v>3.19</v>
      </c>
      <c r="I18" s="238">
        <v>3.64</v>
      </c>
      <c r="J18" s="238">
        <v>3.66</v>
      </c>
      <c r="K18" s="238">
        <v>3.53</v>
      </c>
      <c r="L18" s="238">
        <v>3.91</v>
      </c>
      <c r="M18" s="238">
        <v>4.25</v>
      </c>
      <c r="N18" s="238">
        <v>4.1399999999999997</v>
      </c>
      <c r="O18" s="238">
        <v>3.91</v>
      </c>
      <c r="P18" s="238">
        <v>3.95</v>
      </c>
      <c r="Q18" s="238">
        <v>3.87</v>
      </c>
      <c r="R18" s="238">
        <v>3.8</v>
      </c>
      <c r="S18" s="238">
        <v>3.65</v>
      </c>
      <c r="T18" s="238">
        <v>3.52</v>
      </c>
    </row>
    <row r="19" spans="1:20" ht="13.25" customHeight="1">
      <c r="A19" s="83"/>
      <c r="B19" s="23" t="s">
        <v>35</v>
      </c>
      <c r="C19" s="238" t="s">
        <v>75</v>
      </c>
      <c r="D19" s="238" t="s">
        <v>75</v>
      </c>
      <c r="E19" s="238">
        <v>2.16</v>
      </c>
      <c r="F19" s="238">
        <v>2.4500000000000002</v>
      </c>
      <c r="G19" s="238">
        <v>2.92</v>
      </c>
      <c r="H19" s="238">
        <v>3.16</v>
      </c>
      <c r="I19" s="238">
        <v>3.28</v>
      </c>
      <c r="J19" s="238">
        <v>3.17</v>
      </c>
      <c r="K19" s="238">
        <v>3.35</v>
      </c>
      <c r="L19" s="238">
        <v>3.41</v>
      </c>
      <c r="M19" s="238">
        <v>3.75</v>
      </c>
      <c r="N19" s="238">
        <v>3.84</v>
      </c>
      <c r="O19" s="238">
        <v>3.97</v>
      </c>
      <c r="P19" s="238">
        <v>3.97</v>
      </c>
      <c r="Q19" s="238">
        <v>3.9</v>
      </c>
      <c r="R19" s="238">
        <v>3.82</v>
      </c>
      <c r="S19" s="238">
        <v>3.67</v>
      </c>
      <c r="T19" s="238">
        <v>3.58</v>
      </c>
    </row>
    <row r="20" spans="1:20" ht="13.25" customHeight="1">
      <c r="A20" s="83"/>
      <c r="B20" s="23" t="s">
        <v>36</v>
      </c>
      <c r="C20" s="238" t="s">
        <v>75</v>
      </c>
      <c r="D20" s="238" t="s">
        <v>75</v>
      </c>
      <c r="E20" s="238">
        <v>2.2599999999999998</v>
      </c>
      <c r="F20" s="238">
        <v>2.66</v>
      </c>
      <c r="G20" s="238">
        <v>2.87</v>
      </c>
      <c r="H20" s="238">
        <v>3.1</v>
      </c>
      <c r="I20" s="238">
        <v>3.29</v>
      </c>
      <c r="J20" s="238">
        <v>3.51</v>
      </c>
      <c r="K20" s="238">
        <v>3.49</v>
      </c>
      <c r="L20" s="238">
        <v>3.7</v>
      </c>
      <c r="M20" s="238">
        <v>4.37</v>
      </c>
      <c r="N20" s="238">
        <v>4.24</v>
      </c>
      <c r="O20" s="238">
        <v>4.04</v>
      </c>
      <c r="P20" s="238">
        <v>3.99</v>
      </c>
      <c r="Q20" s="238">
        <v>3.92</v>
      </c>
      <c r="R20" s="238">
        <v>3.75</v>
      </c>
      <c r="S20" s="238">
        <v>3.55</v>
      </c>
      <c r="T20" s="238">
        <v>3.42</v>
      </c>
    </row>
    <row r="21" spans="1:20" ht="13.25" customHeight="1">
      <c r="A21" s="83"/>
      <c r="B21" s="23" t="s">
        <v>37</v>
      </c>
      <c r="C21" s="238" t="s">
        <v>75</v>
      </c>
      <c r="D21" s="238" t="s">
        <v>75</v>
      </c>
      <c r="E21" s="238">
        <v>1.55</v>
      </c>
      <c r="F21" s="238">
        <v>2.72</v>
      </c>
      <c r="G21" s="238">
        <v>2.66</v>
      </c>
      <c r="H21" s="238">
        <v>2.94</v>
      </c>
      <c r="I21" s="238">
        <v>3.32</v>
      </c>
      <c r="J21" s="238">
        <v>3.58</v>
      </c>
      <c r="K21" s="238">
        <v>3.87</v>
      </c>
      <c r="L21" s="238">
        <v>4.25</v>
      </c>
      <c r="M21" s="238">
        <v>4.25</v>
      </c>
      <c r="N21" s="238">
        <v>4.54</v>
      </c>
      <c r="O21" s="238">
        <v>4.41</v>
      </c>
      <c r="P21" s="238">
        <v>4.55</v>
      </c>
      <c r="Q21" s="238">
        <v>4.5599999999999996</v>
      </c>
      <c r="R21" s="238">
        <v>3.65</v>
      </c>
      <c r="S21" s="238">
        <v>3.51</v>
      </c>
      <c r="T21" s="238">
        <v>3.59</v>
      </c>
    </row>
    <row r="22" spans="1:20" ht="13.25" customHeight="1">
      <c r="A22" s="83"/>
      <c r="B22" s="23" t="s">
        <v>38</v>
      </c>
      <c r="C22" s="238" t="s">
        <v>75</v>
      </c>
      <c r="D22" s="238" t="s">
        <v>75</v>
      </c>
      <c r="E22" s="238">
        <v>2.19</v>
      </c>
      <c r="F22" s="238">
        <v>2.41</v>
      </c>
      <c r="G22" s="238">
        <v>2.4500000000000002</v>
      </c>
      <c r="H22" s="238">
        <v>2.69</v>
      </c>
      <c r="I22" s="238">
        <v>3.01</v>
      </c>
      <c r="J22" s="238">
        <v>3.2</v>
      </c>
      <c r="K22" s="238">
        <v>3.4</v>
      </c>
      <c r="L22" s="238">
        <v>3.59</v>
      </c>
      <c r="M22" s="238">
        <v>3.69</v>
      </c>
      <c r="N22" s="238">
        <v>3.89</v>
      </c>
      <c r="O22" s="238">
        <v>3.91</v>
      </c>
      <c r="P22" s="238">
        <v>4.07</v>
      </c>
      <c r="Q22" s="238">
        <v>4.12</v>
      </c>
      <c r="R22" s="238">
        <v>4.0599999999999996</v>
      </c>
      <c r="S22" s="238">
        <v>3.78</v>
      </c>
      <c r="T22" s="238">
        <v>3.46</v>
      </c>
    </row>
    <row r="23" spans="1:20" ht="13.25" customHeight="1">
      <c r="A23" s="83"/>
      <c r="B23" s="23" t="s">
        <v>39</v>
      </c>
      <c r="C23" s="238" t="s">
        <v>75</v>
      </c>
      <c r="D23" s="238" t="s">
        <v>75</v>
      </c>
      <c r="E23" s="238">
        <v>2.2400000000000002</v>
      </c>
      <c r="F23" s="238">
        <v>2.4900000000000002</v>
      </c>
      <c r="G23" s="238">
        <v>2.5099999999999998</v>
      </c>
      <c r="H23" s="238">
        <v>2.87</v>
      </c>
      <c r="I23" s="238">
        <v>3.01</v>
      </c>
      <c r="J23" s="238">
        <v>3.38</v>
      </c>
      <c r="K23" s="238">
        <v>3.52</v>
      </c>
      <c r="L23" s="238">
        <v>3.75</v>
      </c>
      <c r="M23" s="238">
        <v>3.82</v>
      </c>
      <c r="N23" s="238">
        <v>3.98</v>
      </c>
      <c r="O23" s="238">
        <v>4.03</v>
      </c>
      <c r="P23" s="238">
        <v>4.16</v>
      </c>
      <c r="Q23" s="238">
        <v>4.17</v>
      </c>
      <c r="R23" s="238">
        <v>4.13</v>
      </c>
      <c r="S23" s="238">
        <v>3.95</v>
      </c>
      <c r="T23" s="238">
        <v>3.78</v>
      </c>
    </row>
    <row r="24" spans="1:20" ht="13.25" customHeight="1">
      <c r="A24" s="83"/>
      <c r="B24" s="23" t="s">
        <v>40</v>
      </c>
      <c r="C24" s="238" t="s">
        <v>75</v>
      </c>
      <c r="D24" s="238" t="s">
        <v>75</v>
      </c>
      <c r="E24" s="238">
        <v>2.2999999999999998</v>
      </c>
      <c r="F24" s="238">
        <v>2.63</v>
      </c>
      <c r="G24" s="238">
        <v>2.92</v>
      </c>
      <c r="H24" s="238">
        <v>3.21</v>
      </c>
      <c r="I24" s="238">
        <v>3.32</v>
      </c>
      <c r="J24" s="238">
        <v>3.54</v>
      </c>
      <c r="K24" s="238">
        <v>3.77</v>
      </c>
      <c r="L24" s="238">
        <v>3.76</v>
      </c>
      <c r="M24" s="238">
        <v>4.29</v>
      </c>
      <c r="N24" s="238">
        <v>4.2</v>
      </c>
      <c r="O24" s="238">
        <v>4.08</v>
      </c>
      <c r="P24" s="238">
        <v>4.18</v>
      </c>
      <c r="Q24" s="238">
        <v>4.1900000000000004</v>
      </c>
      <c r="R24" s="238">
        <v>4.0999999999999996</v>
      </c>
      <c r="S24" s="238">
        <v>3.91</v>
      </c>
      <c r="T24" s="238">
        <v>3.74</v>
      </c>
    </row>
    <row r="25" spans="1:20" ht="13.25" customHeight="1">
      <c r="A25" s="83"/>
      <c r="B25" s="82" t="s">
        <v>41</v>
      </c>
      <c r="C25" s="238" t="s">
        <v>75</v>
      </c>
      <c r="D25" s="238" t="s">
        <v>75</v>
      </c>
      <c r="E25" s="238">
        <v>2.25</v>
      </c>
      <c r="F25" s="238">
        <v>2.23</v>
      </c>
      <c r="G25" s="238">
        <v>2.31</v>
      </c>
      <c r="H25" s="238">
        <v>2.69</v>
      </c>
      <c r="I25" s="238">
        <v>3.54</v>
      </c>
      <c r="J25" s="238">
        <v>3.83</v>
      </c>
      <c r="K25" s="238">
        <v>3.59</v>
      </c>
      <c r="L25" s="238">
        <v>3.48</v>
      </c>
      <c r="M25" s="238">
        <v>3.54</v>
      </c>
      <c r="N25" s="238">
        <v>3.71</v>
      </c>
      <c r="O25" s="238">
        <v>3.6</v>
      </c>
      <c r="P25" s="238">
        <v>3.77</v>
      </c>
      <c r="Q25" s="238">
        <v>3.78</v>
      </c>
      <c r="R25" s="238">
        <v>3.74</v>
      </c>
      <c r="S25" s="238">
        <v>3.64</v>
      </c>
      <c r="T25" s="238">
        <v>3.55</v>
      </c>
    </row>
    <row r="26" spans="1:20" ht="13.25" customHeight="1">
      <c r="A26" s="83"/>
      <c r="B26" s="23" t="s">
        <v>44</v>
      </c>
      <c r="C26" s="238" t="s">
        <v>75</v>
      </c>
      <c r="D26" s="238" t="s">
        <v>75</v>
      </c>
      <c r="E26" s="238">
        <v>2.77</v>
      </c>
      <c r="F26" s="238">
        <v>2.81</v>
      </c>
      <c r="G26" s="238">
        <v>2.87</v>
      </c>
      <c r="H26" s="238">
        <v>2.57</v>
      </c>
      <c r="I26" s="238">
        <v>3.1</v>
      </c>
      <c r="J26" s="238">
        <v>3.28</v>
      </c>
      <c r="K26" s="238">
        <v>3.5</v>
      </c>
      <c r="L26" s="238">
        <v>3.6</v>
      </c>
      <c r="M26" s="238">
        <v>3.82</v>
      </c>
      <c r="N26" s="238">
        <v>3.92</v>
      </c>
      <c r="O26" s="238">
        <v>4.03</v>
      </c>
      <c r="P26" s="238">
        <v>3.83</v>
      </c>
      <c r="Q26" s="238">
        <v>3.96</v>
      </c>
      <c r="R26" s="238">
        <v>3.97</v>
      </c>
      <c r="S26" s="238">
        <v>3.94</v>
      </c>
      <c r="T26" s="238">
        <v>3.91</v>
      </c>
    </row>
    <row r="27" spans="1:20" ht="13.25" customHeight="1">
      <c r="A27" s="83"/>
      <c r="B27" s="82" t="s">
        <v>45</v>
      </c>
      <c r="C27" s="238" t="s">
        <v>75</v>
      </c>
      <c r="D27" s="238" t="s">
        <v>75</v>
      </c>
      <c r="E27" s="238">
        <v>2.42</v>
      </c>
      <c r="F27" s="238">
        <v>2.81</v>
      </c>
      <c r="G27" s="238">
        <v>3.1</v>
      </c>
      <c r="H27" s="238">
        <v>3.24</v>
      </c>
      <c r="I27" s="238">
        <v>3.61</v>
      </c>
      <c r="J27" s="238">
        <v>3.87</v>
      </c>
      <c r="K27" s="238">
        <v>4.3099999999999996</v>
      </c>
      <c r="L27" s="238">
        <v>5.0199999999999996</v>
      </c>
      <c r="M27" s="238">
        <v>4.22</v>
      </c>
      <c r="N27" s="238">
        <v>4.7</v>
      </c>
      <c r="O27" s="238">
        <v>4.63</v>
      </c>
      <c r="P27" s="238">
        <v>4.68</v>
      </c>
      <c r="Q27" s="238">
        <v>4.6100000000000003</v>
      </c>
      <c r="R27" s="238">
        <v>4.5199999999999996</v>
      </c>
      <c r="S27" s="238">
        <v>4.33</v>
      </c>
      <c r="T27" s="238">
        <v>4.17</v>
      </c>
    </row>
    <row r="28" spans="1:20" ht="13.25" customHeight="1">
      <c r="A28" s="34"/>
      <c r="B28" s="23" t="s">
        <v>46</v>
      </c>
      <c r="C28" s="238" t="s">
        <v>75</v>
      </c>
      <c r="D28" s="238" t="s">
        <v>75</v>
      </c>
      <c r="E28" s="238" t="s">
        <v>75</v>
      </c>
      <c r="F28" s="238" t="s">
        <v>75</v>
      </c>
      <c r="G28" s="238" t="s">
        <v>75</v>
      </c>
      <c r="H28" s="238" t="s">
        <v>75</v>
      </c>
      <c r="I28" s="238" t="s">
        <v>75</v>
      </c>
      <c r="J28" s="238" t="s">
        <v>75</v>
      </c>
      <c r="K28" s="238" t="s">
        <v>75</v>
      </c>
      <c r="L28" s="238" t="s">
        <v>75</v>
      </c>
      <c r="M28" s="238" t="s">
        <v>75</v>
      </c>
      <c r="N28" s="238" t="s">
        <v>75</v>
      </c>
      <c r="O28" s="238" t="s">
        <v>75</v>
      </c>
      <c r="P28" s="238" t="s">
        <v>75</v>
      </c>
      <c r="Q28" s="238" t="s">
        <v>75</v>
      </c>
      <c r="R28" s="238" t="s">
        <v>75</v>
      </c>
      <c r="S28" s="238" t="s">
        <v>75</v>
      </c>
      <c r="T28" s="238" t="s">
        <v>75</v>
      </c>
    </row>
    <row r="29" spans="1:20" ht="13.25" customHeight="1">
      <c r="A29" s="35"/>
      <c r="B29" s="35" t="s">
        <v>47</v>
      </c>
      <c r="C29" s="238" t="s">
        <v>75</v>
      </c>
      <c r="D29" s="238" t="s">
        <v>75</v>
      </c>
      <c r="E29" s="238" t="s">
        <v>75</v>
      </c>
      <c r="F29" s="238" t="s">
        <v>75</v>
      </c>
      <c r="G29" s="238" t="s">
        <v>75</v>
      </c>
      <c r="H29" s="238" t="s">
        <v>75</v>
      </c>
      <c r="I29" s="238" t="s">
        <v>75</v>
      </c>
      <c r="J29" s="238" t="s">
        <v>75</v>
      </c>
      <c r="K29" s="238" t="s">
        <v>75</v>
      </c>
      <c r="L29" s="238" t="s">
        <v>75</v>
      </c>
      <c r="M29" s="238" t="s">
        <v>75</v>
      </c>
      <c r="N29" s="238" t="s">
        <v>75</v>
      </c>
      <c r="O29" s="238" t="s">
        <v>75</v>
      </c>
      <c r="P29" s="238" t="s">
        <v>75</v>
      </c>
      <c r="Q29" s="238" t="s">
        <v>75</v>
      </c>
      <c r="R29" s="238" t="s">
        <v>75</v>
      </c>
      <c r="S29" s="238" t="s">
        <v>75</v>
      </c>
      <c r="T29" s="238" t="s">
        <v>75</v>
      </c>
    </row>
    <row r="30" spans="1:20" ht="13.25" customHeight="1">
      <c r="A30" s="42"/>
      <c r="B30" s="42" t="s">
        <v>48</v>
      </c>
      <c r="C30" s="238" t="s">
        <v>75</v>
      </c>
      <c r="D30" s="238" t="s">
        <v>75</v>
      </c>
      <c r="E30" s="238" t="s">
        <v>75</v>
      </c>
      <c r="F30" s="238" t="s">
        <v>75</v>
      </c>
      <c r="G30" s="238" t="s">
        <v>75</v>
      </c>
      <c r="H30" s="238" t="s">
        <v>75</v>
      </c>
      <c r="I30" s="238" t="s">
        <v>75</v>
      </c>
      <c r="J30" s="238" t="s">
        <v>75</v>
      </c>
      <c r="K30" s="238" t="s">
        <v>75</v>
      </c>
      <c r="L30" s="238" t="s">
        <v>75</v>
      </c>
      <c r="M30" s="238" t="s">
        <v>75</v>
      </c>
      <c r="N30" s="238" t="s">
        <v>75</v>
      </c>
      <c r="O30" s="238" t="s">
        <v>75</v>
      </c>
      <c r="P30" s="238" t="s">
        <v>75</v>
      </c>
      <c r="Q30" s="238" t="s">
        <v>75</v>
      </c>
      <c r="R30" s="238" t="s">
        <v>75</v>
      </c>
      <c r="S30" s="238" t="s">
        <v>75</v>
      </c>
      <c r="T30" s="238" t="s">
        <v>75</v>
      </c>
    </row>
    <row r="31" spans="1:20" ht="13.25" customHeight="1" thickBot="1">
      <c r="A31" s="39"/>
      <c r="B31" s="575" t="s">
        <v>49</v>
      </c>
      <c r="C31" s="576" t="s">
        <v>75</v>
      </c>
      <c r="D31" s="576" t="s">
        <v>75</v>
      </c>
      <c r="E31" s="576" t="s">
        <v>75</v>
      </c>
      <c r="F31" s="576" t="s">
        <v>75</v>
      </c>
      <c r="G31" s="576" t="s">
        <v>75</v>
      </c>
      <c r="H31" s="576" t="s">
        <v>75</v>
      </c>
      <c r="I31" s="576" t="s">
        <v>75</v>
      </c>
      <c r="J31" s="576" t="s">
        <v>75</v>
      </c>
      <c r="K31" s="576" t="s">
        <v>75</v>
      </c>
      <c r="L31" s="576" t="s">
        <v>75</v>
      </c>
      <c r="M31" s="576" t="s">
        <v>75</v>
      </c>
      <c r="N31" s="576" t="s">
        <v>75</v>
      </c>
      <c r="O31" s="576" t="s">
        <v>75</v>
      </c>
      <c r="P31" s="576" t="s">
        <v>75</v>
      </c>
      <c r="Q31" s="576" t="s">
        <v>75</v>
      </c>
      <c r="R31" s="576" t="s">
        <v>75</v>
      </c>
      <c r="S31" s="576" t="s">
        <v>75</v>
      </c>
      <c r="T31" s="576" t="s">
        <v>75</v>
      </c>
    </row>
    <row r="32" spans="1:20" ht="9" customHeight="1">
      <c r="A32" s="778" t="s">
        <v>402</v>
      </c>
      <c r="B32" s="780"/>
      <c r="C32" s="805"/>
      <c r="D32" s="805"/>
      <c r="E32" s="805"/>
      <c r="F32" s="805"/>
      <c r="G32" s="805"/>
      <c r="H32" s="882" t="s">
        <v>425</v>
      </c>
      <c r="I32" s="805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</row>
    <row r="33" spans="1:20" ht="9" customHeight="1">
      <c r="A33" s="778" t="s">
        <v>359</v>
      </c>
      <c r="B33" s="780"/>
      <c r="C33" s="805"/>
      <c r="D33" s="805"/>
      <c r="E33" s="805"/>
      <c r="F33" s="805"/>
      <c r="G33" s="805"/>
      <c r="H33" s="805"/>
      <c r="I33" s="805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5"/>
      <c r="D34" s="805"/>
      <c r="E34" s="805"/>
      <c r="F34" s="805"/>
      <c r="G34" s="805"/>
      <c r="H34" s="805"/>
      <c r="I34" s="805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8">
    <tabColor theme="9" tint="0.59999389629810485"/>
  </sheetPr>
  <dimension ref="A2:V36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5" width="8.19921875" style="82" customWidth="1"/>
    <col min="26" max="16384" width="7" style="82"/>
  </cols>
  <sheetData>
    <row r="2" spans="1:22" ht="13.25" customHeight="1">
      <c r="A2" s="230" t="s">
        <v>520</v>
      </c>
      <c r="B2" s="231"/>
    </row>
    <row r="3" spans="1:22" ht="13.25" customHeight="1">
      <c r="A3" s="232" t="s">
        <v>238</v>
      </c>
      <c r="B3" s="232"/>
    </row>
    <row r="4" spans="1:22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2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490</v>
      </c>
    </row>
    <row r="6" spans="1:22" ht="15" customHeight="1">
      <c r="A6" s="963" t="s">
        <v>96</v>
      </c>
      <c r="B6" s="963"/>
      <c r="C6" s="573">
        <f>(C8+C9+C10+C11+C12+C13+C14+C15+C16+C17+C18+C19+C20+C21+C22+C23+C24+C25+C26+C27+C28+C29+C30+C31)</f>
        <v>388716</v>
      </c>
      <c r="D6" s="573">
        <f>(D8+D9+D10+D11+D12+D13+D14+D15+D16+D17+D18+D19+D20+D21+D22+D23+D24+D25+D26+D27+D28+D29+D30+D31)</f>
        <v>400609</v>
      </c>
      <c r="E6" s="574">
        <v>452090</v>
      </c>
      <c r="F6" s="574">
        <v>444255</v>
      </c>
      <c r="G6" s="574">
        <v>447983</v>
      </c>
      <c r="H6" s="574">
        <v>403510</v>
      </c>
      <c r="I6" s="574">
        <v>434702</v>
      </c>
      <c r="J6" s="574">
        <v>449117</v>
      </c>
      <c r="K6" s="574">
        <v>415602</v>
      </c>
      <c r="L6" s="574">
        <v>485141</v>
      </c>
      <c r="M6" s="574">
        <v>365636</v>
      </c>
      <c r="N6" s="574">
        <v>374408</v>
      </c>
      <c r="O6" s="574">
        <v>373971</v>
      </c>
      <c r="P6" s="574">
        <v>356929</v>
      </c>
      <c r="Q6" s="574">
        <f>SUM(Q8:Q31)</f>
        <v>340347</v>
      </c>
      <c r="R6" s="574">
        <f>SUM(R8:R31)</f>
        <v>331804.37</v>
      </c>
      <c r="S6" s="574">
        <f>SUM(S8:S31)</f>
        <v>338242.3</v>
      </c>
      <c r="T6" s="574">
        <f>SUM(T8:T31)</f>
        <v>347563.8</v>
      </c>
    </row>
    <row r="7" spans="1:22" ht="3" customHeight="1">
      <c r="A7" s="83"/>
      <c r="B7" s="84"/>
      <c r="C7" s="233"/>
      <c r="D7" s="23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2" ht="13.25" customHeight="1">
      <c r="A8" s="83"/>
      <c r="B8" s="23" t="s">
        <v>21</v>
      </c>
      <c r="C8" s="239">
        <v>0</v>
      </c>
      <c r="D8" s="239">
        <v>0</v>
      </c>
      <c r="E8" s="224" t="s">
        <v>242</v>
      </c>
      <c r="F8" s="224" t="s">
        <v>242</v>
      </c>
      <c r="G8" s="224" t="s">
        <v>242</v>
      </c>
      <c r="H8" s="224" t="s">
        <v>242</v>
      </c>
      <c r="I8" s="224" t="s">
        <v>242</v>
      </c>
      <c r="J8" s="224" t="s">
        <v>242</v>
      </c>
      <c r="K8" s="224" t="s">
        <v>242</v>
      </c>
      <c r="L8" s="224" t="s">
        <v>242</v>
      </c>
      <c r="M8" s="224" t="s">
        <v>242</v>
      </c>
      <c r="N8" s="224" t="s">
        <v>242</v>
      </c>
      <c r="O8" s="224" t="s">
        <v>242</v>
      </c>
      <c r="P8" s="224" t="s">
        <v>242</v>
      </c>
      <c r="Q8" s="224" t="s">
        <v>242</v>
      </c>
      <c r="R8" s="224" t="s">
        <v>242</v>
      </c>
      <c r="S8" s="224" t="s">
        <v>242</v>
      </c>
      <c r="T8" s="224" t="s">
        <v>242</v>
      </c>
    </row>
    <row r="9" spans="1:22" ht="13.25" customHeight="1">
      <c r="A9" s="83"/>
      <c r="B9" s="23" t="s">
        <v>22</v>
      </c>
      <c r="C9" s="239">
        <v>0</v>
      </c>
      <c r="D9" s="239">
        <v>0</v>
      </c>
      <c r="E9" s="224" t="s">
        <v>242</v>
      </c>
      <c r="F9" s="224" t="s">
        <v>242</v>
      </c>
      <c r="G9" s="224" t="s">
        <v>242</v>
      </c>
      <c r="H9" s="224" t="s">
        <v>242</v>
      </c>
      <c r="I9" s="224" t="s">
        <v>242</v>
      </c>
      <c r="J9" s="224" t="s">
        <v>242</v>
      </c>
      <c r="K9" s="224" t="s">
        <v>242</v>
      </c>
      <c r="L9" s="224" t="s">
        <v>242</v>
      </c>
      <c r="M9" s="224" t="s">
        <v>242</v>
      </c>
      <c r="N9" s="224" t="s">
        <v>242</v>
      </c>
      <c r="O9" s="224" t="s">
        <v>242</v>
      </c>
      <c r="P9" s="224" t="s">
        <v>242</v>
      </c>
      <c r="Q9" s="224" t="s">
        <v>242</v>
      </c>
      <c r="R9" s="224" t="s">
        <v>242</v>
      </c>
      <c r="S9" s="224" t="s">
        <v>242</v>
      </c>
      <c r="T9" s="224" t="s">
        <v>242</v>
      </c>
      <c r="V9" s="90"/>
    </row>
    <row r="10" spans="1:22" ht="13.25" customHeight="1">
      <c r="A10" s="83"/>
      <c r="B10" s="23" t="s">
        <v>23</v>
      </c>
      <c r="C10" s="239">
        <v>0</v>
      </c>
      <c r="D10" s="239">
        <v>0</v>
      </c>
      <c r="E10" s="224" t="s">
        <v>242</v>
      </c>
      <c r="F10" s="224" t="s">
        <v>242</v>
      </c>
      <c r="G10" s="224" t="s">
        <v>242</v>
      </c>
      <c r="H10" s="224" t="s">
        <v>242</v>
      </c>
      <c r="I10" s="224" t="s">
        <v>242</v>
      </c>
      <c r="J10" s="224" t="s">
        <v>242</v>
      </c>
      <c r="K10" s="224" t="s">
        <v>242</v>
      </c>
      <c r="L10" s="224" t="s">
        <v>242</v>
      </c>
      <c r="M10" s="224" t="s">
        <v>242</v>
      </c>
      <c r="N10" s="224" t="s">
        <v>242</v>
      </c>
      <c r="O10" s="224" t="s">
        <v>242</v>
      </c>
      <c r="P10" s="224" t="s">
        <v>242</v>
      </c>
      <c r="Q10" s="224" t="s">
        <v>242</v>
      </c>
      <c r="R10" s="224" t="s">
        <v>242</v>
      </c>
      <c r="S10" s="224" t="s">
        <v>242</v>
      </c>
      <c r="T10" s="224" t="s">
        <v>242</v>
      </c>
      <c r="V10" s="90"/>
    </row>
    <row r="11" spans="1:22" ht="13.25" customHeight="1">
      <c r="A11" s="83"/>
      <c r="B11" s="23" t="s">
        <v>24</v>
      </c>
      <c r="C11" s="239">
        <v>0</v>
      </c>
      <c r="D11" s="239">
        <v>0</v>
      </c>
      <c r="E11" s="224" t="s">
        <v>242</v>
      </c>
      <c r="F11" s="224" t="s">
        <v>242</v>
      </c>
      <c r="G11" s="224" t="s">
        <v>242</v>
      </c>
      <c r="H11" s="224" t="s">
        <v>242</v>
      </c>
      <c r="I11" s="224" t="s">
        <v>242</v>
      </c>
      <c r="J11" s="224" t="s">
        <v>242</v>
      </c>
      <c r="K11" s="224" t="s">
        <v>242</v>
      </c>
      <c r="L11" s="224" t="s">
        <v>242</v>
      </c>
      <c r="M11" s="224" t="s">
        <v>242</v>
      </c>
      <c r="N11" s="224" t="s">
        <v>242</v>
      </c>
      <c r="O11" s="224" t="s">
        <v>242</v>
      </c>
      <c r="P11" s="224" t="s">
        <v>242</v>
      </c>
      <c r="Q11" s="224" t="s">
        <v>242</v>
      </c>
      <c r="R11" s="224" t="s">
        <v>242</v>
      </c>
      <c r="S11" s="224" t="s">
        <v>242</v>
      </c>
      <c r="T11" s="224" t="s">
        <v>242</v>
      </c>
      <c r="V11" s="90"/>
    </row>
    <row r="12" spans="1:22" ht="13.25" customHeight="1">
      <c r="A12" s="83"/>
      <c r="B12" s="23" t="s">
        <v>25</v>
      </c>
      <c r="C12" s="239">
        <v>0</v>
      </c>
      <c r="D12" s="239">
        <v>0</v>
      </c>
      <c r="E12" s="224" t="s">
        <v>242</v>
      </c>
      <c r="F12" s="224" t="s">
        <v>242</v>
      </c>
      <c r="G12" s="224" t="s">
        <v>242</v>
      </c>
      <c r="H12" s="224" t="s">
        <v>242</v>
      </c>
      <c r="I12" s="224" t="s">
        <v>242</v>
      </c>
      <c r="J12" s="224" t="s">
        <v>242</v>
      </c>
      <c r="K12" s="224" t="s">
        <v>242</v>
      </c>
      <c r="L12" s="224" t="s">
        <v>242</v>
      </c>
      <c r="M12" s="224" t="s">
        <v>242</v>
      </c>
      <c r="N12" s="224" t="s">
        <v>242</v>
      </c>
      <c r="O12" s="224" t="s">
        <v>242</v>
      </c>
      <c r="P12" s="224" t="s">
        <v>242</v>
      </c>
      <c r="Q12" s="224" t="s">
        <v>242</v>
      </c>
      <c r="R12" s="224" t="s">
        <v>242</v>
      </c>
      <c r="S12" s="224" t="s">
        <v>242</v>
      </c>
      <c r="T12" s="224" t="s">
        <v>242</v>
      </c>
      <c r="V12" s="90"/>
    </row>
    <row r="13" spans="1:22" ht="13.25" customHeight="1">
      <c r="A13" s="83"/>
      <c r="B13" s="23" t="s">
        <v>29</v>
      </c>
      <c r="C13" s="239">
        <v>0</v>
      </c>
      <c r="D13" s="239">
        <v>0</v>
      </c>
      <c r="E13" s="224" t="s">
        <v>242</v>
      </c>
      <c r="F13" s="224" t="s">
        <v>242</v>
      </c>
      <c r="G13" s="224" t="s">
        <v>242</v>
      </c>
      <c r="H13" s="224" t="s">
        <v>242</v>
      </c>
      <c r="I13" s="224" t="s">
        <v>242</v>
      </c>
      <c r="J13" s="224" t="s">
        <v>242</v>
      </c>
      <c r="K13" s="224" t="s">
        <v>242</v>
      </c>
      <c r="L13" s="224" t="s">
        <v>242</v>
      </c>
      <c r="M13" s="224" t="s">
        <v>242</v>
      </c>
      <c r="N13" s="224" t="s">
        <v>242</v>
      </c>
      <c r="O13" s="224" t="s">
        <v>242</v>
      </c>
      <c r="P13" s="224" t="s">
        <v>242</v>
      </c>
      <c r="Q13" s="224" t="s">
        <v>242</v>
      </c>
      <c r="R13" s="224" t="s">
        <v>242</v>
      </c>
      <c r="S13" s="224" t="s">
        <v>242</v>
      </c>
      <c r="T13" s="224" t="s">
        <v>242</v>
      </c>
      <c r="V13" s="90"/>
    </row>
    <row r="14" spans="1:22" ht="13.25" customHeight="1">
      <c r="A14" s="83"/>
      <c r="B14" s="23" t="s">
        <v>30</v>
      </c>
      <c r="C14" s="239">
        <v>0</v>
      </c>
      <c r="D14" s="239">
        <v>0</v>
      </c>
      <c r="E14" s="224" t="s">
        <v>242</v>
      </c>
      <c r="F14" s="224" t="s">
        <v>242</v>
      </c>
      <c r="G14" s="224" t="s">
        <v>242</v>
      </c>
      <c r="H14" s="224" t="s">
        <v>242</v>
      </c>
      <c r="I14" s="224" t="s">
        <v>242</v>
      </c>
      <c r="J14" s="224" t="s">
        <v>242</v>
      </c>
      <c r="K14" s="224" t="s">
        <v>242</v>
      </c>
      <c r="L14" s="224" t="s">
        <v>242</v>
      </c>
      <c r="M14" s="224" t="s">
        <v>242</v>
      </c>
      <c r="N14" s="224" t="s">
        <v>242</v>
      </c>
      <c r="O14" s="224" t="s">
        <v>242</v>
      </c>
      <c r="P14" s="224" t="s">
        <v>242</v>
      </c>
      <c r="Q14" s="224" t="s">
        <v>242</v>
      </c>
      <c r="R14" s="224" t="s">
        <v>242</v>
      </c>
      <c r="S14" s="224" t="s">
        <v>242</v>
      </c>
      <c r="T14" s="224" t="s">
        <v>242</v>
      </c>
      <c r="V14" s="90"/>
    </row>
    <row r="15" spans="1:22" ht="13.25" customHeight="1">
      <c r="A15" s="83"/>
      <c r="B15" s="23" t="s">
        <v>31</v>
      </c>
      <c r="C15" s="239">
        <v>0</v>
      </c>
      <c r="D15" s="239">
        <v>200</v>
      </c>
      <c r="E15" s="224">
        <v>1610</v>
      </c>
      <c r="F15" s="224">
        <v>1690</v>
      </c>
      <c r="G15" s="224">
        <v>1170</v>
      </c>
      <c r="H15" s="224">
        <v>905</v>
      </c>
      <c r="I15" s="224">
        <v>343</v>
      </c>
      <c r="J15" s="224">
        <v>844</v>
      </c>
      <c r="K15" s="224">
        <v>599</v>
      </c>
      <c r="L15" s="224">
        <v>588</v>
      </c>
      <c r="M15" s="224">
        <v>720</v>
      </c>
      <c r="N15" s="224">
        <v>595</v>
      </c>
      <c r="O15" s="224">
        <v>634</v>
      </c>
      <c r="P15" s="224">
        <v>837</v>
      </c>
      <c r="Q15" s="224">
        <v>1325</v>
      </c>
      <c r="R15" s="224">
        <v>1792</v>
      </c>
      <c r="S15" s="224">
        <v>1915</v>
      </c>
      <c r="T15" s="224">
        <v>1633</v>
      </c>
      <c r="V15" s="90"/>
    </row>
    <row r="16" spans="1:22" ht="13.25" customHeight="1">
      <c r="A16" s="83"/>
      <c r="B16" s="23" t="s">
        <v>32</v>
      </c>
      <c r="C16" s="239">
        <v>0</v>
      </c>
      <c r="D16" s="239">
        <v>0</v>
      </c>
      <c r="E16" s="224" t="s">
        <v>242</v>
      </c>
      <c r="F16" s="224" t="s">
        <v>242</v>
      </c>
      <c r="G16" s="224" t="s">
        <v>242</v>
      </c>
      <c r="H16" s="224" t="s">
        <v>242</v>
      </c>
      <c r="I16" s="224" t="s">
        <v>242</v>
      </c>
      <c r="J16" s="224" t="s">
        <v>242</v>
      </c>
      <c r="K16" s="224" t="s">
        <v>242</v>
      </c>
      <c r="L16" s="224" t="s">
        <v>242</v>
      </c>
      <c r="M16" s="224" t="s">
        <v>242</v>
      </c>
      <c r="N16" s="224" t="s">
        <v>242</v>
      </c>
      <c r="O16" s="224" t="s">
        <v>242</v>
      </c>
      <c r="P16" s="224" t="s">
        <v>242</v>
      </c>
      <c r="Q16" s="224" t="s">
        <v>242</v>
      </c>
      <c r="R16" s="224" t="s">
        <v>242</v>
      </c>
      <c r="S16" s="224" t="s">
        <v>242</v>
      </c>
      <c r="T16" s="224" t="s">
        <v>242</v>
      </c>
      <c r="V16" s="90"/>
    </row>
    <row r="17" spans="1:22" ht="13.25" customHeight="1">
      <c r="A17" s="83"/>
      <c r="B17" s="23" t="s">
        <v>33</v>
      </c>
      <c r="C17" s="239">
        <v>0</v>
      </c>
      <c r="D17" s="239">
        <v>0</v>
      </c>
      <c r="E17" s="224" t="s">
        <v>242</v>
      </c>
      <c r="F17" s="224" t="s">
        <v>242</v>
      </c>
      <c r="G17" s="224" t="s">
        <v>242</v>
      </c>
      <c r="H17" s="224" t="s">
        <v>242</v>
      </c>
      <c r="I17" s="224" t="s">
        <v>242</v>
      </c>
      <c r="J17" s="224" t="s">
        <v>242</v>
      </c>
      <c r="K17" s="224" t="s">
        <v>242</v>
      </c>
      <c r="L17" s="224" t="s">
        <v>242</v>
      </c>
      <c r="M17" s="224" t="s">
        <v>242</v>
      </c>
      <c r="N17" s="224" t="s">
        <v>242</v>
      </c>
      <c r="O17" s="224" t="s">
        <v>242</v>
      </c>
      <c r="P17" s="224" t="s">
        <v>242</v>
      </c>
      <c r="Q17" s="224" t="s">
        <v>242</v>
      </c>
      <c r="R17" s="224" t="s">
        <v>242</v>
      </c>
      <c r="S17" s="224" t="s">
        <v>242</v>
      </c>
      <c r="T17" s="224" t="s">
        <v>242</v>
      </c>
      <c r="V17" s="90"/>
    </row>
    <row r="18" spans="1:22" ht="13.25" customHeight="1">
      <c r="A18" s="83"/>
      <c r="B18" s="23" t="s">
        <v>34</v>
      </c>
      <c r="C18" s="239">
        <v>17916</v>
      </c>
      <c r="D18" s="239">
        <v>13460</v>
      </c>
      <c r="E18" s="224">
        <v>12107</v>
      </c>
      <c r="F18" s="224">
        <v>15221</v>
      </c>
      <c r="G18" s="224">
        <v>15365</v>
      </c>
      <c r="H18" s="224">
        <v>5856</v>
      </c>
      <c r="I18" s="224">
        <v>5265</v>
      </c>
      <c r="J18" s="224">
        <v>5276</v>
      </c>
      <c r="K18" s="224">
        <v>8656</v>
      </c>
      <c r="L18" s="224">
        <v>13090</v>
      </c>
      <c r="M18" s="224">
        <v>8960</v>
      </c>
      <c r="N18" s="224">
        <v>6062</v>
      </c>
      <c r="O18" s="224">
        <v>8906</v>
      </c>
      <c r="P18" s="224">
        <v>10955</v>
      </c>
      <c r="Q18" s="224">
        <v>8496</v>
      </c>
      <c r="R18" s="224">
        <v>8195.6</v>
      </c>
      <c r="S18" s="224">
        <v>9553</v>
      </c>
      <c r="T18" s="224">
        <v>8840</v>
      </c>
      <c r="V18" s="90"/>
    </row>
    <row r="19" spans="1:22" ht="13.25" customHeight="1">
      <c r="A19" s="83"/>
      <c r="B19" s="23" t="s">
        <v>35</v>
      </c>
      <c r="C19" s="239">
        <v>17850</v>
      </c>
      <c r="D19" s="239">
        <v>18080</v>
      </c>
      <c r="E19" s="224">
        <v>12500</v>
      </c>
      <c r="F19" s="224">
        <v>17032</v>
      </c>
      <c r="G19" s="224">
        <v>22068</v>
      </c>
      <c r="H19" s="224">
        <v>20841</v>
      </c>
      <c r="I19" s="224">
        <v>22674</v>
      </c>
      <c r="J19" s="224">
        <v>27743</v>
      </c>
      <c r="K19" s="224">
        <v>20143</v>
      </c>
      <c r="L19" s="224">
        <v>25753</v>
      </c>
      <c r="M19" s="224">
        <v>24674</v>
      </c>
      <c r="N19" s="224">
        <v>28350</v>
      </c>
      <c r="O19" s="224">
        <v>27988</v>
      </c>
      <c r="P19" s="224">
        <v>29248</v>
      </c>
      <c r="Q19" s="224">
        <v>33535</v>
      </c>
      <c r="R19" s="224">
        <v>32413</v>
      </c>
      <c r="S19" s="224">
        <v>33204</v>
      </c>
      <c r="T19" s="224">
        <v>36310</v>
      </c>
      <c r="V19" s="90"/>
    </row>
    <row r="20" spans="1:22" ht="13.25" customHeight="1">
      <c r="A20" s="83"/>
      <c r="B20" s="23" t="s">
        <v>36</v>
      </c>
      <c r="C20" s="239">
        <v>15297</v>
      </c>
      <c r="D20" s="239">
        <v>8283</v>
      </c>
      <c r="E20" s="224">
        <v>6866</v>
      </c>
      <c r="F20" s="224">
        <v>2620</v>
      </c>
      <c r="G20" s="224">
        <v>6302</v>
      </c>
      <c r="H20" s="224">
        <v>3733</v>
      </c>
      <c r="I20" s="224">
        <v>2439</v>
      </c>
      <c r="J20" s="224">
        <v>3886</v>
      </c>
      <c r="K20" s="224">
        <v>4674</v>
      </c>
      <c r="L20" s="224">
        <v>4571</v>
      </c>
      <c r="M20" s="224">
        <v>8747</v>
      </c>
      <c r="N20" s="224">
        <v>6607</v>
      </c>
      <c r="O20" s="224">
        <v>20829</v>
      </c>
      <c r="P20" s="224">
        <v>12586</v>
      </c>
      <c r="Q20" s="224">
        <v>7123</v>
      </c>
      <c r="R20" s="224">
        <v>6758.54</v>
      </c>
      <c r="S20" s="224">
        <v>6470.1</v>
      </c>
      <c r="T20" s="224">
        <v>6161.8</v>
      </c>
      <c r="V20" s="90"/>
    </row>
    <row r="21" spans="1:22" ht="13.25" customHeight="1">
      <c r="A21" s="83"/>
      <c r="B21" s="23" t="s">
        <v>37</v>
      </c>
      <c r="C21" s="239">
        <v>26002</v>
      </c>
      <c r="D21" s="239">
        <v>36924</v>
      </c>
      <c r="E21" s="224">
        <v>52223</v>
      </c>
      <c r="F21" s="224">
        <v>45751</v>
      </c>
      <c r="G21" s="224">
        <v>38845</v>
      </c>
      <c r="H21" s="224">
        <v>33428</v>
      </c>
      <c r="I21" s="224">
        <v>32798</v>
      </c>
      <c r="J21" s="224">
        <v>30313</v>
      </c>
      <c r="K21" s="224">
        <v>31756</v>
      </c>
      <c r="L21" s="224">
        <v>53646</v>
      </c>
      <c r="M21" s="224">
        <v>27406</v>
      </c>
      <c r="N21" s="224">
        <v>24133</v>
      </c>
      <c r="O21" s="224">
        <v>21926</v>
      </c>
      <c r="P21" s="224">
        <v>16714</v>
      </c>
      <c r="Q21" s="224">
        <v>17224</v>
      </c>
      <c r="R21" s="224">
        <v>19032</v>
      </c>
      <c r="S21" s="224">
        <v>17580</v>
      </c>
      <c r="T21" s="224">
        <v>18259</v>
      </c>
      <c r="V21" s="90"/>
    </row>
    <row r="22" spans="1:22" ht="13.25" customHeight="1">
      <c r="A22" s="83"/>
      <c r="B22" s="23" t="s">
        <v>38</v>
      </c>
      <c r="C22" s="239">
        <v>3607</v>
      </c>
      <c r="D22" s="239">
        <v>1330</v>
      </c>
      <c r="E22" s="224">
        <v>180</v>
      </c>
      <c r="F22" s="224">
        <v>3870</v>
      </c>
      <c r="G22" s="224">
        <v>3108</v>
      </c>
      <c r="H22" s="224">
        <v>3130</v>
      </c>
      <c r="I22" s="224">
        <v>1498</v>
      </c>
      <c r="J22" s="224">
        <v>6495</v>
      </c>
      <c r="K22" s="224">
        <v>5685</v>
      </c>
      <c r="L22" s="224">
        <v>2163</v>
      </c>
      <c r="M22" s="224">
        <v>3084</v>
      </c>
      <c r="N22" s="224">
        <v>3078</v>
      </c>
      <c r="O22" s="224">
        <v>1290</v>
      </c>
      <c r="P22" s="224">
        <v>2482</v>
      </c>
      <c r="Q22" s="224">
        <v>2596</v>
      </c>
      <c r="R22" s="224">
        <v>2679.5</v>
      </c>
      <c r="S22" s="224">
        <v>3787</v>
      </c>
      <c r="T22" s="224">
        <v>4286</v>
      </c>
      <c r="V22" s="90"/>
    </row>
    <row r="23" spans="1:22" ht="13.25" customHeight="1">
      <c r="A23" s="83"/>
      <c r="B23" s="23" t="s">
        <v>39</v>
      </c>
      <c r="C23" s="239">
        <v>0</v>
      </c>
      <c r="D23" s="239">
        <v>0</v>
      </c>
      <c r="E23" s="224">
        <v>5426</v>
      </c>
      <c r="F23" s="224" t="s">
        <v>242</v>
      </c>
      <c r="G23" s="224">
        <v>160</v>
      </c>
      <c r="H23" s="224" t="s">
        <v>242</v>
      </c>
      <c r="I23" s="224" t="s">
        <v>242</v>
      </c>
      <c r="J23" s="224">
        <v>8400</v>
      </c>
      <c r="K23" s="224">
        <v>5280</v>
      </c>
      <c r="L23" s="224">
        <v>5010</v>
      </c>
      <c r="M23" s="224">
        <v>3027</v>
      </c>
      <c r="N23" s="224">
        <v>3080</v>
      </c>
      <c r="O23" s="224">
        <v>2780</v>
      </c>
      <c r="P23" s="224" t="s">
        <v>242</v>
      </c>
      <c r="Q23" s="224" t="s">
        <v>242</v>
      </c>
      <c r="R23" s="224" t="s">
        <v>242</v>
      </c>
      <c r="S23" s="224" t="s">
        <v>242</v>
      </c>
      <c r="T23" s="224" t="s">
        <v>242</v>
      </c>
      <c r="V23" s="90"/>
    </row>
    <row r="24" spans="1:22" ht="13.25" customHeight="1">
      <c r="A24" s="83"/>
      <c r="B24" s="23" t="s">
        <v>40</v>
      </c>
      <c r="C24" s="239">
        <v>48675</v>
      </c>
      <c r="D24" s="239">
        <v>38154</v>
      </c>
      <c r="E24" s="224">
        <v>41799</v>
      </c>
      <c r="F24" s="224">
        <v>44786</v>
      </c>
      <c r="G24" s="224">
        <v>39394</v>
      </c>
      <c r="H24" s="224">
        <v>28010</v>
      </c>
      <c r="I24" s="224">
        <v>43207</v>
      </c>
      <c r="J24" s="224">
        <v>35828</v>
      </c>
      <c r="K24" s="224">
        <v>36426</v>
      </c>
      <c r="L24" s="224">
        <v>20279</v>
      </c>
      <c r="M24" s="224">
        <v>15614</v>
      </c>
      <c r="N24" s="224">
        <v>13458</v>
      </c>
      <c r="O24" s="224">
        <v>13057</v>
      </c>
      <c r="P24" s="224">
        <v>12552</v>
      </c>
      <c r="Q24" s="224">
        <v>8975</v>
      </c>
      <c r="R24" s="224">
        <v>6623</v>
      </c>
      <c r="S24" s="224">
        <v>6425</v>
      </c>
      <c r="T24" s="224">
        <v>7925</v>
      </c>
      <c r="V24" s="90"/>
    </row>
    <row r="25" spans="1:22" ht="13.25" customHeight="1">
      <c r="A25" s="83"/>
      <c r="B25" s="23" t="s">
        <v>41</v>
      </c>
      <c r="C25" s="239">
        <v>16125</v>
      </c>
      <c r="D25" s="239">
        <v>20636</v>
      </c>
      <c r="E25" s="224">
        <v>22555</v>
      </c>
      <c r="F25" s="224">
        <v>20698</v>
      </c>
      <c r="G25" s="224">
        <v>13830</v>
      </c>
      <c r="H25" s="224">
        <v>17214</v>
      </c>
      <c r="I25" s="224">
        <v>33921</v>
      </c>
      <c r="J25" s="224">
        <v>32014</v>
      </c>
      <c r="K25" s="224">
        <v>29615</v>
      </c>
      <c r="L25" s="224">
        <v>27138</v>
      </c>
      <c r="M25" s="224">
        <v>26058</v>
      </c>
      <c r="N25" s="224">
        <v>24685</v>
      </c>
      <c r="O25" s="224">
        <v>20245</v>
      </c>
      <c r="P25" s="224">
        <v>18050</v>
      </c>
      <c r="Q25" s="224">
        <v>17723</v>
      </c>
      <c r="R25" s="224">
        <v>17930.730000000003</v>
      </c>
      <c r="S25" s="224">
        <v>17583.2</v>
      </c>
      <c r="T25" s="224">
        <v>17489</v>
      </c>
      <c r="V25" s="90"/>
    </row>
    <row r="26" spans="1:22" ht="13.25" customHeight="1">
      <c r="A26" s="83"/>
      <c r="B26" s="23" t="s">
        <v>44</v>
      </c>
      <c r="C26" s="239">
        <v>12654</v>
      </c>
      <c r="D26" s="239">
        <v>30502</v>
      </c>
      <c r="E26" s="224">
        <v>59654</v>
      </c>
      <c r="F26" s="224">
        <v>52397</v>
      </c>
      <c r="G26" s="224">
        <v>64641</v>
      </c>
      <c r="H26" s="224">
        <v>46483</v>
      </c>
      <c r="I26" s="224">
        <v>47587</v>
      </c>
      <c r="J26" s="224">
        <v>59798</v>
      </c>
      <c r="K26" s="224">
        <v>28768</v>
      </c>
      <c r="L26" s="224">
        <v>17271</v>
      </c>
      <c r="M26" s="224">
        <v>25545</v>
      </c>
      <c r="N26" s="224">
        <v>19529</v>
      </c>
      <c r="O26" s="224">
        <v>19835</v>
      </c>
      <c r="P26" s="224">
        <v>19545</v>
      </c>
      <c r="Q26" s="224">
        <v>18675</v>
      </c>
      <c r="R26" s="224">
        <v>17410</v>
      </c>
      <c r="S26" s="224">
        <v>19525</v>
      </c>
      <c r="T26" s="224">
        <v>24210</v>
      </c>
      <c r="V26" s="90"/>
    </row>
    <row r="27" spans="1:22" ht="13.25" customHeight="1">
      <c r="A27" s="83"/>
      <c r="B27" s="23" t="s">
        <v>45</v>
      </c>
      <c r="C27" s="239">
        <v>230590</v>
      </c>
      <c r="D27" s="239">
        <v>233040</v>
      </c>
      <c r="E27" s="224">
        <v>237170</v>
      </c>
      <c r="F27" s="224">
        <v>240190</v>
      </c>
      <c r="G27" s="224">
        <v>243100</v>
      </c>
      <c r="H27" s="224">
        <v>243910</v>
      </c>
      <c r="I27" s="224">
        <v>244970</v>
      </c>
      <c r="J27" s="224">
        <v>238520</v>
      </c>
      <c r="K27" s="224">
        <v>244000</v>
      </c>
      <c r="L27" s="224">
        <v>315632</v>
      </c>
      <c r="M27" s="224">
        <v>221801</v>
      </c>
      <c r="N27" s="224">
        <v>244831</v>
      </c>
      <c r="O27" s="224">
        <v>236481</v>
      </c>
      <c r="P27" s="224">
        <v>233960</v>
      </c>
      <c r="Q27" s="224">
        <v>224675</v>
      </c>
      <c r="R27" s="224">
        <v>218970</v>
      </c>
      <c r="S27" s="224">
        <v>222200</v>
      </c>
      <c r="T27" s="224">
        <v>222450</v>
      </c>
      <c r="V27" s="90"/>
    </row>
    <row r="28" spans="1:22" ht="13.25" customHeight="1">
      <c r="A28" s="83"/>
      <c r="B28" s="82" t="s">
        <v>46</v>
      </c>
      <c r="C28" s="239">
        <v>0</v>
      </c>
      <c r="D28" s="239">
        <v>0</v>
      </c>
      <c r="E28" s="224" t="s">
        <v>242</v>
      </c>
      <c r="F28" s="224" t="s">
        <v>242</v>
      </c>
      <c r="G28" s="224" t="s">
        <v>242</v>
      </c>
      <c r="H28" s="224" t="s">
        <v>242</v>
      </c>
      <c r="I28" s="224" t="s">
        <v>242</v>
      </c>
      <c r="J28" s="224" t="s">
        <v>242</v>
      </c>
      <c r="K28" s="224" t="s">
        <v>242</v>
      </c>
      <c r="L28" s="224" t="s">
        <v>242</v>
      </c>
      <c r="M28" s="224" t="s">
        <v>242</v>
      </c>
      <c r="N28" s="224" t="s">
        <v>242</v>
      </c>
      <c r="O28" s="224" t="s">
        <v>242</v>
      </c>
      <c r="P28" s="224" t="s">
        <v>242</v>
      </c>
      <c r="Q28" s="224" t="s">
        <v>242</v>
      </c>
      <c r="R28" s="224" t="s">
        <v>242</v>
      </c>
      <c r="S28" s="224" t="s">
        <v>242</v>
      </c>
      <c r="T28" s="224" t="s">
        <v>242</v>
      </c>
      <c r="V28" s="90"/>
    </row>
    <row r="29" spans="1:22" ht="13.25" customHeight="1">
      <c r="A29" s="83"/>
      <c r="B29" s="23" t="s">
        <v>47</v>
      </c>
      <c r="C29" s="239">
        <v>0</v>
      </c>
      <c r="D29" s="239">
        <v>0</v>
      </c>
      <c r="E29" s="224" t="s">
        <v>242</v>
      </c>
      <c r="F29" s="224" t="s">
        <v>242</v>
      </c>
      <c r="G29" s="224" t="s">
        <v>242</v>
      </c>
      <c r="H29" s="224" t="s">
        <v>242</v>
      </c>
      <c r="I29" s="224" t="s">
        <v>242</v>
      </c>
      <c r="J29" s="224" t="s">
        <v>242</v>
      </c>
      <c r="K29" s="224" t="s">
        <v>242</v>
      </c>
      <c r="L29" s="224" t="s">
        <v>242</v>
      </c>
      <c r="M29" s="224" t="s">
        <v>242</v>
      </c>
      <c r="N29" s="224" t="s">
        <v>242</v>
      </c>
      <c r="O29" s="224" t="s">
        <v>242</v>
      </c>
      <c r="P29" s="224" t="s">
        <v>242</v>
      </c>
      <c r="Q29" s="224" t="s">
        <v>242</v>
      </c>
      <c r="R29" s="224" t="s">
        <v>242</v>
      </c>
      <c r="S29" s="224" t="s">
        <v>242</v>
      </c>
      <c r="T29" s="224" t="s">
        <v>242</v>
      </c>
      <c r="V29" s="90"/>
    </row>
    <row r="30" spans="1:22" ht="13.25" customHeight="1">
      <c r="A30" s="83"/>
      <c r="B30" s="23" t="s">
        <v>48</v>
      </c>
      <c r="C30" s="239">
        <v>0</v>
      </c>
      <c r="D30" s="239">
        <v>0</v>
      </c>
      <c r="E30" s="224" t="s">
        <v>242</v>
      </c>
      <c r="F30" s="224" t="s">
        <v>242</v>
      </c>
      <c r="G30" s="224" t="s">
        <v>242</v>
      </c>
      <c r="H30" s="224" t="s">
        <v>242</v>
      </c>
      <c r="I30" s="224" t="s">
        <v>242</v>
      </c>
      <c r="J30" s="224" t="s">
        <v>242</v>
      </c>
      <c r="K30" s="224" t="s">
        <v>242</v>
      </c>
      <c r="L30" s="224" t="s">
        <v>242</v>
      </c>
      <c r="M30" s="224" t="s">
        <v>242</v>
      </c>
      <c r="N30" s="224" t="s">
        <v>242</v>
      </c>
      <c r="O30" s="224" t="s">
        <v>242</v>
      </c>
      <c r="P30" s="224" t="s">
        <v>242</v>
      </c>
      <c r="Q30" s="224" t="s">
        <v>242</v>
      </c>
      <c r="R30" s="224" t="s">
        <v>242</v>
      </c>
      <c r="S30" s="224" t="s">
        <v>242</v>
      </c>
      <c r="T30" s="224" t="s">
        <v>242</v>
      </c>
      <c r="V30" s="90"/>
    </row>
    <row r="31" spans="1:22" ht="13.25" customHeight="1" thickBot="1">
      <c r="A31" s="88"/>
      <c r="B31" s="577" t="s">
        <v>49</v>
      </c>
      <c r="C31" s="580">
        <v>0</v>
      </c>
      <c r="D31" s="580">
        <v>0</v>
      </c>
      <c r="E31" s="582" t="s">
        <v>242</v>
      </c>
      <c r="F31" s="582" t="s">
        <v>242</v>
      </c>
      <c r="G31" s="582" t="s">
        <v>242</v>
      </c>
      <c r="H31" s="582" t="s">
        <v>242</v>
      </c>
      <c r="I31" s="582" t="s">
        <v>242</v>
      </c>
      <c r="J31" s="582" t="s">
        <v>242</v>
      </c>
      <c r="K31" s="582" t="s">
        <v>242</v>
      </c>
      <c r="L31" s="582" t="s">
        <v>242</v>
      </c>
      <c r="M31" s="582" t="s">
        <v>242</v>
      </c>
      <c r="N31" s="582" t="s">
        <v>242</v>
      </c>
      <c r="O31" s="582" t="s">
        <v>242</v>
      </c>
      <c r="P31" s="582" t="s">
        <v>242</v>
      </c>
      <c r="Q31" s="582" t="s">
        <v>242</v>
      </c>
      <c r="R31" s="582" t="s">
        <v>242</v>
      </c>
      <c r="S31" s="582" t="s">
        <v>242</v>
      </c>
      <c r="T31" s="582" t="s">
        <v>242</v>
      </c>
      <c r="V31" s="90"/>
    </row>
    <row r="32" spans="1:22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9">
    <tabColor theme="9" tint="0.59999389629810485"/>
  </sheetPr>
  <dimension ref="A2:W36"/>
  <sheetViews>
    <sheetView showGridLines="0" topLeftCell="A2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4" width="8.19921875" style="82" customWidth="1"/>
    <col min="25" max="16384" width="7" style="82"/>
  </cols>
  <sheetData>
    <row r="2" spans="1:23" ht="13.25" customHeight="1">
      <c r="A2" s="230" t="s">
        <v>521</v>
      </c>
      <c r="B2" s="231"/>
    </row>
    <row r="3" spans="1:23" ht="13.25" customHeight="1">
      <c r="A3" s="232" t="s">
        <v>236</v>
      </c>
      <c r="B3" s="232"/>
    </row>
    <row r="4" spans="1:23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3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 t="s">
        <v>351</v>
      </c>
      <c r="S5" s="569" t="s">
        <v>477</v>
      </c>
      <c r="T5" s="569" t="s">
        <v>477</v>
      </c>
    </row>
    <row r="6" spans="1:23" ht="15" customHeight="1">
      <c r="A6" s="963" t="s">
        <v>96</v>
      </c>
      <c r="B6" s="963"/>
      <c r="C6" s="571">
        <f>(C8+C9+C10+C11+C12+C13+C14+C15+C16+C17+C18+C19+C20+C21+C22+C23+C24+C25+C26+C27+C28+C29+C30+C31)</f>
        <v>604</v>
      </c>
      <c r="D6" s="571">
        <f>(D8+D9+D10+D11+D12+D13+D14+D15+D16+D17+D18+D19+D20+D21+D22+D23+D24+D25+D26+D27+D28+D29+D30+D31)</f>
        <v>623</v>
      </c>
      <c r="E6" s="574">
        <v>740</v>
      </c>
      <c r="F6" s="574">
        <v>704</v>
      </c>
      <c r="G6" s="574">
        <v>696</v>
      </c>
      <c r="H6" s="574">
        <v>632</v>
      </c>
      <c r="I6" s="574">
        <v>677</v>
      </c>
      <c r="J6" s="574">
        <v>745</v>
      </c>
      <c r="K6" s="574">
        <v>726</v>
      </c>
      <c r="L6" s="574">
        <v>745</v>
      </c>
      <c r="M6" s="574">
        <v>656</v>
      </c>
      <c r="N6" s="574">
        <v>670</v>
      </c>
      <c r="O6" s="574">
        <v>681</v>
      </c>
      <c r="P6" s="574">
        <v>660</v>
      </c>
      <c r="Q6" s="574">
        <f>SUM(Q8:Q31)</f>
        <v>656</v>
      </c>
      <c r="R6" s="574">
        <f>SUM(R8:R31)</f>
        <v>664.6</v>
      </c>
      <c r="S6" s="574">
        <f>SUM(S8:S31)</f>
        <v>672.8</v>
      </c>
      <c r="T6" s="574">
        <f>SUM(T8:T31)</f>
        <v>695.9</v>
      </c>
    </row>
    <row r="7" spans="1:23" ht="3" customHeight="1">
      <c r="A7" s="83"/>
      <c r="B7" s="84"/>
      <c r="C7" s="241"/>
      <c r="D7" s="241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</row>
    <row r="8" spans="1:23" ht="13.25" customHeight="1">
      <c r="A8" s="83"/>
      <c r="B8" s="23" t="s">
        <v>21</v>
      </c>
      <c r="C8" s="242">
        <v>0</v>
      </c>
      <c r="D8" s="242">
        <v>0</v>
      </c>
      <c r="E8" s="224" t="s">
        <v>334</v>
      </c>
      <c r="F8" s="224" t="s">
        <v>334</v>
      </c>
      <c r="G8" s="224" t="s">
        <v>334</v>
      </c>
      <c r="H8" s="224" t="s">
        <v>334</v>
      </c>
      <c r="I8" s="224" t="s">
        <v>334</v>
      </c>
      <c r="J8" s="224" t="s">
        <v>334</v>
      </c>
      <c r="K8" s="224" t="s">
        <v>334</v>
      </c>
      <c r="L8" s="224" t="s">
        <v>334</v>
      </c>
      <c r="M8" s="224" t="s">
        <v>334</v>
      </c>
      <c r="N8" s="224" t="s">
        <v>334</v>
      </c>
      <c r="O8" s="224" t="s">
        <v>334</v>
      </c>
      <c r="P8" s="224" t="s">
        <v>334</v>
      </c>
      <c r="Q8" s="224" t="s">
        <v>334</v>
      </c>
      <c r="R8" s="224" t="s">
        <v>334</v>
      </c>
      <c r="S8" s="224" t="s">
        <v>334</v>
      </c>
      <c r="T8" s="224" t="s">
        <v>334</v>
      </c>
      <c r="V8" s="90"/>
    </row>
    <row r="9" spans="1:23" ht="13.25" customHeight="1">
      <c r="A9" s="83"/>
      <c r="B9" s="23" t="s">
        <v>22</v>
      </c>
      <c r="C9" s="242">
        <v>0</v>
      </c>
      <c r="D9" s="242">
        <v>0</v>
      </c>
      <c r="E9" s="224" t="s">
        <v>334</v>
      </c>
      <c r="F9" s="224" t="s">
        <v>334</v>
      </c>
      <c r="G9" s="224" t="s">
        <v>334</v>
      </c>
      <c r="H9" s="224" t="s">
        <v>334</v>
      </c>
      <c r="I9" s="224" t="s">
        <v>334</v>
      </c>
      <c r="J9" s="224" t="s">
        <v>334</v>
      </c>
      <c r="K9" s="224" t="s">
        <v>334</v>
      </c>
      <c r="L9" s="224" t="s">
        <v>334</v>
      </c>
      <c r="M9" s="224" t="s">
        <v>334</v>
      </c>
      <c r="N9" s="224" t="s">
        <v>334</v>
      </c>
      <c r="O9" s="224" t="s">
        <v>334</v>
      </c>
      <c r="P9" s="224" t="s">
        <v>334</v>
      </c>
      <c r="Q9" s="224" t="s">
        <v>334</v>
      </c>
      <c r="R9" s="224" t="s">
        <v>334</v>
      </c>
      <c r="S9" s="224" t="s">
        <v>334</v>
      </c>
      <c r="T9" s="224" t="s">
        <v>334</v>
      </c>
      <c r="V9" s="90"/>
    </row>
    <row r="10" spans="1:23" ht="13.25" customHeight="1">
      <c r="A10" s="83"/>
      <c r="B10" s="23" t="s">
        <v>23</v>
      </c>
      <c r="C10" s="242">
        <v>0</v>
      </c>
      <c r="D10" s="242">
        <v>0</v>
      </c>
      <c r="E10" s="224" t="s">
        <v>334</v>
      </c>
      <c r="F10" s="224" t="s">
        <v>334</v>
      </c>
      <c r="G10" s="224" t="s">
        <v>334</v>
      </c>
      <c r="H10" s="224" t="s">
        <v>334</v>
      </c>
      <c r="I10" s="224" t="s">
        <v>334</v>
      </c>
      <c r="J10" s="224" t="s">
        <v>334</v>
      </c>
      <c r="K10" s="224" t="s">
        <v>334</v>
      </c>
      <c r="L10" s="224" t="s">
        <v>334</v>
      </c>
      <c r="M10" s="224" t="s">
        <v>334</v>
      </c>
      <c r="N10" s="224" t="s">
        <v>334</v>
      </c>
      <c r="O10" s="224" t="s">
        <v>334</v>
      </c>
      <c r="P10" s="224" t="s">
        <v>334</v>
      </c>
      <c r="Q10" s="224" t="s">
        <v>334</v>
      </c>
      <c r="R10" s="224" t="s">
        <v>334</v>
      </c>
      <c r="S10" s="224" t="s">
        <v>334</v>
      </c>
      <c r="T10" s="224" t="s">
        <v>334</v>
      </c>
      <c r="V10" s="90"/>
    </row>
    <row r="11" spans="1:23" ht="13.25" customHeight="1">
      <c r="A11" s="83"/>
      <c r="B11" s="23" t="s">
        <v>24</v>
      </c>
      <c r="C11" s="242">
        <v>0</v>
      </c>
      <c r="D11" s="242">
        <v>0</v>
      </c>
      <c r="E11" s="224" t="s">
        <v>334</v>
      </c>
      <c r="F11" s="224" t="s">
        <v>334</v>
      </c>
      <c r="G11" s="224" t="s">
        <v>334</v>
      </c>
      <c r="H11" s="224" t="s">
        <v>334</v>
      </c>
      <c r="I11" s="224" t="s">
        <v>334</v>
      </c>
      <c r="J11" s="224" t="s">
        <v>334</v>
      </c>
      <c r="K11" s="224" t="s">
        <v>334</v>
      </c>
      <c r="L11" s="224" t="s">
        <v>334</v>
      </c>
      <c r="M11" s="224" t="s">
        <v>334</v>
      </c>
      <c r="N11" s="224" t="s">
        <v>334</v>
      </c>
      <c r="O11" s="224" t="s">
        <v>334</v>
      </c>
      <c r="P11" s="224" t="s">
        <v>334</v>
      </c>
      <c r="Q11" s="224" t="s">
        <v>334</v>
      </c>
      <c r="R11" s="224" t="s">
        <v>334</v>
      </c>
      <c r="S11" s="224" t="s">
        <v>334</v>
      </c>
      <c r="T11" s="224" t="s">
        <v>334</v>
      </c>
      <c r="V11" s="90"/>
    </row>
    <row r="12" spans="1:23" ht="13.25" customHeight="1">
      <c r="A12" s="83"/>
      <c r="B12" s="23" t="s">
        <v>25</v>
      </c>
      <c r="C12" s="242">
        <v>0</v>
      </c>
      <c r="D12" s="242">
        <v>0</v>
      </c>
      <c r="E12" s="224" t="s">
        <v>334</v>
      </c>
      <c r="F12" s="224" t="s">
        <v>334</v>
      </c>
      <c r="G12" s="224" t="s">
        <v>334</v>
      </c>
      <c r="H12" s="224" t="s">
        <v>334</v>
      </c>
      <c r="I12" s="224" t="s">
        <v>334</v>
      </c>
      <c r="J12" s="224" t="s">
        <v>334</v>
      </c>
      <c r="K12" s="224" t="s">
        <v>334</v>
      </c>
      <c r="L12" s="224" t="s">
        <v>334</v>
      </c>
      <c r="M12" s="224" t="s">
        <v>334</v>
      </c>
      <c r="N12" s="224" t="s">
        <v>334</v>
      </c>
      <c r="O12" s="224" t="s">
        <v>334</v>
      </c>
      <c r="P12" s="224" t="s">
        <v>334</v>
      </c>
      <c r="Q12" s="224" t="s">
        <v>334</v>
      </c>
      <c r="R12" s="224" t="s">
        <v>334</v>
      </c>
      <c r="S12" s="224" t="s">
        <v>334</v>
      </c>
      <c r="T12" s="224" t="s">
        <v>334</v>
      </c>
      <c r="V12" s="90"/>
    </row>
    <row r="13" spans="1:23" ht="13.25" customHeight="1">
      <c r="A13" s="83"/>
      <c r="B13" s="23" t="s">
        <v>29</v>
      </c>
      <c r="C13" s="242">
        <v>0</v>
      </c>
      <c r="D13" s="242">
        <v>0</v>
      </c>
      <c r="E13" s="224" t="s">
        <v>334</v>
      </c>
      <c r="F13" s="224" t="s">
        <v>334</v>
      </c>
      <c r="G13" s="224" t="s">
        <v>334</v>
      </c>
      <c r="H13" s="224" t="s">
        <v>334</v>
      </c>
      <c r="I13" s="224" t="s">
        <v>334</v>
      </c>
      <c r="J13" s="224" t="s">
        <v>334</v>
      </c>
      <c r="K13" s="224" t="s">
        <v>334</v>
      </c>
      <c r="L13" s="224" t="s">
        <v>334</v>
      </c>
      <c r="M13" s="224" t="s">
        <v>334</v>
      </c>
      <c r="N13" s="224" t="s">
        <v>334</v>
      </c>
      <c r="O13" s="224" t="s">
        <v>334</v>
      </c>
      <c r="P13" s="224" t="s">
        <v>334</v>
      </c>
      <c r="Q13" s="224" t="s">
        <v>334</v>
      </c>
      <c r="R13" s="224" t="s">
        <v>334</v>
      </c>
      <c r="S13" s="224" t="s">
        <v>334</v>
      </c>
      <c r="T13" s="224" t="s">
        <v>334</v>
      </c>
      <c r="V13" s="90"/>
    </row>
    <row r="14" spans="1:23" ht="13.25" customHeight="1">
      <c r="A14" s="83"/>
      <c r="B14" s="23" t="s">
        <v>30</v>
      </c>
      <c r="C14" s="242">
        <v>0</v>
      </c>
      <c r="D14" s="242">
        <v>0</v>
      </c>
      <c r="E14" s="224" t="s">
        <v>334</v>
      </c>
      <c r="F14" s="224" t="s">
        <v>334</v>
      </c>
      <c r="G14" s="224" t="s">
        <v>334</v>
      </c>
      <c r="H14" s="224" t="s">
        <v>334</v>
      </c>
      <c r="I14" s="224" t="s">
        <v>334</v>
      </c>
      <c r="J14" s="224" t="s">
        <v>334</v>
      </c>
      <c r="K14" s="224" t="s">
        <v>334</v>
      </c>
      <c r="L14" s="224" t="s">
        <v>334</v>
      </c>
      <c r="M14" s="224" t="s">
        <v>334</v>
      </c>
      <c r="N14" s="224" t="s">
        <v>334</v>
      </c>
      <c r="O14" s="224" t="s">
        <v>334</v>
      </c>
      <c r="P14" s="224" t="s">
        <v>334</v>
      </c>
      <c r="Q14" s="224" t="s">
        <v>334</v>
      </c>
      <c r="R14" s="224" t="s">
        <v>334</v>
      </c>
      <c r="S14" s="224" t="s">
        <v>334</v>
      </c>
      <c r="T14" s="224" t="s">
        <v>334</v>
      </c>
      <c r="V14" s="90"/>
    </row>
    <row r="15" spans="1:23" ht="13.25" customHeight="1">
      <c r="A15" s="83"/>
      <c r="B15" s="23" t="s">
        <v>31</v>
      </c>
      <c r="C15" s="242">
        <v>0</v>
      </c>
      <c r="D15" s="242">
        <v>0</v>
      </c>
      <c r="E15" s="224">
        <v>3</v>
      </c>
      <c r="F15" s="224">
        <v>3</v>
      </c>
      <c r="G15" s="224">
        <v>2</v>
      </c>
      <c r="H15" s="224">
        <v>2</v>
      </c>
      <c r="I15" s="224">
        <v>1</v>
      </c>
      <c r="J15" s="224">
        <v>1</v>
      </c>
      <c r="K15" s="224">
        <v>1</v>
      </c>
      <c r="L15" s="224">
        <v>1</v>
      </c>
      <c r="M15" s="224">
        <v>1</v>
      </c>
      <c r="N15" s="224">
        <v>1</v>
      </c>
      <c r="O15" s="224">
        <v>1</v>
      </c>
      <c r="P15" s="224">
        <v>1</v>
      </c>
      <c r="Q15" s="224">
        <v>2</v>
      </c>
      <c r="R15" s="224">
        <v>2.4</v>
      </c>
      <c r="S15" s="224">
        <v>2.5</v>
      </c>
      <c r="T15" s="224">
        <v>2.2999999999999998</v>
      </c>
      <c r="U15" s="932"/>
      <c r="V15" s="932"/>
      <c r="W15" s="932"/>
    </row>
    <row r="16" spans="1:23" ht="13.25" customHeight="1">
      <c r="A16" s="83"/>
      <c r="B16" s="23" t="s">
        <v>32</v>
      </c>
      <c r="C16" s="242">
        <v>0</v>
      </c>
      <c r="D16" s="242">
        <v>0</v>
      </c>
      <c r="E16" s="224" t="s">
        <v>334</v>
      </c>
      <c r="F16" s="224" t="s">
        <v>334</v>
      </c>
      <c r="G16" s="224" t="s">
        <v>334</v>
      </c>
      <c r="H16" s="224" t="s">
        <v>334</v>
      </c>
      <c r="I16" s="224" t="s">
        <v>334</v>
      </c>
      <c r="J16" s="224" t="s">
        <v>334</v>
      </c>
      <c r="K16" s="224" t="s">
        <v>334</v>
      </c>
      <c r="L16" s="224" t="s">
        <v>334</v>
      </c>
      <c r="M16" s="224" t="s">
        <v>334</v>
      </c>
      <c r="N16" s="224" t="s">
        <v>334</v>
      </c>
      <c r="O16" s="224" t="s">
        <v>334</v>
      </c>
      <c r="P16" s="224"/>
      <c r="Q16" s="224" t="s">
        <v>334</v>
      </c>
      <c r="R16" s="224" t="s">
        <v>334</v>
      </c>
      <c r="S16" s="224" t="s">
        <v>334</v>
      </c>
      <c r="T16" s="224" t="s">
        <v>334</v>
      </c>
      <c r="V16" s="90"/>
    </row>
    <row r="17" spans="1:23" ht="13.25" customHeight="1">
      <c r="A17" s="83"/>
      <c r="B17" s="23" t="s">
        <v>33</v>
      </c>
      <c r="C17" s="242">
        <v>0</v>
      </c>
      <c r="D17" s="242">
        <v>0</v>
      </c>
      <c r="E17" s="224" t="s">
        <v>334</v>
      </c>
      <c r="F17" s="224" t="s">
        <v>334</v>
      </c>
      <c r="G17" s="224" t="s">
        <v>334</v>
      </c>
      <c r="H17" s="224" t="s">
        <v>334</v>
      </c>
      <c r="I17" s="224" t="s">
        <v>334</v>
      </c>
      <c r="J17" s="224" t="s">
        <v>334</v>
      </c>
      <c r="K17" s="224" t="s">
        <v>334</v>
      </c>
      <c r="L17" s="224" t="s">
        <v>334</v>
      </c>
      <c r="M17" s="224" t="s">
        <v>334</v>
      </c>
      <c r="N17" s="224" t="s">
        <v>334</v>
      </c>
      <c r="O17" s="224" t="s">
        <v>334</v>
      </c>
      <c r="P17" s="224"/>
      <c r="Q17" s="224" t="s">
        <v>334</v>
      </c>
      <c r="R17" s="224" t="s">
        <v>334</v>
      </c>
      <c r="S17" s="224" t="s">
        <v>334</v>
      </c>
      <c r="T17" s="224" t="s">
        <v>334</v>
      </c>
      <c r="V17" s="90"/>
    </row>
    <row r="18" spans="1:23" ht="13.25" customHeight="1">
      <c r="A18" s="83"/>
      <c r="B18" s="23" t="s">
        <v>34</v>
      </c>
      <c r="C18" s="242">
        <v>24</v>
      </c>
      <c r="D18" s="242">
        <v>37</v>
      </c>
      <c r="E18" s="224">
        <v>29</v>
      </c>
      <c r="F18" s="224">
        <v>28</v>
      </c>
      <c r="G18" s="224">
        <v>26</v>
      </c>
      <c r="H18" s="224">
        <v>12</v>
      </c>
      <c r="I18" s="224">
        <v>13</v>
      </c>
      <c r="J18" s="224">
        <v>9</v>
      </c>
      <c r="K18" s="224">
        <v>14</v>
      </c>
      <c r="L18" s="224">
        <v>22</v>
      </c>
      <c r="M18" s="224">
        <v>14</v>
      </c>
      <c r="N18" s="224">
        <v>9</v>
      </c>
      <c r="O18" s="224">
        <v>12</v>
      </c>
      <c r="P18" s="224">
        <v>16</v>
      </c>
      <c r="Q18" s="224">
        <v>12</v>
      </c>
      <c r="R18" s="224">
        <v>12.1</v>
      </c>
      <c r="S18" s="224">
        <v>15.8</v>
      </c>
      <c r="T18" s="224">
        <v>15.2</v>
      </c>
      <c r="U18" s="932"/>
      <c r="V18" s="932"/>
      <c r="W18" s="932"/>
    </row>
    <row r="19" spans="1:23" ht="13.25" customHeight="1">
      <c r="A19" s="83"/>
      <c r="B19" s="23" t="s">
        <v>35</v>
      </c>
      <c r="C19" s="242">
        <v>32</v>
      </c>
      <c r="D19" s="242">
        <v>34</v>
      </c>
      <c r="E19" s="224">
        <v>26</v>
      </c>
      <c r="F19" s="224">
        <v>37</v>
      </c>
      <c r="G19" s="224">
        <v>47</v>
      </c>
      <c r="H19" s="224">
        <v>40</v>
      </c>
      <c r="I19" s="224">
        <v>45</v>
      </c>
      <c r="J19" s="224">
        <v>58</v>
      </c>
      <c r="K19" s="224">
        <v>41</v>
      </c>
      <c r="L19" s="224">
        <v>52</v>
      </c>
      <c r="M19" s="224">
        <v>51</v>
      </c>
      <c r="N19" s="224">
        <v>57</v>
      </c>
      <c r="O19" s="224">
        <v>63</v>
      </c>
      <c r="P19" s="224">
        <v>66</v>
      </c>
      <c r="Q19" s="224">
        <v>77</v>
      </c>
      <c r="R19" s="224">
        <v>77.599999999999994</v>
      </c>
      <c r="S19" s="224">
        <v>79.400000000000006</v>
      </c>
      <c r="T19" s="224">
        <v>84.8</v>
      </c>
      <c r="U19" s="932"/>
      <c r="V19" s="932"/>
      <c r="W19" s="932"/>
    </row>
    <row r="20" spans="1:23" ht="13.25" customHeight="1">
      <c r="A20" s="83"/>
      <c r="B20" s="23" t="s">
        <v>36</v>
      </c>
      <c r="C20" s="242">
        <v>46</v>
      </c>
      <c r="D20" s="242">
        <v>13</v>
      </c>
      <c r="E20" s="224">
        <v>12</v>
      </c>
      <c r="F20" s="224">
        <v>5</v>
      </c>
      <c r="G20" s="224">
        <v>10</v>
      </c>
      <c r="H20" s="224">
        <v>8</v>
      </c>
      <c r="I20" s="224">
        <v>6</v>
      </c>
      <c r="J20" s="224">
        <v>10</v>
      </c>
      <c r="K20" s="224">
        <v>11</v>
      </c>
      <c r="L20" s="224">
        <v>8</v>
      </c>
      <c r="M20" s="224">
        <v>13</v>
      </c>
      <c r="N20" s="224">
        <v>8</v>
      </c>
      <c r="O20" s="224">
        <v>38</v>
      </c>
      <c r="P20" s="224">
        <v>23</v>
      </c>
      <c r="Q20" s="224">
        <v>13</v>
      </c>
      <c r="R20" s="224">
        <v>12.6</v>
      </c>
      <c r="S20" s="224">
        <v>12.2</v>
      </c>
      <c r="T20" s="224">
        <v>11.6</v>
      </c>
      <c r="U20" s="932"/>
      <c r="V20" s="932"/>
      <c r="W20" s="932"/>
    </row>
    <row r="21" spans="1:23" ht="13.25" customHeight="1">
      <c r="A21" s="83"/>
      <c r="B21" s="23" t="s">
        <v>37</v>
      </c>
      <c r="C21" s="242">
        <v>52</v>
      </c>
      <c r="D21" s="242">
        <v>74</v>
      </c>
      <c r="E21" s="224">
        <v>119</v>
      </c>
      <c r="F21" s="224">
        <v>95</v>
      </c>
      <c r="G21" s="224">
        <v>80</v>
      </c>
      <c r="H21" s="224">
        <v>69</v>
      </c>
      <c r="I21" s="224">
        <v>66</v>
      </c>
      <c r="J21" s="224">
        <v>63</v>
      </c>
      <c r="K21" s="224">
        <v>66</v>
      </c>
      <c r="L21" s="224">
        <v>113</v>
      </c>
      <c r="M21" s="224">
        <v>58</v>
      </c>
      <c r="N21" s="224">
        <v>51</v>
      </c>
      <c r="O21" s="224">
        <v>46</v>
      </c>
      <c r="P21" s="224">
        <v>38</v>
      </c>
      <c r="Q21" s="224">
        <v>37</v>
      </c>
      <c r="R21" s="224">
        <v>41.5</v>
      </c>
      <c r="S21" s="224">
        <v>38.299999999999997</v>
      </c>
      <c r="T21" s="224">
        <v>38.700000000000003</v>
      </c>
      <c r="U21" s="932"/>
      <c r="V21" s="932"/>
      <c r="W21" s="932"/>
    </row>
    <row r="22" spans="1:23" ht="13.25" customHeight="1">
      <c r="A22" s="83"/>
      <c r="B22" s="23" t="s">
        <v>38</v>
      </c>
      <c r="C22" s="242">
        <v>8</v>
      </c>
      <c r="D22" s="242">
        <v>3</v>
      </c>
      <c r="E22" s="224">
        <v>0</v>
      </c>
      <c r="F22" s="224">
        <v>11</v>
      </c>
      <c r="G22" s="224">
        <v>8</v>
      </c>
      <c r="H22" s="224">
        <v>7</v>
      </c>
      <c r="I22" s="224">
        <v>2</v>
      </c>
      <c r="J22" s="224">
        <v>8</v>
      </c>
      <c r="K22" s="224">
        <v>11</v>
      </c>
      <c r="L22" s="224">
        <v>5</v>
      </c>
      <c r="M22" s="224">
        <v>7</v>
      </c>
      <c r="N22" s="224">
        <v>7</v>
      </c>
      <c r="O22" s="224">
        <v>3</v>
      </c>
      <c r="P22" s="224">
        <v>6</v>
      </c>
      <c r="Q22" s="224">
        <v>6</v>
      </c>
      <c r="R22" s="224">
        <v>6.1</v>
      </c>
      <c r="S22" s="224">
        <v>7.3</v>
      </c>
      <c r="T22" s="224">
        <v>7.4</v>
      </c>
      <c r="U22" s="932"/>
      <c r="V22" s="932"/>
      <c r="W22" s="932"/>
    </row>
    <row r="23" spans="1:23" ht="13.25" customHeight="1">
      <c r="A23" s="83"/>
      <c r="B23" s="23" t="s">
        <v>39</v>
      </c>
      <c r="C23" s="242">
        <v>0</v>
      </c>
      <c r="D23" s="242">
        <v>0</v>
      </c>
      <c r="E23" s="224">
        <v>11</v>
      </c>
      <c r="F23" s="224" t="s">
        <v>334</v>
      </c>
      <c r="G23" s="224" t="s">
        <v>334</v>
      </c>
      <c r="H23" s="224" t="s">
        <v>334</v>
      </c>
      <c r="I23" s="224" t="s">
        <v>334</v>
      </c>
      <c r="J23" s="224">
        <v>17</v>
      </c>
      <c r="K23" s="224">
        <v>10</v>
      </c>
      <c r="L23" s="224">
        <v>9</v>
      </c>
      <c r="M23" s="224">
        <v>6</v>
      </c>
      <c r="N23" s="224">
        <v>6</v>
      </c>
      <c r="O23" s="224">
        <v>5</v>
      </c>
      <c r="P23" s="224">
        <v>0</v>
      </c>
      <c r="Q23" s="224">
        <v>0</v>
      </c>
      <c r="R23" s="224">
        <v>0</v>
      </c>
      <c r="S23" s="224">
        <v>0</v>
      </c>
      <c r="T23" s="224">
        <v>0</v>
      </c>
      <c r="U23" s="932"/>
      <c r="V23" s="932"/>
      <c r="W23" s="932"/>
    </row>
    <row r="24" spans="1:23" ht="13.25" customHeight="1">
      <c r="A24" s="83"/>
      <c r="B24" s="23" t="s">
        <v>40</v>
      </c>
      <c r="C24" s="242">
        <v>77</v>
      </c>
      <c r="D24" s="242">
        <v>59</v>
      </c>
      <c r="E24" s="224">
        <v>63</v>
      </c>
      <c r="F24" s="224">
        <v>65</v>
      </c>
      <c r="G24" s="224">
        <v>44</v>
      </c>
      <c r="H24" s="224">
        <v>32</v>
      </c>
      <c r="I24" s="224">
        <v>56</v>
      </c>
      <c r="J24" s="224">
        <v>37</v>
      </c>
      <c r="K24" s="224">
        <v>46</v>
      </c>
      <c r="L24" s="224">
        <v>23</v>
      </c>
      <c r="M24" s="224">
        <v>18</v>
      </c>
      <c r="N24" s="224">
        <v>16</v>
      </c>
      <c r="O24" s="224">
        <v>15</v>
      </c>
      <c r="P24" s="224">
        <v>14</v>
      </c>
      <c r="Q24" s="224">
        <v>10</v>
      </c>
      <c r="R24" s="224">
        <v>8.5</v>
      </c>
      <c r="S24" s="224">
        <v>8.9</v>
      </c>
      <c r="T24" s="224">
        <v>12.3</v>
      </c>
      <c r="U24" s="932"/>
      <c r="V24" s="932"/>
      <c r="W24" s="932"/>
    </row>
    <row r="25" spans="1:23" ht="13.25" customHeight="1">
      <c r="A25" s="83"/>
      <c r="B25" s="23" t="s">
        <v>41</v>
      </c>
      <c r="C25" s="242">
        <v>33</v>
      </c>
      <c r="D25" s="242">
        <v>38</v>
      </c>
      <c r="E25" s="224">
        <v>40</v>
      </c>
      <c r="F25" s="224">
        <v>39</v>
      </c>
      <c r="G25" s="224">
        <v>23</v>
      </c>
      <c r="H25" s="224">
        <v>27</v>
      </c>
      <c r="I25" s="224">
        <v>53</v>
      </c>
      <c r="J25" s="224">
        <v>63</v>
      </c>
      <c r="K25" s="224">
        <v>54</v>
      </c>
      <c r="L25" s="224">
        <v>50</v>
      </c>
      <c r="M25" s="224">
        <v>50</v>
      </c>
      <c r="N25" s="224">
        <v>46</v>
      </c>
      <c r="O25" s="224">
        <v>37</v>
      </c>
      <c r="P25" s="224">
        <v>32</v>
      </c>
      <c r="Q25" s="224">
        <v>31</v>
      </c>
      <c r="R25" s="224">
        <v>31.5</v>
      </c>
      <c r="S25" s="224">
        <v>30.6</v>
      </c>
      <c r="T25" s="224">
        <v>30.7</v>
      </c>
      <c r="U25" s="932"/>
      <c r="V25" s="932"/>
      <c r="W25" s="932"/>
    </row>
    <row r="26" spans="1:23" ht="13.25" customHeight="1">
      <c r="A26" s="83"/>
      <c r="B26" s="23" t="s">
        <v>44</v>
      </c>
      <c r="C26" s="242">
        <v>19</v>
      </c>
      <c r="D26" s="242">
        <v>51</v>
      </c>
      <c r="E26" s="224">
        <v>107</v>
      </c>
      <c r="F26" s="224">
        <v>74</v>
      </c>
      <c r="G26" s="224">
        <v>103</v>
      </c>
      <c r="H26" s="224">
        <v>70</v>
      </c>
      <c r="I26" s="224">
        <v>70</v>
      </c>
      <c r="J26" s="224">
        <v>95</v>
      </c>
      <c r="K26" s="224">
        <v>49</v>
      </c>
      <c r="L26" s="224">
        <v>30</v>
      </c>
      <c r="M26" s="224">
        <v>44</v>
      </c>
      <c r="N26" s="224">
        <v>32</v>
      </c>
      <c r="O26" s="224">
        <v>32</v>
      </c>
      <c r="P26" s="224">
        <v>31</v>
      </c>
      <c r="Q26" s="224">
        <v>30</v>
      </c>
      <c r="R26" s="224">
        <v>27.5</v>
      </c>
      <c r="S26" s="224">
        <v>29.3</v>
      </c>
      <c r="T26" s="224">
        <v>42.5</v>
      </c>
      <c r="U26" s="932"/>
      <c r="V26" s="932"/>
      <c r="W26" s="932"/>
    </row>
    <row r="27" spans="1:23" ht="13.25" customHeight="1">
      <c r="A27" s="83"/>
      <c r="B27" s="23" t="s">
        <v>45</v>
      </c>
      <c r="C27" s="242">
        <v>313</v>
      </c>
      <c r="D27" s="242">
        <v>314</v>
      </c>
      <c r="E27" s="224">
        <v>330</v>
      </c>
      <c r="F27" s="224">
        <v>347</v>
      </c>
      <c r="G27" s="224">
        <v>353</v>
      </c>
      <c r="H27" s="224">
        <v>365</v>
      </c>
      <c r="I27" s="224">
        <v>367</v>
      </c>
      <c r="J27" s="224">
        <v>384</v>
      </c>
      <c r="K27" s="224">
        <v>422</v>
      </c>
      <c r="L27" s="224">
        <v>433</v>
      </c>
      <c r="M27" s="224">
        <v>395</v>
      </c>
      <c r="N27" s="224">
        <v>437</v>
      </c>
      <c r="O27" s="224">
        <v>428</v>
      </c>
      <c r="P27" s="224">
        <v>432</v>
      </c>
      <c r="Q27" s="224">
        <v>438</v>
      </c>
      <c r="R27" s="224">
        <v>444.8</v>
      </c>
      <c r="S27" s="224">
        <v>448.5</v>
      </c>
      <c r="T27" s="224">
        <v>450.4</v>
      </c>
      <c r="U27" s="932"/>
      <c r="V27" s="932"/>
      <c r="W27" s="932"/>
    </row>
    <row r="28" spans="1:23" ht="13.25" customHeight="1">
      <c r="A28" s="83"/>
      <c r="B28" s="82" t="s">
        <v>46</v>
      </c>
      <c r="C28" s="242">
        <v>0</v>
      </c>
      <c r="D28" s="242">
        <v>0</v>
      </c>
      <c r="E28" s="224" t="s">
        <v>334</v>
      </c>
      <c r="F28" s="224" t="s">
        <v>334</v>
      </c>
      <c r="G28" s="224" t="s">
        <v>334</v>
      </c>
      <c r="H28" s="224" t="s">
        <v>334</v>
      </c>
      <c r="I28" s="224" t="s">
        <v>334</v>
      </c>
      <c r="J28" s="224" t="s">
        <v>334</v>
      </c>
      <c r="K28" s="224" t="s">
        <v>334</v>
      </c>
      <c r="L28" s="224" t="s">
        <v>334</v>
      </c>
      <c r="M28" s="224" t="s">
        <v>334</v>
      </c>
      <c r="N28" s="224" t="s">
        <v>334</v>
      </c>
      <c r="O28" s="224" t="s">
        <v>334</v>
      </c>
      <c r="P28" s="224" t="s">
        <v>334</v>
      </c>
      <c r="Q28" s="224" t="s">
        <v>334</v>
      </c>
      <c r="R28" s="224" t="s">
        <v>334</v>
      </c>
      <c r="S28" s="224" t="s">
        <v>334</v>
      </c>
      <c r="T28" s="224" t="s">
        <v>334</v>
      </c>
      <c r="V28" s="90"/>
    </row>
    <row r="29" spans="1:23" ht="13.25" customHeight="1">
      <c r="A29" s="83"/>
      <c r="B29" s="23" t="s">
        <v>47</v>
      </c>
      <c r="C29" s="242">
        <v>0</v>
      </c>
      <c r="D29" s="242">
        <v>0</v>
      </c>
      <c r="E29" s="224" t="s">
        <v>334</v>
      </c>
      <c r="F29" s="224" t="s">
        <v>334</v>
      </c>
      <c r="G29" s="224" t="s">
        <v>334</v>
      </c>
      <c r="H29" s="224" t="s">
        <v>334</v>
      </c>
      <c r="I29" s="224" t="s">
        <v>334</v>
      </c>
      <c r="J29" s="224" t="s">
        <v>334</v>
      </c>
      <c r="K29" s="224" t="s">
        <v>334</v>
      </c>
      <c r="L29" s="224" t="s">
        <v>334</v>
      </c>
      <c r="M29" s="224" t="s">
        <v>334</v>
      </c>
      <c r="N29" s="224" t="s">
        <v>334</v>
      </c>
      <c r="O29" s="224" t="s">
        <v>334</v>
      </c>
      <c r="P29" s="224" t="s">
        <v>334</v>
      </c>
      <c r="Q29" s="224" t="s">
        <v>334</v>
      </c>
      <c r="R29" s="224" t="s">
        <v>334</v>
      </c>
      <c r="S29" s="224" t="s">
        <v>334</v>
      </c>
      <c r="T29" s="224" t="s">
        <v>334</v>
      </c>
      <c r="V29" s="90"/>
    </row>
    <row r="30" spans="1:23" ht="13.25" customHeight="1">
      <c r="A30" s="83"/>
      <c r="B30" s="23" t="s">
        <v>48</v>
      </c>
      <c r="C30" s="242">
        <v>0</v>
      </c>
      <c r="D30" s="242">
        <v>0</v>
      </c>
      <c r="E30" s="224" t="s">
        <v>334</v>
      </c>
      <c r="F30" s="224" t="s">
        <v>334</v>
      </c>
      <c r="G30" s="224" t="s">
        <v>334</v>
      </c>
      <c r="H30" s="224" t="s">
        <v>334</v>
      </c>
      <c r="I30" s="224" t="s">
        <v>334</v>
      </c>
      <c r="J30" s="224" t="s">
        <v>334</v>
      </c>
      <c r="K30" s="224" t="s">
        <v>334</v>
      </c>
      <c r="L30" s="224" t="s">
        <v>334</v>
      </c>
      <c r="M30" s="224" t="s">
        <v>334</v>
      </c>
      <c r="N30" s="224" t="s">
        <v>334</v>
      </c>
      <c r="O30" s="224" t="s">
        <v>334</v>
      </c>
      <c r="P30" s="224" t="s">
        <v>334</v>
      </c>
      <c r="Q30" s="224" t="s">
        <v>334</v>
      </c>
      <c r="R30" s="224" t="s">
        <v>334</v>
      </c>
      <c r="S30" s="224" t="s">
        <v>334</v>
      </c>
      <c r="T30" s="224" t="s">
        <v>334</v>
      </c>
      <c r="V30" s="90"/>
    </row>
    <row r="31" spans="1:23" ht="13.25" customHeight="1" thickBot="1">
      <c r="A31" s="88"/>
      <c r="B31" s="577" t="s">
        <v>49</v>
      </c>
      <c r="C31" s="578">
        <v>0</v>
      </c>
      <c r="D31" s="578">
        <v>0</v>
      </c>
      <c r="E31" s="582" t="s">
        <v>334</v>
      </c>
      <c r="F31" s="582" t="s">
        <v>334</v>
      </c>
      <c r="G31" s="582" t="s">
        <v>334</v>
      </c>
      <c r="H31" s="582" t="s">
        <v>334</v>
      </c>
      <c r="I31" s="582" t="s">
        <v>334</v>
      </c>
      <c r="J31" s="582" t="s">
        <v>334</v>
      </c>
      <c r="K31" s="582" t="s">
        <v>334</v>
      </c>
      <c r="L31" s="582" t="s">
        <v>334</v>
      </c>
      <c r="M31" s="582" t="s">
        <v>334</v>
      </c>
      <c r="N31" s="582" t="s">
        <v>334</v>
      </c>
      <c r="O31" s="582" t="s">
        <v>334</v>
      </c>
      <c r="P31" s="582" t="s">
        <v>334</v>
      </c>
      <c r="Q31" s="582" t="s">
        <v>334</v>
      </c>
      <c r="R31" s="582" t="s">
        <v>334</v>
      </c>
      <c r="S31" s="582" t="s">
        <v>334</v>
      </c>
      <c r="T31" s="582" t="s">
        <v>334</v>
      </c>
      <c r="V31" s="90"/>
    </row>
    <row r="32" spans="1:23" ht="9" customHeight="1">
      <c r="A32" s="778" t="s">
        <v>402</v>
      </c>
      <c r="B32" s="780"/>
      <c r="C32" s="803"/>
      <c r="D32" s="803"/>
      <c r="E32" s="803"/>
      <c r="F32" s="803"/>
      <c r="G32" s="803"/>
      <c r="H32" s="803"/>
      <c r="I32" s="803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</row>
    <row r="33" spans="1:20" ht="9" customHeight="1">
      <c r="A33" s="778" t="s">
        <v>359</v>
      </c>
      <c r="B33" s="780"/>
      <c r="C33" s="803"/>
      <c r="D33" s="803"/>
      <c r="E33" s="803"/>
      <c r="F33" s="803"/>
      <c r="G33" s="803"/>
      <c r="H33" s="804"/>
      <c r="I33" s="804"/>
      <c r="J33" s="225"/>
      <c r="K33" s="225"/>
      <c r="L33" s="225"/>
      <c r="M33" s="225"/>
      <c r="N33" s="225"/>
      <c r="O33" s="225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803"/>
      <c r="D34" s="803"/>
      <c r="E34" s="803"/>
      <c r="F34" s="803"/>
      <c r="G34" s="803"/>
      <c r="H34" s="804"/>
      <c r="I34" s="804"/>
      <c r="J34" s="225"/>
      <c r="K34" s="225"/>
      <c r="L34" s="225"/>
      <c r="M34" s="225"/>
      <c r="N34" s="225"/>
      <c r="O34" s="225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  <row r="36" spans="1:20" ht="13.25" customHeight="1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50">
    <tabColor theme="9" tint="0.59999389629810485"/>
  </sheetPr>
  <dimension ref="A2:X35"/>
  <sheetViews>
    <sheetView showGridLines="0" zoomScaleNormal="100" workbookViewId="0">
      <selection activeCell="U59" sqref="U59"/>
    </sheetView>
  </sheetViews>
  <sheetFormatPr baseColWidth="10" defaultColWidth="7" defaultRowHeight="13.25" customHeight="1"/>
  <cols>
    <col min="1" max="1" width="1.19921875" style="82" customWidth="1"/>
    <col min="2" max="2" width="10" style="82" customWidth="1"/>
    <col min="3" max="4" width="8" style="82" hidden="1" customWidth="1"/>
    <col min="5" max="20" width="7.796875" style="82" customWidth="1"/>
    <col min="21" max="25" width="8.19921875" style="82" customWidth="1"/>
    <col min="26" max="16384" width="7" style="82"/>
  </cols>
  <sheetData>
    <row r="2" spans="1:24" ht="13.25" customHeight="1">
      <c r="A2" s="230" t="s">
        <v>522</v>
      </c>
      <c r="B2" s="231"/>
    </row>
    <row r="3" spans="1:24" ht="13.25" customHeight="1">
      <c r="A3" s="232" t="s">
        <v>421</v>
      </c>
      <c r="B3" s="232"/>
    </row>
    <row r="4" spans="1:24" ht="5" customHeight="1" thickBot="1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</row>
    <row r="5" spans="1:24" ht="15" customHeight="1">
      <c r="A5" s="964" t="s">
        <v>18</v>
      </c>
      <c r="B5" s="964"/>
      <c r="C5" s="569">
        <v>2005</v>
      </c>
      <c r="D5" s="569">
        <v>2006</v>
      </c>
      <c r="E5" s="569">
        <v>2007</v>
      </c>
      <c r="F5" s="569">
        <v>2008</v>
      </c>
      <c r="G5" s="569">
        <v>2009</v>
      </c>
      <c r="H5" s="569">
        <v>2010</v>
      </c>
      <c r="I5" s="569">
        <v>2011</v>
      </c>
      <c r="J5" s="569">
        <v>2012</v>
      </c>
      <c r="K5" s="569">
        <v>2013</v>
      </c>
      <c r="L5" s="569">
        <v>2014</v>
      </c>
      <c r="M5" s="569">
        <v>2015</v>
      </c>
      <c r="N5" s="569">
        <v>2016</v>
      </c>
      <c r="O5" s="569">
        <v>2017</v>
      </c>
      <c r="P5" s="569" t="s">
        <v>197</v>
      </c>
      <c r="Q5" s="569" t="s">
        <v>348</v>
      </c>
      <c r="R5" s="569">
        <v>2020</v>
      </c>
      <c r="S5" s="569">
        <v>2021</v>
      </c>
      <c r="T5" s="569" t="s">
        <v>490</v>
      </c>
    </row>
    <row r="6" spans="1:24" ht="15" customHeight="1">
      <c r="A6" s="963" t="s">
        <v>103</v>
      </c>
      <c r="B6" s="963"/>
      <c r="C6" s="570">
        <v>4.91</v>
      </c>
      <c r="D6" s="570">
        <v>5.26</v>
      </c>
      <c r="E6" s="570">
        <v>6.16</v>
      </c>
      <c r="F6" s="570">
        <v>6.45</v>
      </c>
      <c r="G6" s="570">
        <v>5.09</v>
      </c>
      <c r="H6" s="570">
        <v>5.73</v>
      </c>
      <c r="I6" s="570">
        <v>6.23</v>
      </c>
      <c r="J6" s="570">
        <v>6.27</v>
      </c>
      <c r="K6" s="570">
        <v>6.07</v>
      </c>
      <c r="L6" s="570">
        <v>6.27</v>
      </c>
      <c r="M6" s="570">
        <v>6.63</v>
      </c>
      <c r="N6" s="570">
        <v>6.91</v>
      </c>
      <c r="O6" s="570">
        <v>6.84</v>
      </c>
      <c r="P6" s="570">
        <v>7.25</v>
      </c>
      <c r="Q6" s="570">
        <v>6.9</v>
      </c>
      <c r="R6" s="570">
        <v>7.02</v>
      </c>
      <c r="S6" s="570">
        <v>6.44</v>
      </c>
      <c r="T6" s="570">
        <v>6.44</v>
      </c>
      <c r="V6" s="161"/>
      <c r="W6" s="161"/>
      <c r="X6" s="161"/>
    </row>
    <row r="7" spans="1:24" ht="3" customHeight="1">
      <c r="A7" s="83"/>
      <c r="B7" s="84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43"/>
      <c r="P7" s="243"/>
      <c r="Q7" s="243"/>
      <c r="R7" s="243"/>
      <c r="S7" s="243"/>
      <c r="T7" s="243"/>
    </row>
    <row r="8" spans="1:24" ht="13.25" customHeight="1">
      <c r="A8" s="83"/>
      <c r="B8" s="23" t="s">
        <v>21</v>
      </c>
      <c r="C8" s="238" t="s">
        <v>75</v>
      </c>
      <c r="D8" s="238" t="s">
        <v>75</v>
      </c>
      <c r="E8" s="238" t="s">
        <v>75</v>
      </c>
      <c r="F8" s="238" t="s">
        <v>75</v>
      </c>
      <c r="G8" s="238" t="s">
        <v>75</v>
      </c>
      <c r="H8" s="238" t="s">
        <v>75</v>
      </c>
      <c r="I8" s="238" t="s">
        <v>75</v>
      </c>
      <c r="J8" s="238" t="s">
        <v>75</v>
      </c>
      <c r="K8" s="238" t="s">
        <v>75</v>
      </c>
      <c r="L8" s="238" t="s">
        <v>75</v>
      </c>
      <c r="M8" s="238" t="s">
        <v>75</v>
      </c>
      <c r="N8" s="238" t="s">
        <v>75</v>
      </c>
      <c r="O8" s="238" t="s">
        <v>75</v>
      </c>
      <c r="P8" s="238" t="s">
        <v>75</v>
      </c>
      <c r="Q8" s="238" t="s">
        <v>75</v>
      </c>
      <c r="R8" s="238" t="s">
        <v>75</v>
      </c>
      <c r="S8" s="238" t="s">
        <v>75</v>
      </c>
      <c r="T8" s="238" t="s">
        <v>75</v>
      </c>
    </row>
    <row r="9" spans="1:24" ht="13.25" customHeight="1">
      <c r="A9" s="83"/>
      <c r="B9" s="23" t="s">
        <v>22</v>
      </c>
      <c r="C9" s="238" t="s">
        <v>75</v>
      </c>
      <c r="D9" s="238" t="s">
        <v>75</v>
      </c>
      <c r="E9" s="238" t="s">
        <v>75</v>
      </c>
      <c r="F9" s="238" t="s">
        <v>75</v>
      </c>
      <c r="G9" s="238" t="s">
        <v>75</v>
      </c>
      <c r="H9" s="238" t="s">
        <v>75</v>
      </c>
      <c r="I9" s="238" t="s">
        <v>75</v>
      </c>
      <c r="J9" s="238" t="s">
        <v>75</v>
      </c>
      <c r="K9" s="238" t="s">
        <v>75</v>
      </c>
      <c r="L9" s="238" t="s">
        <v>75</v>
      </c>
      <c r="M9" s="238" t="s">
        <v>75</v>
      </c>
      <c r="N9" s="238" t="s">
        <v>75</v>
      </c>
      <c r="O9" s="238" t="s">
        <v>75</v>
      </c>
      <c r="P9" s="238" t="s">
        <v>75</v>
      </c>
      <c r="Q9" s="238" t="s">
        <v>75</v>
      </c>
      <c r="R9" s="238" t="s">
        <v>75</v>
      </c>
      <c r="S9" s="238" t="s">
        <v>75</v>
      </c>
      <c r="T9" s="238" t="s">
        <v>75</v>
      </c>
    </row>
    <row r="10" spans="1:24" ht="13.25" customHeight="1">
      <c r="A10" s="83"/>
      <c r="B10" s="23" t="s">
        <v>23</v>
      </c>
      <c r="C10" s="238" t="s">
        <v>75</v>
      </c>
      <c r="D10" s="238" t="s">
        <v>75</v>
      </c>
      <c r="E10" s="238" t="s">
        <v>75</v>
      </c>
      <c r="F10" s="238" t="s">
        <v>75</v>
      </c>
      <c r="G10" s="238" t="s">
        <v>75</v>
      </c>
      <c r="H10" s="238" t="s">
        <v>75</v>
      </c>
      <c r="I10" s="238" t="s">
        <v>75</v>
      </c>
      <c r="J10" s="238" t="s">
        <v>75</v>
      </c>
      <c r="K10" s="238" t="s">
        <v>75</v>
      </c>
      <c r="L10" s="238" t="s">
        <v>75</v>
      </c>
      <c r="M10" s="238" t="s">
        <v>75</v>
      </c>
      <c r="N10" s="238" t="s">
        <v>75</v>
      </c>
      <c r="O10" s="238" t="s">
        <v>75</v>
      </c>
      <c r="P10" s="238" t="s">
        <v>75</v>
      </c>
      <c r="Q10" s="238" t="s">
        <v>75</v>
      </c>
      <c r="R10" s="238" t="s">
        <v>75</v>
      </c>
      <c r="S10" s="238" t="s">
        <v>75</v>
      </c>
      <c r="T10" s="238" t="s">
        <v>75</v>
      </c>
    </row>
    <row r="11" spans="1:24" ht="13.25" customHeight="1">
      <c r="A11" s="83"/>
      <c r="B11" s="23" t="s">
        <v>24</v>
      </c>
      <c r="C11" s="238" t="s">
        <v>75</v>
      </c>
      <c r="D11" s="238" t="s">
        <v>75</v>
      </c>
      <c r="E11" s="238" t="s">
        <v>75</v>
      </c>
      <c r="F11" s="238" t="s">
        <v>75</v>
      </c>
      <c r="G11" s="238" t="s">
        <v>75</v>
      </c>
      <c r="H11" s="238" t="s">
        <v>75</v>
      </c>
      <c r="I11" s="238" t="s">
        <v>75</v>
      </c>
      <c r="J11" s="238" t="s">
        <v>75</v>
      </c>
      <c r="K11" s="238" t="s">
        <v>75</v>
      </c>
      <c r="L11" s="238" t="s">
        <v>75</v>
      </c>
      <c r="M11" s="238" t="s">
        <v>75</v>
      </c>
      <c r="N11" s="238" t="s">
        <v>75</v>
      </c>
      <c r="O11" s="238" t="s">
        <v>75</v>
      </c>
      <c r="P11" s="238" t="s">
        <v>75</v>
      </c>
      <c r="Q11" s="238" t="s">
        <v>75</v>
      </c>
      <c r="R11" s="238" t="s">
        <v>75</v>
      </c>
      <c r="S11" s="238" t="s">
        <v>75</v>
      </c>
      <c r="T11" s="238" t="s">
        <v>75</v>
      </c>
    </row>
    <row r="12" spans="1:24" ht="13.25" customHeight="1">
      <c r="A12" s="83"/>
      <c r="B12" s="23" t="s">
        <v>25</v>
      </c>
      <c r="C12" s="238" t="s">
        <v>75</v>
      </c>
      <c r="D12" s="238" t="s">
        <v>75</v>
      </c>
      <c r="E12" s="238" t="s">
        <v>75</v>
      </c>
      <c r="F12" s="238" t="s">
        <v>75</v>
      </c>
      <c r="G12" s="238" t="s">
        <v>75</v>
      </c>
      <c r="H12" s="238" t="s">
        <v>75</v>
      </c>
      <c r="I12" s="238" t="s">
        <v>75</v>
      </c>
      <c r="J12" s="238" t="s">
        <v>75</v>
      </c>
      <c r="K12" s="238" t="s">
        <v>75</v>
      </c>
      <c r="L12" s="238" t="s">
        <v>75</v>
      </c>
      <c r="M12" s="238" t="s">
        <v>75</v>
      </c>
      <c r="N12" s="238" t="s">
        <v>75</v>
      </c>
      <c r="O12" s="238" t="s">
        <v>75</v>
      </c>
      <c r="P12" s="238" t="s">
        <v>75</v>
      </c>
      <c r="Q12" s="238" t="s">
        <v>75</v>
      </c>
      <c r="R12" s="238" t="s">
        <v>75</v>
      </c>
      <c r="S12" s="238" t="s">
        <v>75</v>
      </c>
      <c r="T12" s="238" t="s">
        <v>75</v>
      </c>
    </row>
    <row r="13" spans="1:24" ht="13.25" customHeight="1">
      <c r="A13" s="83"/>
      <c r="B13" s="23" t="s">
        <v>29</v>
      </c>
      <c r="C13" s="238" t="s">
        <v>75</v>
      </c>
      <c r="D13" s="238" t="s">
        <v>75</v>
      </c>
      <c r="E13" s="238" t="s">
        <v>75</v>
      </c>
      <c r="F13" s="238" t="s">
        <v>75</v>
      </c>
      <c r="G13" s="238" t="s">
        <v>75</v>
      </c>
      <c r="H13" s="238" t="s">
        <v>75</v>
      </c>
      <c r="I13" s="238" t="s">
        <v>75</v>
      </c>
      <c r="J13" s="238" t="s">
        <v>75</v>
      </c>
      <c r="K13" s="238" t="s">
        <v>75</v>
      </c>
      <c r="L13" s="238" t="s">
        <v>75</v>
      </c>
      <c r="M13" s="238" t="s">
        <v>75</v>
      </c>
      <c r="N13" s="238" t="s">
        <v>75</v>
      </c>
      <c r="O13" s="238" t="s">
        <v>75</v>
      </c>
      <c r="P13" s="238" t="s">
        <v>75</v>
      </c>
      <c r="Q13" s="238" t="s">
        <v>75</v>
      </c>
      <c r="R13" s="238" t="s">
        <v>75</v>
      </c>
      <c r="S13" s="238" t="s">
        <v>75</v>
      </c>
      <c r="T13" s="238" t="s">
        <v>75</v>
      </c>
    </row>
    <row r="14" spans="1:24" ht="13.25" customHeight="1">
      <c r="A14" s="83"/>
      <c r="B14" s="23" t="s">
        <v>30</v>
      </c>
      <c r="C14" s="238" t="s">
        <v>75</v>
      </c>
      <c r="D14" s="238" t="s">
        <v>75</v>
      </c>
      <c r="E14" s="238" t="s">
        <v>75</v>
      </c>
      <c r="F14" s="238" t="s">
        <v>75</v>
      </c>
      <c r="G14" s="238" t="s">
        <v>75</v>
      </c>
      <c r="H14" s="238" t="s">
        <v>75</v>
      </c>
      <c r="I14" s="238" t="s">
        <v>75</v>
      </c>
      <c r="J14" s="238" t="s">
        <v>75</v>
      </c>
      <c r="K14" s="238" t="s">
        <v>75</v>
      </c>
      <c r="L14" s="238" t="s">
        <v>75</v>
      </c>
      <c r="M14" s="238" t="s">
        <v>75</v>
      </c>
      <c r="N14" s="238" t="s">
        <v>75</v>
      </c>
      <c r="O14" s="238" t="s">
        <v>75</v>
      </c>
      <c r="P14" s="238" t="s">
        <v>75</v>
      </c>
      <c r="Q14" s="238" t="s">
        <v>75</v>
      </c>
      <c r="R14" s="238" t="s">
        <v>75</v>
      </c>
      <c r="S14" s="238" t="s">
        <v>75</v>
      </c>
      <c r="T14" s="238" t="s">
        <v>75</v>
      </c>
    </row>
    <row r="15" spans="1:24" ht="13.25" customHeight="1">
      <c r="A15" s="83"/>
      <c r="B15" s="23" t="s">
        <v>31</v>
      </c>
      <c r="C15" s="238">
        <v>0</v>
      </c>
      <c r="D15" s="238">
        <v>3.53</v>
      </c>
      <c r="E15" s="238">
        <v>3.51</v>
      </c>
      <c r="F15" s="238">
        <v>5.2</v>
      </c>
      <c r="G15" s="238">
        <v>5.0999999999999996</v>
      </c>
      <c r="H15" s="238">
        <v>6.21</v>
      </c>
      <c r="I15" s="238">
        <v>6.06</v>
      </c>
      <c r="J15" s="238">
        <v>6.17</v>
      </c>
      <c r="K15" s="238">
        <v>6.47</v>
      </c>
      <c r="L15" s="238">
        <v>7.7</v>
      </c>
      <c r="M15" s="238">
        <v>7.02</v>
      </c>
      <c r="N15" s="238">
        <v>7.71</v>
      </c>
      <c r="O15" s="238">
        <v>6.01</v>
      </c>
      <c r="P15" s="238">
        <v>5.76</v>
      </c>
      <c r="Q15" s="238">
        <v>6.24</v>
      </c>
      <c r="R15" s="238">
        <v>5.6</v>
      </c>
      <c r="S15" s="238">
        <v>6.29</v>
      </c>
      <c r="T15" s="238">
        <v>6.39</v>
      </c>
      <c r="V15" s="161"/>
      <c r="W15" s="161"/>
      <c r="X15" s="161"/>
    </row>
    <row r="16" spans="1:24" ht="13.25" customHeight="1">
      <c r="A16" s="83"/>
      <c r="B16" s="23" t="s">
        <v>32</v>
      </c>
      <c r="C16" s="238" t="s">
        <v>75</v>
      </c>
      <c r="D16" s="238" t="s">
        <v>75</v>
      </c>
      <c r="E16" s="238" t="s">
        <v>75</v>
      </c>
      <c r="F16" s="238" t="s">
        <v>75</v>
      </c>
      <c r="G16" s="238" t="s">
        <v>75</v>
      </c>
      <c r="H16" s="238" t="s">
        <v>75</v>
      </c>
      <c r="I16" s="238" t="s">
        <v>75</v>
      </c>
      <c r="J16" s="238" t="s">
        <v>75</v>
      </c>
      <c r="K16" s="238" t="s">
        <v>75</v>
      </c>
      <c r="L16" s="238" t="s">
        <v>75</v>
      </c>
      <c r="M16" s="238" t="s">
        <v>75</v>
      </c>
      <c r="N16" s="238" t="s">
        <v>75</v>
      </c>
      <c r="O16" s="238" t="s">
        <v>75</v>
      </c>
      <c r="P16" s="238" t="s">
        <v>75</v>
      </c>
      <c r="Q16" s="238" t="s">
        <v>75</v>
      </c>
      <c r="R16" s="238" t="s">
        <v>75</v>
      </c>
      <c r="S16" s="238" t="s">
        <v>75</v>
      </c>
      <c r="T16" s="238" t="s">
        <v>75</v>
      </c>
      <c r="V16" s="161"/>
      <c r="W16" s="161"/>
      <c r="X16" s="161"/>
    </row>
    <row r="17" spans="1:24" ht="13.25" customHeight="1">
      <c r="A17" s="83"/>
      <c r="B17" s="23" t="s">
        <v>33</v>
      </c>
      <c r="C17" s="238" t="s">
        <v>75</v>
      </c>
      <c r="D17" s="238" t="s">
        <v>75</v>
      </c>
      <c r="E17" s="238" t="s">
        <v>75</v>
      </c>
      <c r="F17" s="238" t="s">
        <v>75</v>
      </c>
      <c r="G17" s="238" t="s">
        <v>75</v>
      </c>
      <c r="H17" s="238" t="s">
        <v>75</v>
      </c>
      <c r="I17" s="238" t="s">
        <v>75</v>
      </c>
      <c r="J17" s="238" t="s">
        <v>75</v>
      </c>
      <c r="K17" s="238" t="s">
        <v>75</v>
      </c>
      <c r="L17" s="238" t="s">
        <v>75</v>
      </c>
      <c r="M17" s="238" t="s">
        <v>75</v>
      </c>
      <c r="N17" s="238" t="s">
        <v>75</v>
      </c>
      <c r="O17" s="238" t="s">
        <v>75</v>
      </c>
      <c r="P17" s="238" t="s">
        <v>75</v>
      </c>
      <c r="Q17" s="238" t="s">
        <v>75</v>
      </c>
      <c r="R17" s="238" t="s">
        <v>75</v>
      </c>
      <c r="S17" s="238" t="s">
        <v>75</v>
      </c>
      <c r="T17" s="238" t="s">
        <v>75</v>
      </c>
      <c r="V17" s="161"/>
      <c r="W17" s="161"/>
      <c r="X17" s="161"/>
    </row>
    <row r="18" spans="1:24" ht="13.25" customHeight="1">
      <c r="A18" s="83"/>
      <c r="B18" s="23" t="s">
        <v>34</v>
      </c>
      <c r="C18" s="238">
        <v>3.31</v>
      </c>
      <c r="D18" s="238">
        <v>3.94</v>
      </c>
      <c r="E18" s="238">
        <v>6.18</v>
      </c>
      <c r="F18" s="238">
        <v>6.78</v>
      </c>
      <c r="G18" s="238">
        <v>4.4800000000000004</v>
      </c>
      <c r="H18" s="238">
        <v>5.47</v>
      </c>
      <c r="I18" s="238">
        <v>5.68</v>
      </c>
      <c r="J18" s="238">
        <v>5.68</v>
      </c>
      <c r="K18" s="238">
        <v>6.92</v>
      </c>
      <c r="L18" s="238">
        <v>7.78</v>
      </c>
      <c r="M18" s="238">
        <v>7.86</v>
      </c>
      <c r="N18" s="238">
        <v>7.7</v>
      </c>
      <c r="O18" s="243">
        <v>7.42</v>
      </c>
      <c r="P18" s="243">
        <v>5.71</v>
      </c>
      <c r="Q18" s="243">
        <v>5.76</v>
      </c>
      <c r="R18" s="243">
        <v>6.56</v>
      </c>
      <c r="S18" s="243">
        <v>6.6</v>
      </c>
      <c r="T18" s="243">
        <v>7.51</v>
      </c>
      <c r="V18" s="161"/>
      <c r="W18" s="161"/>
      <c r="X18" s="161"/>
    </row>
    <row r="19" spans="1:24" ht="13.25" customHeight="1">
      <c r="A19" s="83"/>
      <c r="B19" s="23" t="s">
        <v>35</v>
      </c>
      <c r="C19" s="238">
        <v>2.56</v>
      </c>
      <c r="D19" s="238">
        <v>2.56</v>
      </c>
      <c r="E19" s="238">
        <v>5.25</v>
      </c>
      <c r="F19" s="238">
        <v>6.14</v>
      </c>
      <c r="G19" s="238">
        <v>4.99</v>
      </c>
      <c r="H19" s="238">
        <v>5.66</v>
      </c>
      <c r="I19" s="238">
        <v>5.59</v>
      </c>
      <c r="J19" s="238">
        <v>6</v>
      </c>
      <c r="K19" s="238">
        <v>5.73</v>
      </c>
      <c r="L19" s="238">
        <v>7.59</v>
      </c>
      <c r="M19" s="238">
        <v>8.8800000000000008</v>
      </c>
      <c r="N19" s="238">
        <v>9.09</v>
      </c>
      <c r="O19" s="243">
        <v>7.92</v>
      </c>
      <c r="P19" s="243">
        <v>7.17</v>
      </c>
      <c r="Q19" s="243">
        <v>6.27</v>
      </c>
      <c r="R19" s="243">
        <v>7.05</v>
      </c>
      <c r="S19" s="243">
        <v>7.16</v>
      </c>
      <c r="T19" s="243">
        <v>6.85</v>
      </c>
      <c r="V19" s="161"/>
      <c r="W19" s="161"/>
      <c r="X19" s="161"/>
    </row>
    <row r="20" spans="1:24" ht="13.25" customHeight="1">
      <c r="A20" s="83"/>
      <c r="B20" s="23" t="s">
        <v>36</v>
      </c>
      <c r="C20" s="238">
        <v>4.43</v>
      </c>
      <c r="D20" s="238">
        <v>4.74</v>
      </c>
      <c r="E20" s="238">
        <v>5.16</v>
      </c>
      <c r="F20" s="238">
        <v>7</v>
      </c>
      <c r="G20" s="238">
        <v>4.57</v>
      </c>
      <c r="H20" s="238">
        <v>5.0199999999999996</v>
      </c>
      <c r="I20" s="238">
        <v>6.73</v>
      </c>
      <c r="J20" s="238">
        <v>6</v>
      </c>
      <c r="K20" s="238">
        <v>6.79</v>
      </c>
      <c r="L20" s="238">
        <v>6.31</v>
      </c>
      <c r="M20" s="238">
        <v>6.52</v>
      </c>
      <c r="N20" s="238">
        <v>6.78</v>
      </c>
      <c r="O20" s="243">
        <v>5.48</v>
      </c>
      <c r="P20" s="243">
        <v>5.42</v>
      </c>
      <c r="Q20" s="243">
        <v>5.74</v>
      </c>
      <c r="R20" s="243">
        <v>6.91</v>
      </c>
      <c r="S20" s="243">
        <v>6.77</v>
      </c>
      <c r="T20" s="243">
        <v>6.88</v>
      </c>
      <c r="V20" s="161"/>
      <c r="W20" s="161"/>
      <c r="X20" s="161"/>
    </row>
    <row r="21" spans="1:24" ht="13.25" customHeight="1">
      <c r="A21" s="83"/>
      <c r="B21" s="23" t="s">
        <v>37</v>
      </c>
      <c r="C21" s="238">
        <v>5.56</v>
      </c>
      <c r="D21" s="238">
        <v>4.9000000000000004</v>
      </c>
      <c r="E21" s="238">
        <v>5.67</v>
      </c>
      <c r="F21" s="238">
        <v>6.02</v>
      </c>
      <c r="G21" s="238">
        <v>4.3899999999999997</v>
      </c>
      <c r="H21" s="238">
        <v>4.51</v>
      </c>
      <c r="I21" s="238">
        <v>4.87</v>
      </c>
      <c r="J21" s="238">
        <v>5.4</v>
      </c>
      <c r="K21" s="238">
        <v>6.24</v>
      </c>
      <c r="L21" s="238">
        <v>6.28</v>
      </c>
      <c r="M21" s="238">
        <v>7.36</v>
      </c>
      <c r="N21" s="238">
        <v>7.55</v>
      </c>
      <c r="O21" s="243">
        <v>5.81</v>
      </c>
      <c r="P21" s="243">
        <v>5.81</v>
      </c>
      <c r="Q21" s="243">
        <v>7.15</v>
      </c>
      <c r="R21" s="243">
        <v>7.37</v>
      </c>
      <c r="S21" s="243">
        <v>7.22</v>
      </c>
      <c r="T21" s="243">
        <v>7.2</v>
      </c>
      <c r="V21" s="161"/>
      <c r="W21" s="161"/>
      <c r="X21" s="161"/>
    </row>
    <row r="22" spans="1:24" ht="13.25" customHeight="1">
      <c r="A22" s="83"/>
      <c r="B22" s="23" t="s">
        <v>38</v>
      </c>
      <c r="C22" s="238">
        <v>6.33</v>
      </c>
      <c r="D22" s="238">
        <v>5.66</v>
      </c>
      <c r="E22" s="238">
        <v>6.62</v>
      </c>
      <c r="F22" s="238">
        <v>7.51</v>
      </c>
      <c r="G22" s="238">
        <v>4.2</v>
      </c>
      <c r="H22" s="238">
        <v>6.21</v>
      </c>
      <c r="I22" s="238">
        <v>6.4</v>
      </c>
      <c r="J22" s="238">
        <v>4.92</v>
      </c>
      <c r="K22" s="238">
        <v>6.84</v>
      </c>
      <c r="L22" s="238">
        <v>7.51</v>
      </c>
      <c r="M22" s="238">
        <v>6.83</v>
      </c>
      <c r="N22" s="238">
        <v>7.28</v>
      </c>
      <c r="O22" s="243">
        <v>6.84</v>
      </c>
      <c r="P22" s="243">
        <v>6.09</v>
      </c>
      <c r="Q22" s="243">
        <v>6.94</v>
      </c>
      <c r="R22" s="243">
        <v>6.98</v>
      </c>
      <c r="S22" s="243">
        <v>7.03</v>
      </c>
      <c r="T22" s="243">
        <v>6.94</v>
      </c>
      <c r="V22" s="161"/>
      <c r="W22" s="161"/>
      <c r="X22" s="161"/>
    </row>
    <row r="23" spans="1:24" ht="13.25" customHeight="1">
      <c r="A23" s="83"/>
      <c r="B23" s="23" t="s">
        <v>39</v>
      </c>
      <c r="C23" s="238" t="s">
        <v>75</v>
      </c>
      <c r="D23" s="238" t="s">
        <v>75</v>
      </c>
      <c r="E23" s="238" t="s">
        <v>75</v>
      </c>
      <c r="F23" s="238" t="s">
        <v>75</v>
      </c>
      <c r="G23" s="238">
        <v>4.42</v>
      </c>
      <c r="H23" s="238" t="s">
        <v>75</v>
      </c>
      <c r="I23" s="238" t="s">
        <v>75</v>
      </c>
      <c r="J23" s="238">
        <v>5.52</v>
      </c>
      <c r="K23" s="238">
        <v>6.95</v>
      </c>
      <c r="L23" s="238">
        <v>7.84</v>
      </c>
      <c r="M23" s="238">
        <v>7.28</v>
      </c>
      <c r="N23" s="238">
        <v>7.77</v>
      </c>
      <c r="O23" s="243">
        <v>7.73</v>
      </c>
      <c r="P23" s="243">
        <v>0</v>
      </c>
      <c r="Q23" s="243">
        <v>0</v>
      </c>
      <c r="R23" s="243">
        <v>0</v>
      </c>
      <c r="S23" s="243">
        <v>0</v>
      </c>
      <c r="T23" s="243">
        <v>0</v>
      </c>
      <c r="V23" s="161"/>
      <c r="W23" s="161"/>
      <c r="X23" s="161"/>
    </row>
    <row r="24" spans="1:24" ht="13.25" customHeight="1">
      <c r="A24" s="83"/>
      <c r="B24" s="23" t="s">
        <v>40</v>
      </c>
      <c r="C24" s="238">
        <v>4.17</v>
      </c>
      <c r="D24" s="238">
        <v>4.0199999999999996</v>
      </c>
      <c r="E24" s="238">
        <v>5.3</v>
      </c>
      <c r="F24" s="238">
        <v>7.39</v>
      </c>
      <c r="G24" s="238">
        <v>6.88</v>
      </c>
      <c r="H24" s="238">
        <v>7.12</v>
      </c>
      <c r="I24" s="238">
        <v>5.77</v>
      </c>
      <c r="J24" s="238">
        <v>5.97</v>
      </c>
      <c r="K24" s="238">
        <v>6.71</v>
      </c>
      <c r="L24" s="238">
        <v>6.55</v>
      </c>
      <c r="M24" s="238">
        <v>4.84</v>
      </c>
      <c r="N24" s="238">
        <v>5.0599999999999996</v>
      </c>
      <c r="O24" s="243">
        <v>5.54</v>
      </c>
      <c r="P24" s="243">
        <v>5.59</v>
      </c>
      <c r="Q24" s="243">
        <v>5.84</v>
      </c>
      <c r="R24" s="243">
        <v>5.83</v>
      </c>
      <c r="S24" s="243">
        <v>5.79</v>
      </c>
      <c r="T24" s="243">
        <v>6.09</v>
      </c>
      <c r="V24" s="161"/>
      <c r="W24" s="161"/>
      <c r="X24" s="161"/>
    </row>
    <row r="25" spans="1:24" ht="13.25" customHeight="1">
      <c r="A25" s="83"/>
      <c r="B25" s="82" t="s">
        <v>41</v>
      </c>
      <c r="C25" s="238">
        <v>3.44</v>
      </c>
      <c r="D25" s="238">
        <v>5.04</v>
      </c>
      <c r="E25" s="238">
        <v>5.38</v>
      </c>
      <c r="F25" s="238">
        <v>7.08</v>
      </c>
      <c r="G25" s="238">
        <v>6.14</v>
      </c>
      <c r="H25" s="238">
        <v>6.24</v>
      </c>
      <c r="I25" s="238">
        <v>6.23</v>
      </c>
      <c r="J25" s="238">
        <v>5.95</v>
      </c>
      <c r="K25" s="238">
        <v>6.47</v>
      </c>
      <c r="L25" s="238">
        <v>5.43</v>
      </c>
      <c r="M25" s="238">
        <v>5.39</v>
      </c>
      <c r="N25" s="238">
        <v>5.55</v>
      </c>
      <c r="O25" s="243">
        <v>5.7</v>
      </c>
      <c r="P25" s="243">
        <v>5.94</v>
      </c>
      <c r="Q25" s="243">
        <v>5.94</v>
      </c>
      <c r="R25" s="243">
        <v>5.91</v>
      </c>
      <c r="S25" s="243">
        <v>5.75</v>
      </c>
      <c r="T25" s="243">
        <v>5.81</v>
      </c>
      <c r="V25" s="161"/>
      <c r="W25" s="161"/>
      <c r="X25" s="161"/>
    </row>
    <row r="26" spans="1:24" ht="13.25" customHeight="1">
      <c r="A26" s="83"/>
      <c r="B26" s="23" t="s">
        <v>44</v>
      </c>
      <c r="C26" s="238">
        <v>4.53</v>
      </c>
      <c r="D26" s="238">
        <v>7.45</v>
      </c>
      <c r="E26" s="238">
        <v>7.11</v>
      </c>
      <c r="F26" s="238">
        <v>7.45</v>
      </c>
      <c r="G26" s="238">
        <v>6.29</v>
      </c>
      <c r="H26" s="238">
        <v>6.37</v>
      </c>
      <c r="I26" s="238">
        <v>6.3</v>
      </c>
      <c r="J26" s="238">
        <v>5.18</v>
      </c>
      <c r="K26" s="238">
        <v>5.35</v>
      </c>
      <c r="L26" s="238">
        <v>5.59</v>
      </c>
      <c r="M26" s="238">
        <v>4.54</v>
      </c>
      <c r="N26" s="238">
        <v>5.76</v>
      </c>
      <c r="O26" s="243">
        <v>5.77</v>
      </c>
      <c r="P26" s="243">
        <v>6.1</v>
      </c>
      <c r="Q26" s="243">
        <v>6.53</v>
      </c>
      <c r="R26" s="243">
        <v>6.72</v>
      </c>
      <c r="S26" s="243">
        <v>6.64</v>
      </c>
      <c r="T26" s="243">
        <v>6.64</v>
      </c>
      <c r="V26" s="161"/>
      <c r="W26" s="161"/>
      <c r="X26" s="161"/>
    </row>
    <row r="27" spans="1:24" ht="13.25" customHeight="1">
      <c r="A27" s="83"/>
      <c r="B27" s="82" t="s">
        <v>45</v>
      </c>
      <c r="C27" s="238">
        <v>5.57</v>
      </c>
      <c r="D27" s="238">
        <v>5.7</v>
      </c>
      <c r="E27" s="238">
        <v>6.41</v>
      </c>
      <c r="F27" s="238">
        <v>6.08</v>
      </c>
      <c r="G27" s="238">
        <v>4.7</v>
      </c>
      <c r="H27" s="238">
        <v>5.69</v>
      </c>
      <c r="I27" s="238">
        <v>6.6</v>
      </c>
      <c r="J27" s="238">
        <v>6.89</v>
      </c>
      <c r="K27" s="238">
        <v>5.96</v>
      </c>
      <c r="L27" s="238">
        <v>6.11</v>
      </c>
      <c r="M27" s="238">
        <v>6.7</v>
      </c>
      <c r="N27" s="238">
        <v>6.83</v>
      </c>
      <c r="O27" s="243">
        <v>7.1</v>
      </c>
      <c r="P27" s="243">
        <v>7.83</v>
      </c>
      <c r="Q27" s="243">
        <v>7.18</v>
      </c>
      <c r="R27" s="243">
        <v>7.13</v>
      </c>
      <c r="S27" s="243">
        <v>6.27</v>
      </c>
      <c r="T27" s="243">
        <v>6.3</v>
      </c>
      <c r="V27" s="161"/>
      <c r="W27" s="161"/>
      <c r="X27" s="161"/>
    </row>
    <row r="28" spans="1:24" ht="13.25" customHeight="1">
      <c r="A28" s="34"/>
      <c r="B28" s="23" t="s">
        <v>46</v>
      </c>
      <c r="C28" s="238" t="s">
        <v>75</v>
      </c>
      <c r="D28" s="238" t="s">
        <v>75</v>
      </c>
      <c r="E28" s="238" t="s">
        <v>75</v>
      </c>
      <c r="F28" s="238" t="s">
        <v>75</v>
      </c>
      <c r="G28" s="238" t="s">
        <v>75</v>
      </c>
      <c r="H28" s="238" t="s">
        <v>75</v>
      </c>
      <c r="I28" s="238" t="s">
        <v>75</v>
      </c>
      <c r="J28" s="238" t="s">
        <v>75</v>
      </c>
      <c r="K28" s="238" t="s">
        <v>75</v>
      </c>
      <c r="L28" s="238" t="s">
        <v>75</v>
      </c>
      <c r="M28" s="238" t="s">
        <v>75</v>
      </c>
      <c r="N28" s="238" t="s">
        <v>75</v>
      </c>
      <c r="O28" s="238" t="s">
        <v>75</v>
      </c>
      <c r="P28" s="238" t="s">
        <v>75</v>
      </c>
      <c r="Q28" s="238" t="s">
        <v>75</v>
      </c>
      <c r="R28" s="238" t="s">
        <v>75</v>
      </c>
      <c r="S28" s="238" t="s">
        <v>75</v>
      </c>
      <c r="T28" s="238" t="s">
        <v>75</v>
      </c>
    </row>
    <row r="29" spans="1:24" ht="13.25" customHeight="1">
      <c r="A29" s="35"/>
      <c r="B29" s="35" t="s">
        <v>47</v>
      </c>
      <c r="C29" s="238" t="s">
        <v>75</v>
      </c>
      <c r="D29" s="238" t="s">
        <v>75</v>
      </c>
      <c r="E29" s="238" t="s">
        <v>75</v>
      </c>
      <c r="F29" s="238" t="s">
        <v>75</v>
      </c>
      <c r="G29" s="238" t="s">
        <v>75</v>
      </c>
      <c r="H29" s="238" t="s">
        <v>75</v>
      </c>
      <c r="I29" s="238" t="s">
        <v>75</v>
      </c>
      <c r="J29" s="238" t="s">
        <v>75</v>
      </c>
      <c r="K29" s="238" t="s">
        <v>75</v>
      </c>
      <c r="L29" s="238" t="s">
        <v>75</v>
      </c>
      <c r="M29" s="238" t="s">
        <v>75</v>
      </c>
      <c r="N29" s="238" t="s">
        <v>75</v>
      </c>
      <c r="O29" s="238" t="s">
        <v>75</v>
      </c>
      <c r="P29" s="238" t="s">
        <v>75</v>
      </c>
      <c r="Q29" s="238" t="s">
        <v>75</v>
      </c>
      <c r="R29" s="238" t="s">
        <v>75</v>
      </c>
      <c r="S29" s="238" t="s">
        <v>75</v>
      </c>
      <c r="T29" s="238" t="s">
        <v>75</v>
      </c>
    </row>
    <row r="30" spans="1:24" ht="13.25" customHeight="1">
      <c r="A30" s="42"/>
      <c r="B30" s="42" t="s">
        <v>48</v>
      </c>
      <c r="C30" s="238" t="s">
        <v>75</v>
      </c>
      <c r="D30" s="238" t="s">
        <v>75</v>
      </c>
      <c r="E30" s="238" t="s">
        <v>75</v>
      </c>
      <c r="F30" s="238" t="s">
        <v>75</v>
      </c>
      <c r="G30" s="238" t="s">
        <v>75</v>
      </c>
      <c r="H30" s="238" t="s">
        <v>75</v>
      </c>
      <c r="I30" s="238" t="s">
        <v>75</v>
      </c>
      <c r="J30" s="238" t="s">
        <v>75</v>
      </c>
      <c r="K30" s="238" t="s">
        <v>75</v>
      </c>
      <c r="L30" s="238" t="s">
        <v>75</v>
      </c>
      <c r="M30" s="238" t="s">
        <v>75</v>
      </c>
      <c r="N30" s="238" t="s">
        <v>75</v>
      </c>
      <c r="O30" s="238" t="s">
        <v>75</v>
      </c>
      <c r="P30" s="238" t="s">
        <v>75</v>
      </c>
      <c r="Q30" s="238" t="s">
        <v>75</v>
      </c>
      <c r="R30" s="238" t="s">
        <v>75</v>
      </c>
      <c r="S30" s="238" t="s">
        <v>75</v>
      </c>
      <c r="T30" s="238" t="s">
        <v>75</v>
      </c>
    </row>
    <row r="31" spans="1:24" ht="13.25" customHeight="1" thickBot="1">
      <c r="A31" s="39"/>
      <c r="B31" s="575" t="s">
        <v>49</v>
      </c>
      <c r="C31" s="576" t="s">
        <v>75</v>
      </c>
      <c r="D31" s="576" t="s">
        <v>75</v>
      </c>
      <c r="E31" s="576" t="s">
        <v>75</v>
      </c>
      <c r="F31" s="576" t="s">
        <v>75</v>
      </c>
      <c r="G31" s="576" t="s">
        <v>75</v>
      </c>
      <c r="H31" s="576" t="s">
        <v>75</v>
      </c>
      <c r="I31" s="576" t="s">
        <v>75</v>
      </c>
      <c r="J31" s="576" t="s">
        <v>75</v>
      </c>
      <c r="K31" s="576" t="s">
        <v>75</v>
      </c>
      <c r="L31" s="576" t="s">
        <v>75</v>
      </c>
      <c r="M31" s="576" t="s">
        <v>75</v>
      </c>
      <c r="N31" s="576" t="s">
        <v>75</v>
      </c>
      <c r="O31" s="576" t="s">
        <v>75</v>
      </c>
      <c r="P31" s="576" t="s">
        <v>75</v>
      </c>
      <c r="Q31" s="576" t="s">
        <v>75</v>
      </c>
      <c r="R31" s="576" t="s">
        <v>75</v>
      </c>
      <c r="S31" s="576" t="s">
        <v>75</v>
      </c>
      <c r="T31" s="576" t="s">
        <v>75</v>
      </c>
    </row>
    <row r="32" spans="1:24" ht="9" customHeight="1">
      <c r="A32" s="778" t="s">
        <v>402</v>
      </c>
      <c r="B32" s="780"/>
      <c r="C32" s="780"/>
      <c r="D32" s="780"/>
      <c r="E32" s="780"/>
      <c r="F32" s="805"/>
      <c r="G32" s="805"/>
      <c r="H32" s="805"/>
      <c r="I32" s="805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</row>
    <row r="33" spans="1:20" ht="9" customHeight="1">
      <c r="A33" s="778" t="s">
        <v>359</v>
      </c>
      <c r="B33" s="780"/>
      <c r="C33" s="780"/>
      <c r="D33" s="780"/>
      <c r="E33" s="780"/>
      <c r="F33" s="805"/>
      <c r="G33" s="805"/>
      <c r="H33" s="805"/>
      <c r="I33" s="805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</row>
    <row r="34" spans="1:20" ht="9" customHeight="1">
      <c r="A34" s="780" t="s">
        <v>358</v>
      </c>
      <c r="B34" s="788"/>
      <c r="C34" s="788"/>
      <c r="D34" s="788"/>
      <c r="E34" s="788"/>
      <c r="F34" s="805"/>
      <c r="G34" s="805"/>
      <c r="H34" s="805"/>
      <c r="I34" s="805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</row>
    <row r="35" spans="1:20" ht="13.25" customHeight="1">
      <c r="A35" s="805"/>
      <c r="B35" s="805"/>
      <c r="C35" s="805"/>
      <c r="D35" s="805"/>
      <c r="E35" s="805"/>
      <c r="F35" s="805"/>
      <c r="G35" s="805"/>
      <c r="H35" s="805"/>
      <c r="I35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51">
    <tabColor theme="9" tint="0.59999389629810485"/>
  </sheetPr>
  <dimension ref="A3:O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10.3984375" style="129" customWidth="1"/>
    <col min="3" max="14" width="9" style="129" customWidth="1"/>
    <col min="15" max="16384" width="7" style="129"/>
  </cols>
  <sheetData>
    <row r="3" spans="1:15" ht="13.25" customHeight="1"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1:15" ht="13.25" customHeight="1">
      <c r="A4" s="248" t="s">
        <v>523</v>
      </c>
      <c r="B4" s="244"/>
    </row>
    <row r="5" spans="1:15" ht="13.25" customHeight="1">
      <c r="A5" s="251" t="s">
        <v>238</v>
      </c>
      <c r="B5" s="244"/>
    </row>
    <row r="6" spans="1:15" ht="4" customHeight="1" thickBot="1"/>
    <row r="7" spans="1:15" ht="15" customHeight="1">
      <c r="A7" s="602" t="s">
        <v>18</v>
      </c>
      <c r="B7" s="603" t="s">
        <v>106</v>
      </c>
      <c r="C7" s="602" t="s">
        <v>55</v>
      </c>
      <c r="D7" s="602" t="s">
        <v>56</v>
      </c>
      <c r="E7" s="602" t="s">
        <v>57</v>
      </c>
      <c r="F7" s="602" t="s">
        <v>58</v>
      </c>
      <c r="G7" s="602" t="s">
        <v>59</v>
      </c>
      <c r="H7" s="602" t="s">
        <v>60</v>
      </c>
      <c r="I7" s="602" t="s">
        <v>61</v>
      </c>
      <c r="J7" s="602" t="s">
        <v>62</v>
      </c>
      <c r="K7" s="602" t="s">
        <v>63</v>
      </c>
      <c r="L7" s="602" t="s">
        <v>64</v>
      </c>
      <c r="M7" s="602" t="s">
        <v>65</v>
      </c>
      <c r="N7" s="602" t="s">
        <v>66</v>
      </c>
    </row>
    <row r="8" spans="1:15" ht="15" customHeight="1">
      <c r="A8" s="623" t="s">
        <v>90</v>
      </c>
      <c r="B8" s="901">
        <f t="shared" ref="B8:N8" si="0">(B9+B10+B11+B12+B13+B17+B18+B19+B20+B21+B22+B23+B24+B25+B26+B27+B28+B29+B32+B33+B34+B35+B36+B37)</f>
        <v>803595904</v>
      </c>
      <c r="C8" s="624">
        <f t="shared" si="0"/>
        <v>66377016</v>
      </c>
      <c r="D8" s="624">
        <f t="shared" si="0"/>
        <v>60480379</v>
      </c>
      <c r="E8" s="624">
        <f t="shared" si="0"/>
        <v>66024664</v>
      </c>
      <c r="F8" s="624">
        <f t="shared" si="0"/>
        <v>67529172</v>
      </c>
      <c r="G8" s="624">
        <f t="shared" si="0"/>
        <v>68590400</v>
      </c>
      <c r="H8" s="624">
        <f t="shared" si="0"/>
        <v>68337709</v>
      </c>
      <c r="I8" s="624">
        <f t="shared" si="0"/>
        <v>69734315</v>
      </c>
      <c r="J8" s="624">
        <f t="shared" si="0"/>
        <v>67443760</v>
      </c>
      <c r="K8" s="624">
        <f t="shared" si="0"/>
        <v>67736744</v>
      </c>
      <c r="L8" s="624">
        <f t="shared" si="0"/>
        <v>67949254</v>
      </c>
      <c r="M8" s="624">
        <f t="shared" si="0"/>
        <v>64848867</v>
      </c>
      <c r="N8" s="624">
        <f t="shared" si="0"/>
        <v>68543624</v>
      </c>
    </row>
    <row r="9" spans="1:15" ht="12.75" customHeight="1">
      <c r="A9" s="152" t="s">
        <v>21</v>
      </c>
      <c r="B9" s="902">
        <f>SUM(C9:N9)</f>
        <v>94258</v>
      </c>
      <c r="C9" s="146">
        <v>5190</v>
      </c>
      <c r="D9" s="146">
        <v>5290</v>
      </c>
      <c r="E9" s="146">
        <v>8036</v>
      </c>
      <c r="F9" s="146">
        <v>8453</v>
      </c>
      <c r="G9" s="146">
        <v>5451</v>
      </c>
      <c r="H9" s="146">
        <v>6368</v>
      </c>
      <c r="I9" s="146">
        <v>5231</v>
      </c>
      <c r="J9" s="146">
        <v>10789</v>
      </c>
      <c r="K9" s="146">
        <v>9154</v>
      </c>
      <c r="L9" s="146">
        <v>5690</v>
      </c>
      <c r="M9" s="146">
        <v>16255</v>
      </c>
      <c r="N9" s="146">
        <v>8351</v>
      </c>
    </row>
    <row r="10" spans="1:15" ht="12.75" customHeight="1">
      <c r="A10" s="152" t="s">
        <v>22</v>
      </c>
      <c r="B10" s="902">
        <f t="shared" ref="B10:B37" si="1">SUM(C10:N10)</f>
        <v>14666979</v>
      </c>
      <c r="C10" s="146">
        <v>1366945</v>
      </c>
      <c r="D10" s="146">
        <v>1328100</v>
      </c>
      <c r="E10" s="146">
        <v>1162445</v>
      </c>
      <c r="F10" s="146">
        <v>1221878</v>
      </c>
      <c r="G10" s="146">
        <v>1172966</v>
      </c>
      <c r="H10" s="146">
        <v>1183826</v>
      </c>
      <c r="I10" s="146">
        <v>1147295</v>
      </c>
      <c r="J10" s="146">
        <v>1196437</v>
      </c>
      <c r="K10" s="146">
        <v>1128724</v>
      </c>
      <c r="L10" s="146">
        <v>1201721</v>
      </c>
      <c r="M10" s="146">
        <v>1280634</v>
      </c>
      <c r="N10" s="146">
        <v>1276008</v>
      </c>
    </row>
    <row r="11" spans="1:15" ht="12.75" customHeight="1">
      <c r="A11" s="152" t="s">
        <v>23</v>
      </c>
      <c r="B11" s="902">
        <f t="shared" si="1"/>
        <v>12038951</v>
      </c>
      <c r="C11" s="146">
        <v>1443222</v>
      </c>
      <c r="D11" s="146">
        <v>747749</v>
      </c>
      <c r="E11" s="146">
        <v>960094</v>
      </c>
      <c r="F11" s="146">
        <v>1298967</v>
      </c>
      <c r="G11" s="146">
        <v>657307</v>
      </c>
      <c r="H11" s="146">
        <v>1040058</v>
      </c>
      <c r="I11" s="146">
        <v>861907</v>
      </c>
      <c r="J11" s="146">
        <v>1011802</v>
      </c>
      <c r="K11" s="146">
        <v>1082017</v>
      </c>
      <c r="L11" s="146">
        <v>1070468</v>
      </c>
      <c r="M11" s="146">
        <v>1136773</v>
      </c>
      <c r="N11" s="146">
        <v>728587</v>
      </c>
    </row>
    <row r="12" spans="1:15" ht="12.75" customHeight="1">
      <c r="A12" s="129" t="s">
        <v>24</v>
      </c>
      <c r="B12" s="902">
        <f t="shared" si="1"/>
        <v>143372462</v>
      </c>
      <c r="C12" s="146">
        <v>12673414</v>
      </c>
      <c r="D12" s="146">
        <v>10708600</v>
      </c>
      <c r="E12" s="146">
        <v>12410410</v>
      </c>
      <c r="F12" s="146">
        <v>12649359</v>
      </c>
      <c r="G12" s="146">
        <v>12281011</v>
      </c>
      <c r="H12" s="146">
        <v>11949928</v>
      </c>
      <c r="I12" s="146">
        <v>12213146</v>
      </c>
      <c r="J12" s="146">
        <v>11627267</v>
      </c>
      <c r="K12" s="146">
        <v>11219825</v>
      </c>
      <c r="L12" s="146">
        <v>12212149</v>
      </c>
      <c r="M12" s="146">
        <v>11636418</v>
      </c>
      <c r="N12" s="146">
        <v>11790935</v>
      </c>
    </row>
    <row r="13" spans="1:15" ht="12.75" customHeight="1">
      <c r="A13" s="129" t="s">
        <v>25</v>
      </c>
      <c r="B13" s="902">
        <f t="shared" si="1"/>
        <v>1684120</v>
      </c>
      <c r="C13" s="146">
        <v>145881</v>
      </c>
      <c r="D13" s="146">
        <v>121179</v>
      </c>
      <c r="E13" s="146">
        <v>118931</v>
      </c>
      <c r="F13" s="146">
        <v>130175</v>
      </c>
      <c r="G13" s="146">
        <v>134545</v>
      </c>
      <c r="H13" s="146">
        <v>137582</v>
      </c>
      <c r="I13" s="146">
        <v>153081</v>
      </c>
      <c r="J13" s="146">
        <v>141899</v>
      </c>
      <c r="K13" s="146">
        <v>148739</v>
      </c>
      <c r="L13" s="146">
        <v>152175</v>
      </c>
      <c r="M13" s="146">
        <v>142924</v>
      </c>
      <c r="N13" s="146">
        <v>157009</v>
      </c>
    </row>
    <row r="14" spans="1:15" ht="12.75" customHeight="1">
      <c r="A14" s="127" t="s">
        <v>91</v>
      </c>
      <c r="B14" s="902">
        <f t="shared" si="1"/>
        <v>1063585</v>
      </c>
      <c r="C14" s="146">
        <v>94197</v>
      </c>
      <c r="D14" s="146">
        <v>71524</v>
      </c>
      <c r="E14" s="146">
        <v>75620</v>
      </c>
      <c r="F14" s="146">
        <v>78424</v>
      </c>
      <c r="G14" s="146">
        <v>87506</v>
      </c>
      <c r="H14" s="146">
        <v>87920</v>
      </c>
      <c r="I14" s="146">
        <v>99791</v>
      </c>
      <c r="J14" s="146">
        <v>87053</v>
      </c>
      <c r="K14" s="146">
        <v>91894</v>
      </c>
      <c r="L14" s="146">
        <v>100090</v>
      </c>
      <c r="M14" s="146">
        <v>89883</v>
      </c>
      <c r="N14" s="146">
        <v>99683</v>
      </c>
    </row>
    <row r="15" spans="1:15" ht="12.75" customHeight="1">
      <c r="A15" s="127" t="s">
        <v>92</v>
      </c>
      <c r="B15" s="902">
        <f t="shared" si="1"/>
        <v>290130</v>
      </c>
      <c r="C15" s="146">
        <v>22970</v>
      </c>
      <c r="D15" s="146">
        <v>23253</v>
      </c>
      <c r="E15" s="146">
        <v>20137</v>
      </c>
      <c r="F15" s="146">
        <v>25767</v>
      </c>
      <c r="G15" s="146">
        <v>21975</v>
      </c>
      <c r="H15" s="146">
        <v>22678</v>
      </c>
      <c r="I15" s="146">
        <v>25318</v>
      </c>
      <c r="J15" s="146">
        <v>26376</v>
      </c>
      <c r="K15" s="146">
        <v>26978</v>
      </c>
      <c r="L15" s="146">
        <v>24387</v>
      </c>
      <c r="M15" s="146">
        <v>24643</v>
      </c>
      <c r="N15" s="146">
        <v>25648</v>
      </c>
    </row>
    <row r="16" spans="1:15" ht="12.75" customHeight="1">
      <c r="A16" s="127" t="s">
        <v>93</v>
      </c>
      <c r="B16" s="902">
        <f t="shared" si="1"/>
        <v>330401</v>
      </c>
      <c r="C16" s="146">
        <v>28713</v>
      </c>
      <c r="D16" s="146">
        <v>26401</v>
      </c>
      <c r="E16" s="146">
        <v>23173</v>
      </c>
      <c r="F16" s="146">
        <v>25984</v>
      </c>
      <c r="G16" s="146">
        <v>25064</v>
      </c>
      <c r="H16" s="146">
        <v>26984</v>
      </c>
      <c r="I16" s="146">
        <v>27972</v>
      </c>
      <c r="J16" s="146">
        <v>28470</v>
      </c>
      <c r="K16" s="146">
        <v>29867</v>
      </c>
      <c r="L16" s="146">
        <v>27698</v>
      </c>
      <c r="M16" s="146">
        <v>28397</v>
      </c>
      <c r="N16" s="146">
        <v>31678</v>
      </c>
    </row>
    <row r="17" spans="1:14" ht="12.75" customHeight="1">
      <c r="A17" s="152" t="s">
        <v>29</v>
      </c>
      <c r="B17" s="902">
        <f t="shared" si="1"/>
        <v>373999</v>
      </c>
      <c r="C17" s="146">
        <v>35493</v>
      </c>
      <c r="D17" s="146">
        <v>25919</v>
      </c>
      <c r="E17" s="146">
        <v>28474</v>
      </c>
      <c r="F17" s="146">
        <v>27268</v>
      </c>
      <c r="G17" s="146">
        <v>24189</v>
      </c>
      <c r="H17" s="146">
        <v>30755</v>
      </c>
      <c r="I17" s="146">
        <v>28013</v>
      </c>
      <c r="J17" s="146">
        <v>32667</v>
      </c>
      <c r="K17" s="146">
        <v>34946</v>
      </c>
      <c r="L17" s="146">
        <v>33052</v>
      </c>
      <c r="M17" s="146">
        <v>39651</v>
      </c>
      <c r="N17" s="146">
        <v>33572</v>
      </c>
    </row>
    <row r="18" spans="1:14" ht="12.75" customHeight="1">
      <c r="A18" s="129" t="s">
        <v>30</v>
      </c>
      <c r="B18" s="902">
        <f t="shared" si="1"/>
        <v>17448955</v>
      </c>
      <c r="C18" s="146">
        <v>2153281</v>
      </c>
      <c r="D18" s="146">
        <v>1185907</v>
      </c>
      <c r="E18" s="146">
        <v>1233683</v>
      </c>
      <c r="F18" s="146">
        <v>978531</v>
      </c>
      <c r="G18" s="146">
        <v>1887112</v>
      </c>
      <c r="H18" s="146">
        <v>1504720</v>
      </c>
      <c r="I18" s="146">
        <v>1732332</v>
      </c>
      <c r="J18" s="146">
        <v>1316439</v>
      </c>
      <c r="K18" s="146">
        <v>1360360</v>
      </c>
      <c r="L18" s="146">
        <v>1277268</v>
      </c>
      <c r="M18" s="146">
        <v>1128478</v>
      </c>
      <c r="N18" s="146">
        <v>1690844</v>
      </c>
    </row>
    <row r="19" spans="1:14" ht="12.75" customHeight="1">
      <c r="A19" s="129" t="s">
        <v>31</v>
      </c>
      <c r="B19" s="902">
        <f t="shared" si="1"/>
        <v>432052928</v>
      </c>
      <c r="C19" s="146">
        <v>33853938</v>
      </c>
      <c r="D19" s="146">
        <v>32722143</v>
      </c>
      <c r="E19" s="146">
        <v>35297625</v>
      </c>
      <c r="F19" s="146">
        <v>35238661</v>
      </c>
      <c r="G19" s="146">
        <v>36188479</v>
      </c>
      <c r="H19" s="146">
        <v>36794007</v>
      </c>
      <c r="I19" s="146">
        <v>37377689</v>
      </c>
      <c r="J19" s="146">
        <v>36454002</v>
      </c>
      <c r="K19" s="146">
        <v>37940884</v>
      </c>
      <c r="L19" s="146">
        <v>36954425</v>
      </c>
      <c r="M19" s="146">
        <v>35270711</v>
      </c>
      <c r="N19" s="146">
        <v>37960364</v>
      </c>
    </row>
    <row r="20" spans="1:14" ht="12.75" customHeight="1">
      <c r="A20" s="152" t="s">
        <v>32</v>
      </c>
      <c r="B20" s="902">
        <f t="shared" si="1"/>
        <v>44320106</v>
      </c>
      <c r="C20" s="146">
        <v>3183643</v>
      </c>
      <c r="D20" s="146">
        <v>3087536</v>
      </c>
      <c r="E20" s="146">
        <v>3796178</v>
      </c>
      <c r="F20" s="146">
        <v>4243164</v>
      </c>
      <c r="G20" s="146">
        <v>4262379</v>
      </c>
      <c r="H20" s="146">
        <v>3932006</v>
      </c>
      <c r="I20" s="146">
        <v>3825470</v>
      </c>
      <c r="J20" s="146">
        <v>3721464</v>
      </c>
      <c r="K20" s="146">
        <v>3756574</v>
      </c>
      <c r="L20" s="146">
        <v>3499276</v>
      </c>
      <c r="M20" s="146">
        <v>3477596</v>
      </c>
      <c r="N20" s="146">
        <v>3534820</v>
      </c>
    </row>
    <row r="21" spans="1:14" ht="12.75" customHeight="1">
      <c r="A21" s="152" t="s">
        <v>33</v>
      </c>
      <c r="B21" s="902">
        <f t="shared" si="1"/>
        <v>614190</v>
      </c>
      <c r="C21" s="146">
        <v>42537</v>
      </c>
      <c r="D21" s="146">
        <v>40293</v>
      </c>
      <c r="E21" s="146">
        <v>42407</v>
      </c>
      <c r="F21" s="146">
        <v>49269</v>
      </c>
      <c r="G21" s="146">
        <v>48175</v>
      </c>
      <c r="H21" s="146">
        <v>67688</v>
      </c>
      <c r="I21" s="146">
        <v>71722</v>
      </c>
      <c r="J21" s="146">
        <v>54966</v>
      </c>
      <c r="K21" s="146">
        <v>42441</v>
      </c>
      <c r="L21" s="146">
        <v>49297</v>
      </c>
      <c r="M21" s="146">
        <v>52960</v>
      </c>
      <c r="N21" s="146">
        <v>52435</v>
      </c>
    </row>
    <row r="22" spans="1:14" ht="12.75" customHeight="1">
      <c r="A22" s="152" t="s">
        <v>34</v>
      </c>
      <c r="B22" s="902">
        <f t="shared" si="1"/>
        <v>264768</v>
      </c>
      <c r="C22" s="146">
        <v>13334</v>
      </c>
      <c r="D22" s="146">
        <v>10172</v>
      </c>
      <c r="E22" s="146">
        <v>10261</v>
      </c>
      <c r="F22" s="146">
        <v>40483</v>
      </c>
      <c r="G22" s="146">
        <v>22460</v>
      </c>
      <c r="H22" s="146">
        <v>17363</v>
      </c>
      <c r="I22" s="146">
        <v>28337</v>
      </c>
      <c r="J22" s="146">
        <v>23868</v>
      </c>
      <c r="K22" s="146">
        <v>23726</v>
      </c>
      <c r="L22" s="146">
        <v>22768</v>
      </c>
      <c r="M22" s="146">
        <v>33972</v>
      </c>
      <c r="N22" s="146">
        <v>18024</v>
      </c>
    </row>
    <row r="23" spans="1:14" ht="12.75" customHeight="1">
      <c r="A23" s="152" t="s">
        <v>35</v>
      </c>
      <c r="B23" s="902">
        <f t="shared" si="1"/>
        <v>4720596</v>
      </c>
      <c r="C23" s="146">
        <v>335618</v>
      </c>
      <c r="D23" s="146">
        <v>385311</v>
      </c>
      <c r="E23" s="146">
        <v>440485</v>
      </c>
      <c r="F23" s="146">
        <v>441921</v>
      </c>
      <c r="G23" s="146">
        <v>430052</v>
      </c>
      <c r="H23" s="146">
        <v>396818</v>
      </c>
      <c r="I23" s="146">
        <v>402329</v>
      </c>
      <c r="J23" s="146">
        <v>385100</v>
      </c>
      <c r="K23" s="146">
        <v>367065</v>
      </c>
      <c r="L23" s="146">
        <v>389673</v>
      </c>
      <c r="M23" s="146">
        <v>364999</v>
      </c>
      <c r="N23" s="146">
        <v>381225</v>
      </c>
    </row>
    <row r="24" spans="1:14" ht="12.75" customHeight="1">
      <c r="A24" s="152" t="s">
        <v>36</v>
      </c>
      <c r="B24" s="902">
        <f t="shared" si="1"/>
        <v>459985</v>
      </c>
      <c r="C24" s="146">
        <v>38368</v>
      </c>
      <c r="D24" s="146">
        <v>40043</v>
      </c>
      <c r="E24" s="146">
        <v>35966</v>
      </c>
      <c r="F24" s="146">
        <v>44051</v>
      </c>
      <c r="G24" s="146">
        <v>39550</v>
      </c>
      <c r="H24" s="146">
        <v>39613</v>
      </c>
      <c r="I24" s="146">
        <v>40254</v>
      </c>
      <c r="J24" s="146">
        <v>41124</v>
      </c>
      <c r="K24" s="146">
        <v>33342</v>
      </c>
      <c r="L24" s="146">
        <v>30446</v>
      </c>
      <c r="M24" s="146">
        <v>36421</v>
      </c>
      <c r="N24" s="146">
        <v>40807</v>
      </c>
    </row>
    <row r="25" spans="1:14" ht="12.75" customHeight="1">
      <c r="A25" s="129" t="s">
        <v>37</v>
      </c>
      <c r="B25" s="902">
        <f t="shared" si="1"/>
        <v>77959807</v>
      </c>
      <c r="C25" s="146">
        <v>6788003</v>
      </c>
      <c r="D25" s="146">
        <v>6268675</v>
      </c>
      <c r="E25" s="146">
        <v>6297970</v>
      </c>
      <c r="F25" s="146">
        <v>6631640</v>
      </c>
      <c r="G25" s="146">
        <v>6851616</v>
      </c>
      <c r="H25" s="146">
        <v>6734191</v>
      </c>
      <c r="I25" s="146">
        <v>7169927</v>
      </c>
      <c r="J25" s="146">
        <v>6732715</v>
      </c>
      <c r="K25" s="146">
        <v>6188600</v>
      </c>
      <c r="L25" s="146">
        <v>6366274</v>
      </c>
      <c r="M25" s="146">
        <v>6106073</v>
      </c>
      <c r="N25" s="146">
        <v>5824123</v>
      </c>
    </row>
    <row r="26" spans="1:14" ht="12.75" customHeight="1">
      <c r="A26" s="152" t="s">
        <v>38</v>
      </c>
      <c r="B26" s="902">
        <f t="shared" si="1"/>
        <v>91236</v>
      </c>
      <c r="C26" s="146">
        <v>7212</v>
      </c>
      <c r="D26" s="146">
        <v>7527</v>
      </c>
      <c r="E26" s="146">
        <v>6209</v>
      </c>
      <c r="F26" s="146">
        <v>6785</v>
      </c>
      <c r="G26" s="146">
        <v>5703</v>
      </c>
      <c r="H26" s="146">
        <v>5059</v>
      </c>
      <c r="I26" s="146">
        <v>11709</v>
      </c>
      <c r="J26" s="146">
        <v>12412</v>
      </c>
      <c r="K26" s="146">
        <v>7021</v>
      </c>
      <c r="L26" s="146">
        <v>7472</v>
      </c>
      <c r="M26" s="146">
        <v>7293</v>
      </c>
      <c r="N26" s="146">
        <v>6834</v>
      </c>
    </row>
    <row r="27" spans="1:14" ht="12.75" customHeight="1">
      <c r="A27" s="152" t="s">
        <v>39</v>
      </c>
      <c r="B27" s="902">
        <f t="shared" si="1"/>
        <v>8603163</v>
      </c>
      <c r="C27" s="146">
        <v>718271</v>
      </c>
      <c r="D27" s="146">
        <v>619468</v>
      </c>
      <c r="E27" s="146">
        <v>711876</v>
      </c>
      <c r="F27" s="146">
        <v>775808</v>
      </c>
      <c r="G27" s="146">
        <v>805481</v>
      </c>
      <c r="H27" s="146">
        <v>759474</v>
      </c>
      <c r="I27" s="146">
        <v>755630</v>
      </c>
      <c r="J27" s="146">
        <v>713234</v>
      </c>
      <c r="K27" s="146">
        <v>689755</v>
      </c>
      <c r="L27" s="146">
        <v>673555</v>
      </c>
      <c r="M27" s="146">
        <v>656531</v>
      </c>
      <c r="N27" s="146">
        <v>724080</v>
      </c>
    </row>
    <row r="28" spans="1:14" ht="12.75" customHeight="1">
      <c r="A28" s="152" t="s">
        <v>40</v>
      </c>
      <c r="B28" s="902">
        <f t="shared" si="1"/>
        <v>492297</v>
      </c>
      <c r="C28" s="146">
        <v>32373</v>
      </c>
      <c r="D28" s="146">
        <v>32345</v>
      </c>
      <c r="E28" s="146">
        <v>39066</v>
      </c>
      <c r="F28" s="146">
        <v>49220</v>
      </c>
      <c r="G28" s="146">
        <v>39671</v>
      </c>
      <c r="H28" s="146">
        <v>38779</v>
      </c>
      <c r="I28" s="146">
        <v>42712</v>
      </c>
      <c r="J28" s="146">
        <v>45434</v>
      </c>
      <c r="K28" s="146">
        <v>40784</v>
      </c>
      <c r="L28" s="146">
        <v>40389</v>
      </c>
      <c r="M28" s="146">
        <v>41411</v>
      </c>
      <c r="N28" s="146">
        <v>50113</v>
      </c>
    </row>
    <row r="29" spans="1:14" ht="12.75" customHeight="1">
      <c r="A29" s="129" t="s">
        <v>41</v>
      </c>
      <c r="B29" s="902">
        <f t="shared" si="1"/>
        <v>367080</v>
      </c>
      <c r="C29" s="146">
        <v>34438</v>
      </c>
      <c r="D29" s="146">
        <v>28098</v>
      </c>
      <c r="E29" s="146">
        <v>30454</v>
      </c>
      <c r="F29" s="146">
        <v>36143</v>
      </c>
      <c r="G29" s="146">
        <v>32394</v>
      </c>
      <c r="H29" s="146">
        <v>31057</v>
      </c>
      <c r="I29" s="146">
        <v>32255</v>
      </c>
      <c r="J29" s="146">
        <v>28483</v>
      </c>
      <c r="K29" s="146">
        <v>27637</v>
      </c>
      <c r="L29" s="146">
        <v>28005</v>
      </c>
      <c r="M29" s="146">
        <v>27332</v>
      </c>
      <c r="N29" s="146">
        <v>30784</v>
      </c>
    </row>
    <row r="30" spans="1:14" ht="12.75" customHeight="1">
      <c r="A30" s="127" t="s">
        <v>94</v>
      </c>
      <c r="B30" s="902">
        <f t="shared" si="1"/>
        <v>223591</v>
      </c>
      <c r="C30" s="146">
        <v>20663</v>
      </c>
      <c r="D30" s="146">
        <v>17885</v>
      </c>
      <c r="E30" s="146">
        <v>20150</v>
      </c>
      <c r="F30" s="146">
        <v>21184</v>
      </c>
      <c r="G30" s="146">
        <v>18357</v>
      </c>
      <c r="H30" s="146">
        <v>17987</v>
      </c>
      <c r="I30" s="146">
        <v>18974</v>
      </c>
      <c r="J30" s="146">
        <v>18589</v>
      </c>
      <c r="K30" s="146">
        <v>16972</v>
      </c>
      <c r="L30" s="146">
        <v>17053</v>
      </c>
      <c r="M30" s="146">
        <v>17092</v>
      </c>
      <c r="N30" s="146">
        <v>18685</v>
      </c>
    </row>
    <row r="31" spans="1:14" ht="12.75" customHeight="1">
      <c r="A31" s="127" t="s">
        <v>95</v>
      </c>
      <c r="B31" s="902">
        <f t="shared" si="1"/>
        <v>143487</v>
      </c>
      <c r="C31" s="146">
        <v>13775</v>
      </c>
      <c r="D31" s="146">
        <v>10213</v>
      </c>
      <c r="E31" s="146">
        <v>10304</v>
      </c>
      <c r="F31" s="146">
        <v>14959</v>
      </c>
      <c r="G31" s="146">
        <v>14038</v>
      </c>
      <c r="H31" s="146">
        <v>13069</v>
      </c>
      <c r="I31" s="146">
        <v>13280</v>
      </c>
      <c r="J31" s="146">
        <v>9894</v>
      </c>
      <c r="K31" s="146">
        <v>10664</v>
      </c>
      <c r="L31" s="146">
        <v>10953</v>
      </c>
      <c r="M31" s="146">
        <v>10239</v>
      </c>
      <c r="N31" s="146">
        <v>12099</v>
      </c>
    </row>
    <row r="32" spans="1:14" ht="12.75" customHeight="1">
      <c r="A32" s="152" t="s">
        <v>44</v>
      </c>
      <c r="B32" s="902">
        <f t="shared" si="1"/>
        <v>1767782</v>
      </c>
      <c r="C32" s="146">
        <v>110801</v>
      </c>
      <c r="D32" s="146">
        <v>116735</v>
      </c>
      <c r="E32" s="146">
        <v>121299</v>
      </c>
      <c r="F32" s="146">
        <v>136544</v>
      </c>
      <c r="G32" s="146">
        <v>130243</v>
      </c>
      <c r="H32" s="146">
        <v>161084</v>
      </c>
      <c r="I32" s="146">
        <v>169052</v>
      </c>
      <c r="J32" s="146">
        <v>164139</v>
      </c>
      <c r="K32" s="146">
        <v>172996</v>
      </c>
      <c r="L32" s="146">
        <v>170058</v>
      </c>
      <c r="M32" s="146">
        <v>155225</v>
      </c>
      <c r="N32" s="146">
        <v>159606</v>
      </c>
    </row>
    <row r="33" spans="1:14" ht="12.75" customHeight="1">
      <c r="A33" s="152" t="s">
        <v>45</v>
      </c>
      <c r="B33" s="902">
        <f t="shared" si="1"/>
        <v>1277712</v>
      </c>
      <c r="C33" s="146">
        <v>109998</v>
      </c>
      <c r="D33" s="146">
        <v>107556</v>
      </c>
      <c r="E33" s="146">
        <v>87196</v>
      </c>
      <c r="F33" s="146">
        <v>101132</v>
      </c>
      <c r="G33" s="146">
        <v>109822</v>
      </c>
      <c r="H33" s="146">
        <v>104555</v>
      </c>
      <c r="I33" s="146">
        <v>109810</v>
      </c>
      <c r="J33" s="146">
        <v>127219</v>
      </c>
      <c r="K33" s="146">
        <v>112220</v>
      </c>
      <c r="L33" s="146">
        <v>105401</v>
      </c>
      <c r="M33" s="146">
        <v>102759</v>
      </c>
      <c r="N33" s="146">
        <v>100044</v>
      </c>
    </row>
    <row r="34" spans="1:14" ht="12.75" customHeight="1">
      <c r="A34" s="129" t="s">
        <v>46</v>
      </c>
      <c r="B34" s="902">
        <f t="shared" si="1"/>
        <v>17838694</v>
      </c>
      <c r="C34" s="146">
        <v>1450300</v>
      </c>
      <c r="D34" s="146">
        <v>1470641</v>
      </c>
      <c r="E34" s="146">
        <v>1461254</v>
      </c>
      <c r="F34" s="146">
        <v>1606205</v>
      </c>
      <c r="G34" s="146">
        <v>1689078</v>
      </c>
      <c r="H34" s="146">
        <v>1529067</v>
      </c>
      <c r="I34" s="146">
        <v>1603351</v>
      </c>
      <c r="J34" s="146">
        <v>1428366</v>
      </c>
      <c r="K34" s="146">
        <v>1368274</v>
      </c>
      <c r="L34" s="146">
        <v>1431264</v>
      </c>
      <c r="M34" s="146">
        <v>1313780</v>
      </c>
      <c r="N34" s="146">
        <v>1487114</v>
      </c>
    </row>
    <row r="35" spans="1:14" ht="12.75" customHeight="1">
      <c r="A35" s="129" t="s">
        <v>47</v>
      </c>
      <c r="B35" s="902">
        <f t="shared" si="1"/>
        <v>11879967</v>
      </c>
      <c r="C35" s="146">
        <v>990152</v>
      </c>
      <c r="D35" s="146">
        <v>863287</v>
      </c>
      <c r="E35" s="146">
        <v>894137</v>
      </c>
      <c r="F35" s="146">
        <v>889758</v>
      </c>
      <c r="G35" s="146">
        <v>872863</v>
      </c>
      <c r="H35" s="146">
        <v>929594</v>
      </c>
      <c r="I35" s="146">
        <v>1009732</v>
      </c>
      <c r="J35" s="146">
        <v>1038704</v>
      </c>
      <c r="K35" s="146">
        <v>1068666</v>
      </c>
      <c r="L35" s="146">
        <v>1026676</v>
      </c>
      <c r="M35" s="146">
        <v>979500</v>
      </c>
      <c r="N35" s="146">
        <v>1316898</v>
      </c>
    </row>
    <row r="36" spans="1:14" ht="12.75" customHeight="1">
      <c r="A36" s="129" t="s">
        <v>48</v>
      </c>
      <c r="B36" s="902">
        <f t="shared" si="1"/>
        <v>6931980</v>
      </c>
      <c r="C36" s="146">
        <v>446652</v>
      </c>
      <c r="D36" s="146">
        <v>279778</v>
      </c>
      <c r="E36" s="146">
        <v>485456</v>
      </c>
      <c r="F36" s="146">
        <v>588323</v>
      </c>
      <c r="G36" s="146">
        <v>549291</v>
      </c>
      <c r="H36" s="146">
        <v>616102</v>
      </c>
      <c r="I36" s="146">
        <v>580686</v>
      </c>
      <c r="J36" s="146">
        <v>733654</v>
      </c>
      <c r="K36" s="146">
        <v>549115</v>
      </c>
      <c r="L36" s="146">
        <v>836312</v>
      </c>
      <c r="M36" s="146">
        <v>532877</v>
      </c>
      <c r="N36" s="146">
        <v>733734</v>
      </c>
    </row>
    <row r="37" spans="1:14" ht="12.75" customHeight="1" thickBot="1">
      <c r="A37" s="154" t="s">
        <v>49</v>
      </c>
      <c r="B37" s="903">
        <f t="shared" si="1"/>
        <v>4273889</v>
      </c>
      <c r="C37" s="157">
        <v>397952</v>
      </c>
      <c r="D37" s="157">
        <v>278027</v>
      </c>
      <c r="E37" s="157">
        <v>344752</v>
      </c>
      <c r="F37" s="157">
        <v>335434</v>
      </c>
      <c r="G37" s="157">
        <v>350562</v>
      </c>
      <c r="H37" s="157">
        <v>328015</v>
      </c>
      <c r="I37" s="157">
        <v>362645</v>
      </c>
      <c r="J37" s="157">
        <v>401576</v>
      </c>
      <c r="K37" s="157">
        <v>363879</v>
      </c>
      <c r="L37" s="157">
        <v>365440</v>
      </c>
      <c r="M37" s="157">
        <v>308294</v>
      </c>
      <c r="N37" s="157">
        <v>437313</v>
      </c>
    </row>
    <row r="38" spans="1:14" ht="9" customHeight="1">
      <c r="A38" s="778" t="s">
        <v>402</v>
      </c>
      <c r="B38" s="811"/>
      <c r="C38" s="811"/>
      <c r="D38" s="811"/>
      <c r="E38" s="811"/>
      <c r="F38" s="255"/>
    </row>
    <row r="39" spans="1:14" ht="9" customHeight="1">
      <c r="A39" s="778" t="s">
        <v>359</v>
      </c>
      <c r="B39" s="811"/>
      <c r="C39" s="811"/>
      <c r="D39" s="811"/>
      <c r="E39" s="811"/>
      <c r="F39" s="255"/>
    </row>
    <row r="40" spans="1:14" ht="9" customHeight="1">
      <c r="A40" s="780" t="s">
        <v>358</v>
      </c>
      <c r="B40" s="811"/>
      <c r="C40" s="811"/>
      <c r="D40" s="811"/>
      <c r="E40" s="811"/>
      <c r="F40" s="255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52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796875" style="129" customWidth="1"/>
    <col min="3" max="14" width="9" style="129" customWidth="1"/>
    <col min="15" max="16384" width="7" style="129"/>
  </cols>
  <sheetData>
    <row r="4" spans="1:14" ht="13.25" customHeight="1">
      <c r="A4" s="249" t="s">
        <v>524</v>
      </c>
      <c r="B4" s="245"/>
    </row>
    <row r="5" spans="1:14" ht="13.25" customHeight="1">
      <c r="A5" s="252" t="s">
        <v>236</v>
      </c>
      <c r="B5" s="245"/>
    </row>
    <row r="6" spans="1:14" ht="4" customHeight="1" thickBot="1"/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20" t="s">
        <v>90</v>
      </c>
      <c r="B8" s="622">
        <f>SUM(C8:N8)</f>
        <v>1801775.9999999995</v>
      </c>
      <c r="C8" s="622">
        <f t="shared" ref="C8:N8" si="0">(C9+C10+C11+C12+C13+C17+C18+C19+C20+C21+C22+C23+C24+C25+C26+C27+C28+C29+C32+C33+C34+C35+C36+C37)</f>
        <v>146431.00000000003</v>
      </c>
      <c r="D8" s="622">
        <f t="shared" si="0"/>
        <v>131107.59999999998</v>
      </c>
      <c r="E8" s="622">
        <f t="shared" si="0"/>
        <v>147136.19999999998</v>
      </c>
      <c r="F8" s="622">
        <f t="shared" si="0"/>
        <v>150880.39999999997</v>
      </c>
      <c r="G8" s="622">
        <f t="shared" si="0"/>
        <v>152011.00000000003</v>
      </c>
      <c r="H8" s="622">
        <f t="shared" si="0"/>
        <v>150727.9</v>
      </c>
      <c r="I8" s="622">
        <f t="shared" si="0"/>
        <v>156985.19999999995</v>
      </c>
      <c r="J8" s="622">
        <f t="shared" si="0"/>
        <v>152344.5</v>
      </c>
      <c r="K8" s="622">
        <f t="shared" si="0"/>
        <v>151414.39999999999</v>
      </c>
      <c r="L8" s="622">
        <f t="shared" si="0"/>
        <v>154949.50000000003</v>
      </c>
      <c r="M8" s="622">
        <f t="shared" si="0"/>
        <v>149045.4</v>
      </c>
      <c r="N8" s="622">
        <f t="shared" si="0"/>
        <v>158742.9</v>
      </c>
    </row>
    <row r="9" spans="1:14" ht="12.75" customHeight="1">
      <c r="A9" s="152" t="s">
        <v>21</v>
      </c>
      <c r="B9" s="637">
        <f t="shared" ref="B9:B37" si="1">SUM(C9:N9)</f>
        <v>242.8</v>
      </c>
      <c r="C9" s="258">
        <v>10.6</v>
      </c>
      <c r="D9" s="258">
        <v>10.7</v>
      </c>
      <c r="E9" s="258">
        <v>16.8</v>
      </c>
      <c r="F9" s="258">
        <v>19.399999999999999</v>
      </c>
      <c r="G9" s="258">
        <v>13.3</v>
      </c>
      <c r="H9" s="258">
        <v>14</v>
      </c>
      <c r="I9" s="258">
        <v>11.3</v>
      </c>
      <c r="J9" s="258">
        <v>24.5</v>
      </c>
      <c r="K9" s="258">
        <v>35.700000000000003</v>
      </c>
      <c r="L9" s="258">
        <v>12.5</v>
      </c>
      <c r="M9" s="258">
        <v>44.8</v>
      </c>
      <c r="N9" s="258">
        <v>29.2</v>
      </c>
    </row>
    <row r="10" spans="1:14" ht="12.75" customHeight="1">
      <c r="A10" s="152" t="s">
        <v>22</v>
      </c>
      <c r="B10" s="637">
        <f t="shared" si="1"/>
        <v>32372.2</v>
      </c>
      <c r="C10" s="258">
        <v>3017.5</v>
      </c>
      <c r="D10" s="258">
        <v>2690.5</v>
      </c>
      <c r="E10" s="258">
        <v>2544.4</v>
      </c>
      <c r="F10" s="258">
        <v>2694.9</v>
      </c>
      <c r="G10" s="258">
        <v>2599.6999999999998</v>
      </c>
      <c r="H10" s="258">
        <v>2578.6999999999998</v>
      </c>
      <c r="I10" s="258">
        <v>2553.6</v>
      </c>
      <c r="J10" s="258">
        <v>2615.5</v>
      </c>
      <c r="K10" s="258">
        <v>2559</v>
      </c>
      <c r="L10" s="258">
        <v>2713.6</v>
      </c>
      <c r="M10" s="258">
        <v>2830.9</v>
      </c>
      <c r="N10" s="258">
        <v>2973.9</v>
      </c>
    </row>
    <row r="11" spans="1:14" ht="12.75" customHeight="1">
      <c r="A11" s="152" t="s">
        <v>23</v>
      </c>
      <c r="B11" s="637">
        <f t="shared" si="1"/>
        <v>26526.6</v>
      </c>
      <c r="C11" s="258">
        <v>3164.2</v>
      </c>
      <c r="D11" s="258">
        <v>1630.9</v>
      </c>
      <c r="E11" s="258">
        <v>2079.6999999999998</v>
      </c>
      <c r="F11" s="258">
        <v>2884.6</v>
      </c>
      <c r="G11" s="258">
        <v>1447.7</v>
      </c>
      <c r="H11" s="258">
        <v>2313.9</v>
      </c>
      <c r="I11" s="258">
        <v>1895.4</v>
      </c>
      <c r="J11" s="258">
        <v>2183.3000000000002</v>
      </c>
      <c r="K11" s="258">
        <v>2424.1</v>
      </c>
      <c r="L11" s="258">
        <v>2291.3000000000002</v>
      </c>
      <c r="M11" s="258">
        <v>2562.6</v>
      </c>
      <c r="N11" s="258">
        <v>1648.9</v>
      </c>
    </row>
    <row r="12" spans="1:14" ht="12.75" customHeight="1">
      <c r="A12" s="129" t="s">
        <v>24</v>
      </c>
      <c r="B12" s="637">
        <f t="shared" si="1"/>
        <v>319759.5</v>
      </c>
      <c r="C12" s="258">
        <v>27466</v>
      </c>
      <c r="D12" s="258">
        <v>23507.599999999999</v>
      </c>
      <c r="E12" s="258">
        <v>28193.4</v>
      </c>
      <c r="F12" s="258">
        <v>28477</v>
      </c>
      <c r="G12" s="258">
        <v>27437.200000000001</v>
      </c>
      <c r="H12" s="258">
        <v>26309.4</v>
      </c>
      <c r="I12" s="258">
        <v>27133.4</v>
      </c>
      <c r="J12" s="258">
        <v>25506.5</v>
      </c>
      <c r="K12" s="258">
        <v>25336.400000000001</v>
      </c>
      <c r="L12" s="258">
        <v>27459.5</v>
      </c>
      <c r="M12" s="258">
        <v>26413.3</v>
      </c>
      <c r="N12" s="258">
        <v>26519.8</v>
      </c>
    </row>
    <row r="13" spans="1:14" ht="12.75" customHeight="1">
      <c r="A13" s="129" t="s">
        <v>25</v>
      </c>
      <c r="B13" s="637">
        <f t="shared" si="1"/>
        <v>3638.7</v>
      </c>
      <c r="C13" s="258">
        <v>294</v>
      </c>
      <c r="D13" s="258">
        <v>260</v>
      </c>
      <c r="E13" s="258">
        <v>249.7</v>
      </c>
      <c r="F13" s="258">
        <v>282.39999999999998</v>
      </c>
      <c r="G13" s="258">
        <v>289.89999999999998</v>
      </c>
      <c r="H13" s="258">
        <v>296.3</v>
      </c>
      <c r="I13" s="258">
        <v>333.8</v>
      </c>
      <c r="J13" s="258">
        <v>293.2</v>
      </c>
      <c r="K13" s="258">
        <v>319.8</v>
      </c>
      <c r="L13" s="258">
        <v>330.1</v>
      </c>
      <c r="M13" s="258">
        <v>340.7</v>
      </c>
      <c r="N13" s="258">
        <v>348.8</v>
      </c>
    </row>
    <row r="14" spans="1:14" ht="12.75" customHeight="1">
      <c r="A14" s="127" t="s">
        <v>91</v>
      </c>
      <c r="B14" s="637">
        <f t="shared" si="1"/>
        <v>2341.6999999999998</v>
      </c>
      <c r="C14" s="258">
        <v>191.8</v>
      </c>
      <c r="D14" s="258">
        <v>153.5</v>
      </c>
      <c r="E14" s="258">
        <v>159.5</v>
      </c>
      <c r="F14" s="258">
        <v>171.1</v>
      </c>
      <c r="G14" s="258">
        <v>191</v>
      </c>
      <c r="H14" s="258">
        <v>190.3</v>
      </c>
      <c r="I14" s="258">
        <v>220.7</v>
      </c>
      <c r="J14" s="258">
        <v>181.7</v>
      </c>
      <c r="K14" s="258">
        <v>205.3</v>
      </c>
      <c r="L14" s="258">
        <v>219.3</v>
      </c>
      <c r="M14" s="258">
        <v>229.4</v>
      </c>
      <c r="N14" s="258">
        <v>228.1</v>
      </c>
    </row>
    <row r="15" spans="1:14" ht="12.75" customHeight="1">
      <c r="A15" s="127" t="s">
        <v>92</v>
      </c>
      <c r="B15" s="637">
        <f t="shared" si="1"/>
        <v>611.19999999999993</v>
      </c>
      <c r="C15" s="258">
        <v>45.4</v>
      </c>
      <c r="D15" s="258">
        <v>50.5</v>
      </c>
      <c r="E15" s="258">
        <v>42.9</v>
      </c>
      <c r="F15" s="258">
        <v>54.4</v>
      </c>
      <c r="G15" s="258">
        <v>46.7</v>
      </c>
      <c r="H15" s="258">
        <v>49.9</v>
      </c>
      <c r="I15" s="258">
        <v>55.4</v>
      </c>
      <c r="J15" s="258">
        <v>53.2</v>
      </c>
      <c r="K15" s="258">
        <v>54.4</v>
      </c>
      <c r="L15" s="258">
        <v>52.5</v>
      </c>
      <c r="M15" s="258">
        <v>50.5</v>
      </c>
      <c r="N15" s="258">
        <v>55.4</v>
      </c>
    </row>
    <row r="16" spans="1:14" ht="12.75" customHeight="1">
      <c r="A16" s="127" t="s">
        <v>93</v>
      </c>
      <c r="B16" s="637">
        <f t="shared" si="1"/>
        <v>685.89999999999986</v>
      </c>
      <c r="C16" s="258">
        <v>56.7</v>
      </c>
      <c r="D16" s="258">
        <v>56</v>
      </c>
      <c r="E16" s="258">
        <v>47.3</v>
      </c>
      <c r="F16" s="258">
        <v>56.9</v>
      </c>
      <c r="G16" s="258">
        <v>52.3</v>
      </c>
      <c r="H16" s="258">
        <v>56.1</v>
      </c>
      <c r="I16" s="258">
        <v>57.7</v>
      </c>
      <c r="J16" s="258">
        <v>58.4</v>
      </c>
      <c r="K16" s="258">
        <v>60.1</v>
      </c>
      <c r="L16" s="258">
        <v>58.3</v>
      </c>
      <c r="M16" s="258">
        <v>60.8</v>
      </c>
      <c r="N16" s="258">
        <v>65.3</v>
      </c>
    </row>
    <row r="17" spans="1:14" ht="12.75" customHeight="1">
      <c r="A17" s="152" t="s">
        <v>29</v>
      </c>
      <c r="B17" s="637">
        <f t="shared" si="1"/>
        <v>792.4</v>
      </c>
      <c r="C17" s="258">
        <v>72.900000000000006</v>
      </c>
      <c r="D17" s="258">
        <v>56.8</v>
      </c>
      <c r="E17" s="258">
        <v>60.7</v>
      </c>
      <c r="F17" s="258">
        <v>58.1</v>
      </c>
      <c r="G17" s="258">
        <v>49.8</v>
      </c>
      <c r="H17" s="258">
        <v>64.900000000000006</v>
      </c>
      <c r="I17" s="258">
        <v>60.1</v>
      </c>
      <c r="J17" s="258">
        <v>66.7</v>
      </c>
      <c r="K17" s="258">
        <v>72.900000000000006</v>
      </c>
      <c r="L17" s="258">
        <v>72.099999999999994</v>
      </c>
      <c r="M17" s="258">
        <v>83.8</v>
      </c>
      <c r="N17" s="258">
        <v>73.599999999999994</v>
      </c>
    </row>
    <row r="18" spans="1:14" ht="12.75" customHeight="1">
      <c r="A18" s="129" t="s">
        <v>30</v>
      </c>
      <c r="B18" s="637">
        <f t="shared" si="1"/>
        <v>39267.1</v>
      </c>
      <c r="C18" s="258">
        <v>4883.3999999999996</v>
      </c>
      <c r="D18" s="258">
        <v>2644.7</v>
      </c>
      <c r="E18" s="258">
        <v>2812.5</v>
      </c>
      <c r="F18" s="258">
        <v>2221.9</v>
      </c>
      <c r="G18" s="258">
        <v>4257.3</v>
      </c>
      <c r="H18" s="258">
        <v>3300</v>
      </c>
      <c r="I18" s="258">
        <v>3895.7</v>
      </c>
      <c r="J18" s="258">
        <v>2946.9</v>
      </c>
      <c r="K18" s="258">
        <v>3059.3</v>
      </c>
      <c r="L18" s="258">
        <v>2916.2</v>
      </c>
      <c r="M18" s="258">
        <v>2447.1999999999998</v>
      </c>
      <c r="N18" s="258">
        <v>3882</v>
      </c>
    </row>
    <row r="19" spans="1:14" ht="12.75" customHeight="1">
      <c r="A19" s="129" t="s">
        <v>31</v>
      </c>
      <c r="B19" s="637">
        <f t="shared" si="1"/>
        <v>976907.79999999993</v>
      </c>
      <c r="C19" s="258">
        <v>75207.8</v>
      </c>
      <c r="D19" s="258">
        <v>70443.399999999994</v>
      </c>
      <c r="E19" s="258">
        <v>78693.399999999994</v>
      </c>
      <c r="F19" s="258">
        <v>78645</v>
      </c>
      <c r="G19" s="258">
        <v>79956.399999999994</v>
      </c>
      <c r="H19" s="258">
        <v>81593.899999999994</v>
      </c>
      <c r="I19" s="258">
        <v>85156</v>
      </c>
      <c r="J19" s="258">
        <v>84883.4</v>
      </c>
      <c r="K19" s="258">
        <v>84653.1</v>
      </c>
      <c r="L19" s="258">
        <v>85362.2</v>
      </c>
      <c r="M19" s="258">
        <v>82414</v>
      </c>
      <c r="N19" s="258">
        <v>89899.199999999997</v>
      </c>
    </row>
    <row r="20" spans="1:14" ht="12.75" customHeight="1">
      <c r="A20" s="152" t="s">
        <v>32</v>
      </c>
      <c r="B20" s="637">
        <f t="shared" si="1"/>
        <v>96667.9</v>
      </c>
      <c r="C20" s="258">
        <v>6823.3</v>
      </c>
      <c r="D20" s="258">
        <v>6669</v>
      </c>
      <c r="E20" s="258">
        <v>8331</v>
      </c>
      <c r="F20" s="258">
        <v>9415.6</v>
      </c>
      <c r="G20" s="258">
        <v>9304.9</v>
      </c>
      <c r="H20" s="258">
        <v>8463.9</v>
      </c>
      <c r="I20" s="258">
        <v>8199.2000000000007</v>
      </c>
      <c r="J20" s="258">
        <v>8029.6</v>
      </c>
      <c r="K20" s="258">
        <v>8161.5</v>
      </c>
      <c r="L20" s="258">
        <v>7810.2</v>
      </c>
      <c r="M20" s="258">
        <v>7893</v>
      </c>
      <c r="N20" s="258">
        <v>7566.7</v>
      </c>
    </row>
    <row r="21" spans="1:14" ht="12.75" customHeight="1">
      <c r="A21" s="152" t="s">
        <v>33</v>
      </c>
      <c r="B21" s="637">
        <f t="shared" si="1"/>
        <v>1285.3</v>
      </c>
      <c r="C21" s="258">
        <v>90</v>
      </c>
      <c r="D21" s="258">
        <v>82.4</v>
      </c>
      <c r="E21" s="258">
        <v>86.8</v>
      </c>
      <c r="F21" s="258">
        <v>100.2</v>
      </c>
      <c r="G21" s="258">
        <v>98.4</v>
      </c>
      <c r="H21" s="258">
        <v>136</v>
      </c>
      <c r="I21" s="258">
        <v>139.19999999999999</v>
      </c>
      <c r="J21" s="258">
        <v>116.4</v>
      </c>
      <c r="K21" s="258">
        <v>92.4</v>
      </c>
      <c r="L21" s="258">
        <v>112.7</v>
      </c>
      <c r="M21" s="258">
        <v>113.1</v>
      </c>
      <c r="N21" s="258">
        <v>117.7</v>
      </c>
    </row>
    <row r="22" spans="1:14" ht="12.75" customHeight="1">
      <c r="A22" s="152" t="s">
        <v>34</v>
      </c>
      <c r="B22" s="637">
        <f t="shared" si="1"/>
        <v>581</v>
      </c>
      <c r="C22" s="258">
        <v>28.4</v>
      </c>
      <c r="D22" s="258">
        <v>21.6</v>
      </c>
      <c r="E22" s="258">
        <v>22.1</v>
      </c>
      <c r="F22" s="258">
        <v>90.2</v>
      </c>
      <c r="G22" s="258">
        <v>49.3</v>
      </c>
      <c r="H22" s="258">
        <v>37.700000000000003</v>
      </c>
      <c r="I22" s="258">
        <v>62.2</v>
      </c>
      <c r="J22" s="258">
        <v>52</v>
      </c>
      <c r="K22" s="258">
        <v>52.3</v>
      </c>
      <c r="L22" s="258">
        <v>50</v>
      </c>
      <c r="M22" s="258">
        <v>75.900000000000006</v>
      </c>
      <c r="N22" s="258">
        <v>39.299999999999997</v>
      </c>
    </row>
    <row r="23" spans="1:14" ht="12.75" customHeight="1">
      <c r="A23" s="152" t="s">
        <v>35</v>
      </c>
      <c r="B23" s="637">
        <f t="shared" si="1"/>
        <v>10501.699999999999</v>
      </c>
      <c r="C23" s="258">
        <v>765.6</v>
      </c>
      <c r="D23" s="258">
        <v>831</v>
      </c>
      <c r="E23" s="258">
        <v>967.7</v>
      </c>
      <c r="F23" s="258">
        <v>973.6</v>
      </c>
      <c r="G23" s="258">
        <v>942.2</v>
      </c>
      <c r="H23" s="258">
        <v>852.7</v>
      </c>
      <c r="I23" s="258">
        <v>895.9</v>
      </c>
      <c r="J23" s="258">
        <v>847.2</v>
      </c>
      <c r="K23" s="258">
        <v>825.9</v>
      </c>
      <c r="L23" s="258">
        <v>877.7</v>
      </c>
      <c r="M23" s="258">
        <v>832.4</v>
      </c>
      <c r="N23" s="258">
        <v>889.8</v>
      </c>
    </row>
    <row r="24" spans="1:14" ht="12.75" customHeight="1">
      <c r="A24" s="152" t="s">
        <v>36</v>
      </c>
      <c r="B24" s="637">
        <f t="shared" si="1"/>
        <v>968.4</v>
      </c>
      <c r="C24" s="258">
        <v>78.7</v>
      </c>
      <c r="D24" s="258">
        <v>81.400000000000006</v>
      </c>
      <c r="E24" s="258">
        <v>76.8</v>
      </c>
      <c r="F24" s="258">
        <v>90</v>
      </c>
      <c r="G24" s="258">
        <v>80.900000000000006</v>
      </c>
      <c r="H24" s="258">
        <v>80.7</v>
      </c>
      <c r="I24" s="258">
        <v>82.3</v>
      </c>
      <c r="J24" s="258">
        <v>88</v>
      </c>
      <c r="K24" s="258">
        <v>72.3</v>
      </c>
      <c r="L24" s="258">
        <v>70.599999999999994</v>
      </c>
      <c r="M24" s="258">
        <v>75.900000000000006</v>
      </c>
      <c r="N24" s="258">
        <v>90.8</v>
      </c>
    </row>
    <row r="25" spans="1:14" ht="12.75" customHeight="1">
      <c r="A25" s="129" t="s">
        <v>37</v>
      </c>
      <c r="B25" s="637">
        <f t="shared" si="1"/>
        <v>174115.59999999998</v>
      </c>
      <c r="C25" s="258">
        <v>15143.6</v>
      </c>
      <c r="D25" s="258">
        <v>13842.2</v>
      </c>
      <c r="E25" s="258">
        <v>13861.4</v>
      </c>
      <c r="F25" s="258">
        <v>14901.7</v>
      </c>
      <c r="G25" s="258">
        <v>15358.7</v>
      </c>
      <c r="H25" s="258">
        <v>14778.5</v>
      </c>
      <c r="I25" s="258">
        <v>16198.8</v>
      </c>
      <c r="J25" s="258">
        <v>14560.4</v>
      </c>
      <c r="K25" s="258">
        <v>14068.5</v>
      </c>
      <c r="L25" s="258">
        <v>14412.3</v>
      </c>
      <c r="M25" s="258">
        <v>13697</v>
      </c>
      <c r="N25" s="258">
        <v>13292.5</v>
      </c>
    </row>
    <row r="26" spans="1:14" ht="12.75" customHeight="1">
      <c r="A26" s="152" t="s">
        <v>38</v>
      </c>
      <c r="B26" s="637">
        <f t="shared" si="1"/>
        <v>190.9</v>
      </c>
      <c r="C26" s="258">
        <v>13.9</v>
      </c>
      <c r="D26" s="258">
        <v>14.4</v>
      </c>
      <c r="E26" s="258">
        <v>12.9</v>
      </c>
      <c r="F26" s="258">
        <v>13.8</v>
      </c>
      <c r="G26" s="258">
        <v>11.4</v>
      </c>
      <c r="H26" s="258">
        <v>10.7</v>
      </c>
      <c r="I26" s="258">
        <v>22.6</v>
      </c>
      <c r="J26" s="258">
        <v>24</v>
      </c>
      <c r="K26" s="258">
        <v>14.4</v>
      </c>
      <c r="L26" s="258">
        <v>17.2</v>
      </c>
      <c r="M26" s="258">
        <v>21.1</v>
      </c>
      <c r="N26" s="258">
        <v>14.5</v>
      </c>
    </row>
    <row r="27" spans="1:14" ht="12.75" customHeight="1">
      <c r="A27" s="152" t="s">
        <v>39</v>
      </c>
      <c r="B27" s="637">
        <f t="shared" si="1"/>
        <v>19292.5</v>
      </c>
      <c r="C27" s="258">
        <v>1640.1</v>
      </c>
      <c r="D27" s="258">
        <v>1398.5</v>
      </c>
      <c r="E27" s="258">
        <v>1596.6</v>
      </c>
      <c r="F27" s="258">
        <v>1743.1</v>
      </c>
      <c r="G27" s="258">
        <v>1782.9</v>
      </c>
      <c r="H27" s="258">
        <v>1665.7</v>
      </c>
      <c r="I27" s="258">
        <v>1693.4</v>
      </c>
      <c r="J27" s="258">
        <v>1573.5</v>
      </c>
      <c r="K27" s="258">
        <v>1544.3</v>
      </c>
      <c r="L27" s="258">
        <v>1527.1</v>
      </c>
      <c r="M27" s="258">
        <v>1510.3</v>
      </c>
      <c r="N27" s="258">
        <v>1617</v>
      </c>
    </row>
    <row r="28" spans="1:14" ht="12.75" customHeight="1">
      <c r="A28" s="152" t="s">
        <v>40</v>
      </c>
      <c r="B28" s="637">
        <f t="shared" si="1"/>
        <v>1051</v>
      </c>
      <c r="C28" s="258">
        <v>71</v>
      </c>
      <c r="D28" s="258">
        <v>71.5</v>
      </c>
      <c r="E28" s="258">
        <v>83.7</v>
      </c>
      <c r="F28" s="258">
        <v>103.3</v>
      </c>
      <c r="G28" s="258">
        <v>83.7</v>
      </c>
      <c r="H28" s="258">
        <v>83.3</v>
      </c>
      <c r="I28" s="258">
        <v>89.7</v>
      </c>
      <c r="J28" s="258">
        <v>94</v>
      </c>
      <c r="K28" s="258">
        <v>82.4</v>
      </c>
      <c r="L28" s="258">
        <v>84.9</v>
      </c>
      <c r="M28" s="258">
        <v>85.7</v>
      </c>
      <c r="N28" s="258">
        <v>117.8</v>
      </c>
    </row>
    <row r="29" spans="1:14" ht="12.75" customHeight="1">
      <c r="A29" s="129" t="s">
        <v>41</v>
      </c>
      <c r="B29" s="637">
        <f t="shared" si="1"/>
        <v>761.4</v>
      </c>
      <c r="C29" s="258">
        <v>64.599999999999994</v>
      </c>
      <c r="D29" s="258">
        <v>52.6</v>
      </c>
      <c r="E29" s="258">
        <v>61</v>
      </c>
      <c r="F29" s="258">
        <v>77.400000000000006</v>
      </c>
      <c r="G29" s="258">
        <v>66.2</v>
      </c>
      <c r="H29" s="258">
        <v>64.8</v>
      </c>
      <c r="I29" s="258">
        <v>65.3</v>
      </c>
      <c r="J29" s="258">
        <v>61.5</v>
      </c>
      <c r="K29" s="258">
        <v>59.9</v>
      </c>
      <c r="L29" s="258">
        <v>63.5</v>
      </c>
      <c r="M29" s="258">
        <v>60.8</v>
      </c>
      <c r="N29" s="258">
        <v>63.8</v>
      </c>
    </row>
    <row r="30" spans="1:14" ht="12.75" customHeight="1">
      <c r="A30" s="127" t="s">
        <v>94</v>
      </c>
      <c r="B30" s="637">
        <f t="shared" si="1"/>
        <v>464.99999999999994</v>
      </c>
      <c r="C30" s="258">
        <v>38.799999999999997</v>
      </c>
      <c r="D30" s="258">
        <v>32.299999999999997</v>
      </c>
      <c r="E30" s="258">
        <v>39.200000000000003</v>
      </c>
      <c r="F30" s="258">
        <v>46</v>
      </c>
      <c r="G30" s="258">
        <v>38.5</v>
      </c>
      <c r="H30" s="258">
        <v>38.1</v>
      </c>
      <c r="I30" s="258">
        <v>38.5</v>
      </c>
      <c r="J30" s="258">
        <v>39.299999999999997</v>
      </c>
      <c r="K30" s="258">
        <v>36.5</v>
      </c>
      <c r="L30" s="258">
        <v>39.9</v>
      </c>
      <c r="M30" s="258">
        <v>38.4</v>
      </c>
      <c r="N30" s="258">
        <v>39.5</v>
      </c>
    </row>
    <row r="31" spans="1:14" ht="12.75" customHeight="1">
      <c r="A31" s="127" t="s">
        <v>95</v>
      </c>
      <c r="B31" s="637">
        <f t="shared" si="1"/>
        <v>296.39999999999998</v>
      </c>
      <c r="C31" s="258">
        <v>25.8</v>
      </c>
      <c r="D31" s="258">
        <v>20.3</v>
      </c>
      <c r="E31" s="258">
        <v>21.8</v>
      </c>
      <c r="F31" s="258">
        <v>31.5</v>
      </c>
      <c r="G31" s="258">
        <v>27.7</v>
      </c>
      <c r="H31" s="258">
        <v>26.6</v>
      </c>
      <c r="I31" s="258">
        <v>26.8</v>
      </c>
      <c r="J31" s="258">
        <v>22.2</v>
      </c>
      <c r="K31" s="258">
        <v>23.3</v>
      </c>
      <c r="L31" s="258">
        <v>23.6</v>
      </c>
      <c r="M31" s="258">
        <v>22.4</v>
      </c>
      <c r="N31" s="258">
        <v>24.4</v>
      </c>
    </row>
    <row r="32" spans="1:14" ht="12.75" customHeight="1">
      <c r="A32" s="152" t="s">
        <v>44</v>
      </c>
      <c r="B32" s="637">
        <f t="shared" si="1"/>
        <v>3861.2999999999997</v>
      </c>
      <c r="C32" s="258">
        <v>231</v>
      </c>
      <c r="D32" s="258">
        <v>250.6</v>
      </c>
      <c r="E32" s="258">
        <v>263.89999999999998</v>
      </c>
      <c r="F32" s="258">
        <v>299</v>
      </c>
      <c r="G32" s="258">
        <v>283.7</v>
      </c>
      <c r="H32" s="258">
        <v>349.5</v>
      </c>
      <c r="I32" s="258">
        <v>359.1</v>
      </c>
      <c r="J32" s="258">
        <v>355.6</v>
      </c>
      <c r="K32" s="258">
        <v>378.1</v>
      </c>
      <c r="L32" s="258">
        <v>375.4</v>
      </c>
      <c r="M32" s="258">
        <v>367.2</v>
      </c>
      <c r="N32" s="258">
        <v>348.2</v>
      </c>
    </row>
    <row r="33" spans="1:14" ht="12.75" customHeight="1">
      <c r="A33" s="152" t="s">
        <v>45</v>
      </c>
      <c r="B33" s="637">
        <f t="shared" si="1"/>
        <v>2662.1</v>
      </c>
      <c r="C33" s="258">
        <v>205.1</v>
      </c>
      <c r="D33" s="258">
        <v>203.8</v>
      </c>
      <c r="E33" s="258">
        <v>177.6</v>
      </c>
      <c r="F33" s="258">
        <v>216.8</v>
      </c>
      <c r="G33" s="258">
        <v>238</v>
      </c>
      <c r="H33" s="258">
        <v>220.7</v>
      </c>
      <c r="I33" s="258">
        <v>233.4</v>
      </c>
      <c r="J33" s="258">
        <v>276.2</v>
      </c>
      <c r="K33" s="258">
        <v>241.4</v>
      </c>
      <c r="L33" s="258">
        <v>222.4</v>
      </c>
      <c r="M33" s="258">
        <v>215</v>
      </c>
      <c r="N33" s="258">
        <v>211.7</v>
      </c>
    </row>
    <row r="34" spans="1:14" ht="12.75" customHeight="1">
      <c r="A34" s="129" t="s">
        <v>46</v>
      </c>
      <c r="B34" s="637">
        <f t="shared" si="1"/>
        <v>39408.799999999996</v>
      </c>
      <c r="C34" s="258">
        <v>3110.7</v>
      </c>
      <c r="D34" s="258">
        <v>3205.9</v>
      </c>
      <c r="E34" s="258">
        <v>3283.9</v>
      </c>
      <c r="F34" s="258">
        <v>3545.1</v>
      </c>
      <c r="G34" s="258">
        <v>3719.6</v>
      </c>
      <c r="H34" s="258">
        <v>3382.1</v>
      </c>
      <c r="I34" s="258">
        <v>3547</v>
      </c>
      <c r="J34" s="258">
        <v>3053.1</v>
      </c>
      <c r="K34" s="258">
        <v>3014.2</v>
      </c>
      <c r="L34" s="258">
        <v>3185.2</v>
      </c>
      <c r="M34" s="258">
        <v>2951.7</v>
      </c>
      <c r="N34" s="258">
        <v>3410.3</v>
      </c>
    </row>
    <row r="35" spans="1:14" ht="12.75" customHeight="1">
      <c r="A35" s="129" t="s">
        <v>47</v>
      </c>
      <c r="B35" s="637">
        <f t="shared" si="1"/>
        <v>26244.300000000007</v>
      </c>
      <c r="C35" s="258">
        <v>2200.1999999999998</v>
      </c>
      <c r="D35" s="258">
        <v>1870.9</v>
      </c>
      <c r="E35" s="258">
        <v>1928.1</v>
      </c>
      <c r="F35" s="258">
        <v>1984.4</v>
      </c>
      <c r="G35" s="258">
        <v>1936.2</v>
      </c>
      <c r="H35" s="258">
        <v>2066.8000000000002</v>
      </c>
      <c r="I35" s="258">
        <v>2247.9</v>
      </c>
      <c r="J35" s="258">
        <v>2238.3000000000002</v>
      </c>
      <c r="K35" s="258">
        <v>2313.1999999999998</v>
      </c>
      <c r="L35" s="258">
        <v>2310.1999999999998</v>
      </c>
      <c r="M35" s="258">
        <v>2174.4</v>
      </c>
      <c r="N35" s="258">
        <v>2973.7</v>
      </c>
    </row>
    <row r="36" spans="1:14" ht="12.75" customHeight="1">
      <c r="A36" s="129" t="s">
        <v>48</v>
      </c>
      <c r="B36" s="637">
        <f t="shared" si="1"/>
        <v>15263.5</v>
      </c>
      <c r="C36" s="258">
        <v>986.3</v>
      </c>
      <c r="D36" s="258">
        <v>619.6</v>
      </c>
      <c r="E36" s="258">
        <v>1020.3</v>
      </c>
      <c r="F36" s="258">
        <v>1299.0999999999999</v>
      </c>
      <c r="G36" s="258">
        <v>1223.7</v>
      </c>
      <c r="H36" s="258">
        <v>1348.6</v>
      </c>
      <c r="I36" s="258">
        <v>1299.9000000000001</v>
      </c>
      <c r="J36" s="258">
        <v>1593.4</v>
      </c>
      <c r="K36" s="258">
        <v>1229.4000000000001</v>
      </c>
      <c r="L36" s="258">
        <v>1853.2</v>
      </c>
      <c r="M36" s="258">
        <v>1164.4000000000001</v>
      </c>
      <c r="N36" s="258">
        <v>1625.6</v>
      </c>
    </row>
    <row r="37" spans="1:14" ht="12.75" customHeight="1" thickBot="1">
      <c r="A37" s="154" t="s">
        <v>49</v>
      </c>
      <c r="B37" s="645">
        <f t="shared" si="1"/>
        <v>9413.2000000000007</v>
      </c>
      <c r="C37" s="259">
        <v>862.1</v>
      </c>
      <c r="D37" s="259">
        <v>647.6</v>
      </c>
      <c r="E37" s="259">
        <v>711.8</v>
      </c>
      <c r="F37" s="259">
        <v>743.8</v>
      </c>
      <c r="G37" s="259">
        <v>779.9</v>
      </c>
      <c r="H37" s="259">
        <v>715.1</v>
      </c>
      <c r="I37" s="259">
        <v>810</v>
      </c>
      <c r="J37" s="259">
        <v>861.3</v>
      </c>
      <c r="K37" s="259">
        <v>803.9</v>
      </c>
      <c r="L37" s="259">
        <v>819.4</v>
      </c>
      <c r="M37" s="259">
        <v>670.2</v>
      </c>
      <c r="N37" s="259">
        <v>988.1</v>
      </c>
    </row>
    <row r="38" spans="1:14" ht="9" customHeight="1">
      <c r="A38" s="778" t="s">
        <v>402</v>
      </c>
      <c r="B38" s="811"/>
      <c r="C38" s="811"/>
      <c r="D38" s="811"/>
      <c r="E38" s="811"/>
      <c r="F38" s="255"/>
    </row>
    <row r="39" spans="1:14" ht="9" customHeight="1">
      <c r="A39" s="778" t="s">
        <v>359</v>
      </c>
      <c r="B39" s="811"/>
      <c r="C39" s="811"/>
      <c r="D39" s="811"/>
      <c r="E39" s="811"/>
      <c r="F39" s="255"/>
    </row>
    <row r="40" spans="1:14" ht="9" customHeight="1">
      <c r="A40" s="780" t="s">
        <v>358</v>
      </c>
      <c r="B40" s="811"/>
      <c r="C40" s="811"/>
      <c r="D40" s="811"/>
      <c r="E40" s="811"/>
      <c r="F40" s="255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53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525</v>
      </c>
      <c r="B4" s="245"/>
    </row>
    <row r="5" spans="1:14" ht="13.25" customHeight="1">
      <c r="A5" s="252" t="s">
        <v>466</v>
      </c>
      <c r="B5" s="245"/>
    </row>
    <row r="6" spans="1:14" ht="4" customHeight="1" thickBot="1"/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20" t="s">
        <v>90</v>
      </c>
      <c r="B8" s="621">
        <f>('C-51'!B8/'C-50'!B8)*1000</f>
        <v>2.2421418414795697</v>
      </c>
      <c r="C8" s="621">
        <f>('C-51'!C8/'C-50'!C8)*1000</f>
        <v>2.2060497567410988</v>
      </c>
      <c r="D8" s="621">
        <f>('C-51'!D8/'C-50'!D8)*1000</f>
        <v>2.1677708071240751</v>
      </c>
      <c r="E8" s="621">
        <f>('C-51'!E8/'C-50'!E8)*1000</f>
        <v>2.2285035786020808</v>
      </c>
      <c r="F8" s="621">
        <f>('C-51'!F8/'C-50'!F8)*1000</f>
        <v>2.2342995705618893</v>
      </c>
      <c r="G8" s="621">
        <f>('C-51'!G8/'C-50'!G8)*1000</f>
        <v>2.2162139308124758</v>
      </c>
      <c r="H8" s="621">
        <f>('C-51'!H8/'C-50'!H8)*1000</f>
        <v>2.2056329105208956</v>
      </c>
      <c r="I8" s="621">
        <f>('C-51'!I8/'C-50'!I8)*1000</f>
        <v>2.2511901063343056</v>
      </c>
      <c r="J8" s="621">
        <f>('C-51'!J8/'C-50'!J8)*1000</f>
        <v>2.2588375855675902</v>
      </c>
      <c r="K8" s="621">
        <f>('C-51'!K8/'C-50'!K8)*1000</f>
        <v>2.2353362600363549</v>
      </c>
      <c r="L8" s="621">
        <f>('C-51'!L8/'C-50'!L8)*1000</f>
        <v>2.2803708779495948</v>
      </c>
      <c r="M8" s="621">
        <f>('C-51'!M8/'C-50'!M8)*1000</f>
        <v>2.2983501007041496</v>
      </c>
      <c r="N8" s="621">
        <f>('C-51'!N8/'C-50'!N8)*1000</f>
        <v>2.3159396999493347</v>
      </c>
    </row>
    <row r="9" spans="1:14" ht="12.75" customHeight="1">
      <c r="A9" s="152" t="s">
        <v>21</v>
      </c>
      <c r="B9" s="625">
        <f>('C-51'!B9/'C-50'!B9)*1000</f>
        <v>2.5759086761866365</v>
      </c>
      <c r="C9" s="260">
        <f>('C-51'!C9/'C-50'!C9)*1000</f>
        <v>2.0423892100192678</v>
      </c>
      <c r="D9" s="260">
        <f>('C-51'!D9/'C-50'!D9)*1000</f>
        <v>2.0226843100189038</v>
      </c>
      <c r="E9" s="260">
        <f>('C-51'!E9/'C-50'!E9)*1000</f>
        <v>2.0905923344947737</v>
      </c>
      <c r="F9" s="260">
        <f>('C-51'!F9/'C-50'!F9)*1000</f>
        <v>2.2950431799361173</v>
      </c>
      <c r="G9" s="260">
        <f>('C-51'!G9/'C-50'!G9)*1000</f>
        <v>2.439919280865896</v>
      </c>
      <c r="H9" s="260">
        <f>('C-51'!H9/'C-50'!H9)*1000</f>
        <v>2.1984924623115578</v>
      </c>
      <c r="I9" s="260">
        <f>('C-51'!I9/'C-50'!I9)*1000</f>
        <v>2.1601988147581728</v>
      </c>
      <c r="J9" s="260">
        <f>('C-51'!J9/'C-50'!J9)*1000</f>
        <v>2.2708314023542497</v>
      </c>
      <c r="K9" s="260">
        <f>('C-51'!K9/'C-50'!K9)*1000</f>
        <v>3.8999344548831116</v>
      </c>
      <c r="L9" s="260">
        <f>('C-51'!L9/'C-50'!L9)*1000</f>
        <v>2.1968365553602816</v>
      </c>
      <c r="M9" s="260">
        <f>('C-51'!M9/'C-50'!M9)*1000</f>
        <v>2.7560750538295906</v>
      </c>
      <c r="N9" s="260">
        <f>('C-51'!N9/'C-50'!N9)*1000</f>
        <v>3.4965872350616691</v>
      </c>
    </row>
    <row r="10" spans="1:14" ht="12.75" customHeight="1">
      <c r="A10" s="152" t="s">
        <v>22</v>
      </c>
      <c r="B10" s="625">
        <f>('C-51'!B10/'C-50'!B10)*1000</f>
        <v>2.2071484523159133</v>
      </c>
      <c r="C10" s="260">
        <f>('C-51'!C10/'C-50'!C10)*1000</f>
        <v>2.207477257680448</v>
      </c>
      <c r="D10" s="260">
        <f>('C-51'!D10/'C-50'!D10)*1000</f>
        <v>2.025826368496348</v>
      </c>
      <c r="E10" s="260">
        <f>('C-51'!E10/'C-50'!E10)*1000</f>
        <v>2.188834740568371</v>
      </c>
      <c r="F10" s="260">
        <f>('C-51'!F10/'C-50'!F10)*1000</f>
        <v>2.2055393418982914</v>
      </c>
      <c r="G10" s="260">
        <f>('C-51'!G10/'C-50'!G10)*1000</f>
        <v>2.2163472769031665</v>
      </c>
      <c r="H10" s="260">
        <f>('C-51'!H10/'C-50'!H10)*1000</f>
        <v>2.1782761993738946</v>
      </c>
      <c r="I10" s="260">
        <f>('C-51'!I10/'C-50'!I10)*1000</f>
        <v>2.225757106934136</v>
      </c>
      <c r="J10" s="260">
        <f>('C-51'!J10/'C-50'!J10)*1000</f>
        <v>2.1860741518358258</v>
      </c>
      <c r="K10" s="260">
        <f>('C-51'!K10/'C-50'!K10)*1000</f>
        <v>2.2671618571059002</v>
      </c>
      <c r="L10" s="260">
        <f>('C-51'!L10/'C-50'!L10)*1000</f>
        <v>2.2580948489707677</v>
      </c>
      <c r="M10" s="260">
        <f>('C-51'!M10/'C-50'!M10)*1000</f>
        <v>2.2105457140759968</v>
      </c>
      <c r="N10" s="260">
        <f>('C-51'!N10/'C-50'!N10)*1000</f>
        <v>2.3306280211409329</v>
      </c>
    </row>
    <row r="11" spans="1:14" ht="12.75" customHeight="1">
      <c r="A11" s="152" t="s">
        <v>23</v>
      </c>
      <c r="B11" s="625">
        <f>('C-51'!B11/'C-50'!B11)*1000</f>
        <v>2.2033979538582722</v>
      </c>
      <c r="C11" s="260">
        <f>('C-51'!C11/'C-50'!C11)*1000</f>
        <v>2.1924554919478778</v>
      </c>
      <c r="D11" s="260">
        <f>('C-51'!D11/'C-50'!D11)*1000</f>
        <v>2.1810794798789432</v>
      </c>
      <c r="E11" s="260">
        <f>('C-51'!E11/'C-50'!E11)*1000</f>
        <v>2.1661420652561101</v>
      </c>
      <c r="F11" s="260">
        <f>('C-51'!F11/'C-50'!F11)*1000</f>
        <v>2.2206876695096951</v>
      </c>
      <c r="G11" s="260">
        <f>('C-51'!G11/'C-50'!G11)*1000</f>
        <v>2.2024716000286015</v>
      </c>
      <c r="H11" s="260">
        <f>('C-51'!H11/'C-50'!H11)*1000</f>
        <v>2.2247797718973366</v>
      </c>
      <c r="I11" s="260">
        <f>('C-51'!I11/'C-50'!I11)*1000</f>
        <v>2.1990771626173125</v>
      </c>
      <c r="J11" s="260">
        <f>('C-51'!J11/'C-50'!J11)*1000</f>
        <v>2.1578332519603642</v>
      </c>
      <c r="K11" s="260">
        <f>('C-51'!K11/'C-50'!K11)*1000</f>
        <v>2.240352970424679</v>
      </c>
      <c r="L11" s="260">
        <f>('C-51'!L11/'C-50'!L11)*1000</f>
        <v>2.1404656654846295</v>
      </c>
      <c r="M11" s="260">
        <f>('C-51'!M11/'C-50'!M11)*1000</f>
        <v>2.254275919642708</v>
      </c>
      <c r="N11" s="260">
        <f>('C-51'!N11/'C-50'!N11)*1000</f>
        <v>2.2631477091960193</v>
      </c>
    </row>
    <row r="12" spans="1:14" ht="12.75" customHeight="1">
      <c r="A12" s="129" t="s">
        <v>24</v>
      </c>
      <c r="B12" s="625">
        <f>('C-51'!B12/'C-50'!B12)*1000</f>
        <v>2.2302713892155945</v>
      </c>
      <c r="C12" s="260">
        <f>('C-51'!C12/'C-50'!C12)*1000</f>
        <v>2.167213980384449</v>
      </c>
      <c r="D12" s="260">
        <f>('C-51'!D12/'C-50'!D12)*1000</f>
        <v>2.1952075901611789</v>
      </c>
      <c r="E12" s="260">
        <f>('C-51'!E12/'C-50'!E12)*1000</f>
        <v>2.2717541161009187</v>
      </c>
      <c r="F12" s="260">
        <f>('C-51'!F12/'C-50'!F12)*1000</f>
        <v>2.2512603207798909</v>
      </c>
      <c r="G12" s="260">
        <f>('C-51'!G12/'C-50'!G12)*1000</f>
        <v>2.2341157417740281</v>
      </c>
      <c r="H12" s="260">
        <f>('C-51'!H12/'C-50'!H12)*1000</f>
        <v>2.2016366960537335</v>
      </c>
      <c r="I12" s="260">
        <f>('C-51'!I12/'C-50'!I12)*1000</f>
        <v>2.2216552557383662</v>
      </c>
      <c r="J12" s="260">
        <f>('C-51'!J12/'C-50'!J12)*1000</f>
        <v>2.1936797357452957</v>
      </c>
      <c r="K12" s="260">
        <f>('C-51'!K12/'C-50'!K12)*1000</f>
        <v>2.2581813887471509</v>
      </c>
      <c r="L12" s="260">
        <f>('C-51'!L12/'C-50'!L12)*1000</f>
        <v>2.2485395486085209</v>
      </c>
      <c r="M12" s="260">
        <f>('C-51'!M12/'C-50'!M12)*1000</f>
        <v>2.2698823641433301</v>
      </c>
      <c r="N12" s="260">
        <f>('C-51'!N12/'C-50'!N12)*1000</f>
        <v>2.2491685349804742</v>
      </c>
    </row>
    <row r="13" spans="1:14" ht="12.75" customHeight="1">
      <c r="A13" s="129" t="s">
        <v>25</v>
      </c>
      <c r="B13" s="625">
        <f>('C-51'!B13/'C-50'!B13)*1000</f>
        <v>2.1605942569413101</v>
      </c>
      <c r="C13" s="260">
        <f>('C-51'!C13/'C-50'!C13)*1000</f>
        <v>2.0153412713101773</v>
      </c>
      <c r="D13" s="260">
        <f>('C-51'!D13/'C-50'!D13)*1000</f>
        <v>2.1455862814514064</v>
      </c>
      <c r="E13" s="260">
        <f>('C-51'!E13/'C-50'!E13)*1000</f>
        <v>2.0995367061573518</v>
      </c>
      <c r="F13" s="260">
        <f>('C-51'!F13/'C-50'!F13)*1000</f>
        <v>2.1693873631649701</v>
      </c>
      <c r="G13" s="260">
        <f>('C-51'!G13/'C-50'!G13)*1000</f>
        <v>2.1546694414508156</v>
      </c>
      <c r="H13" s="260">
        <f>('C-51'!H13/'C-50'!H13)*1000</f>
        <v>2.153624747423355</v>
      </c>
      <c r="I13" s="260">
        <f>('C-51'!I13/'C-50'!I13)*1000</f>
        <v>2.1805449402603854</v>
      </c>
      <c r="J13" s="260">
        <f>('C-51'!J13/'C-50'!J13)*1000</f>
        <v>2.0662583950556379</v>
      </c>
      <c r="K13" s="260">
        <f>('C-51'!K13/'C-50'!K13)*1000</f>
        <v>2.1500749635267145</v>
      </c>
      <c r="L13" s="260">
        <f>('C-51'!L13/'C-50'!L13)*1000</f>
        <v>2.16921307704945</v>
      </c>
      <c r="M13" s="260">
        <f>('C-51'!M13/'C-50'!M13)*1000</f>
        <v>2.3837843889059918</v>
      </c>
      <c r="N13" s="260">
        <f>('C-51'!N13/'C-50'!N13)*1000</f>
        <v>2.2215287021763084</v>
      </c>
    </row>
    <row r="14" spans="1:14" ht="12.75" customHeight="1">
      <c r="A14" s="127" t="s">
        <v>91</v>
      </c>
      <c r="B14" s="625">
        <f>('C-51'!B14/'C-50'!B14)*1000</f>
        <v>2.2017046122312744</v>
      </c>
      <c r="C14" s="260">
        <f>('C-51'!C14/'C-50'!C14)*1000</f>
        <v>2.0361582640636113</v>
      </c>
      <c r="D14" s="260">
        <f>('C-51'!D14/'C-50'!D14)*1000</f>
        <v>2.1461327666237908</v>
      </c>
      <c r="E14" s="260">
        <f>('C-51'!E14/'C-50'!E14)*1000</f>
        <v>2.1092303623380055</v>
      </c>
      <c r="F14" s="260">
        <f>('C-51'!F14/'C-50'!F14)*1000</f>
        <v>2.1817300826277668</v>
      </c>
      <c r="G14" s="260">
        <f>('C-51'!G14/'C-50'!G14)*1000</f>
        <v>2.1827074714876695</v>
      </c>
      <c r="H14" s="260">
        <f>('C-51'!H14/'C-50'!H14)*1000</f>
        <v>2.1644676979071886</v>
      </c>
      <c r="I14" s="260">
        <f>('C-51'!I14/'C-50'!I14)*1000</f>
        <v>2.2116222905873277</v>
      </c>
      <c r="J14" s="260">
        <f>('C-51'!J14/'C-50'!J14)*1000</f>
        <v>2.0872342136399662</v>
      </c>
      <c r="K14" s="260">
        <f>('C-51'!K14/'C-50'!K14)*1000</f>
        <v>2.234095806037391</v>
      </c>
      <c r="L14" s="260">
        <f>('C-51'!L14/'C-50'!L14)*1000</f>
        <v>2.1910280747327406</v>
      </c>
      <c r="M14" s="260">
        <f>('C-51'!M14/'C-50'!M14)*1000</f>
        <v>2.552206757673865</v>
      </c>
      <c r="N14" s="260">
        <f>('C-51'!N14/'C-50'!N14)*1000</f>
        <v>2.2882537644332532</v>
      </c>
    </row>
    <row r="15" spans="1:14" ht="12.75" customHeight="1">
      <c r="A15" s="127" t="s">
        <v>92</v>
      </c>
      <c r="B15" s="625">
        <f>('C-51'!B15/'C-50'!B15)*1000</f>
        <v>2.1066418502050803</v>
      </c>
      <c r="C15" s="260">
        <f>('C-51'!C15/'C-50'!C15)*1000</f>
        <v>1.9764910753156291</v>
      </c>
      <c r="D15" s="260">
        <f>('C-51'!D15/'C-50'!D15)*1000</f>
        <v>2.1717627832967787</v>
      </c>
      <c r="E15" s="260">
        <f>('C-51'!E15/'C-50'!E15)*1000</f>
        <v>2.1304067140090384</v>
      </c>
      <c r="F15" s="260">
        <f>('C-51'!F15/'C-50'!F15)*1000</f>
        <v>2.1112275391003994</v>
      </c>
      <c r="G15" s="260">
        <f>('C-51'!G15/'C-50'!G15)*1000</f>
        <v>2.1251422070534698</v>
      </c>
      <c r="H15" s="260">
        <f>('C-51'!H15/'C-50'!H15)*1000</f>
        <v>2.200370403033777</v>
      </c>
      <c r="I15" s="260">
        <f>('C-51'!I15/'C-50'!I15)*1000</f>
        <v>2.1881665218421675</v>
      </c>
      <c r="J15" s="260">
        <f>('C-51'!J15/'C-50'!J15)*1000</f>
        <v>2.0169851380042463</v>
      </c>
      <c r="K15" s="260">
        <f>('C-51'!K15/'C-50'!K15)*1000</f>
        <v>2.0164578545481504</v>
      </c>
      <c r="L15" s="260">
        <f>('C-51'!L15/'C-50'!L15)*1000</f>
        <v>2.1527863205806375</v>
      </c>
      <c r="M15" s="260">
        <f>('C-51'!M15/'C-50'!M15)*1000</f>
        <v>2.0492634825305358</v>
      </c>
      <c r="N15" s="260">
        <f>('C-51'!N15/'C-50'!N15)*1000</f>
        <v>2.1600124766063633</v>
      </c>
    </row>
    <row r="16" spans="1:14" ht="12.75" customHeight="1">
      <c r="A16" s="127" t="s">
        <v>93</v>
      </c>
      <c r="B16" s="625">
        <f>('C-51'!B16/'C-50'!B16)*1000</f>
        <v>2.075962239823729</v>
      </c>
      <c r="C16" s="260">
        <f>('C-51'!C16/'C-50'!C16)*1000</f>
        <v>1.9747152857590642</v>
      </c>
      <c r="D16" s="260">
        <f>('C-51'!D16/'C-50'!D16)*1000</f>
        <v>2.1211317753115413</v>
      </c>
      <c r="E16" s="260">
        <f>('C-51'!E16/'C-50'!E16)*1000</f>
        <v>2.0411686013895478</v>
      </c>
      <c r="F16" s="260">
        <f>('C-51'!F16/'C-50'!F16)*1000</f>
        <v>2.1898091133004929</v>
      </c>
      <c r="G16" s="260">
        <f>('C-51'!G16/'C-50'!G16)*1000</f>
        <v>2.0866581551228855</v>
      </c>
      <c r="H16" s="260">
        <f>('C-51'!H16/'C-50'!H16)*1000</f>
        <v>2.0790097835754522</v>
      </c>
      <c r="I16" s="260">
        <f>('C-51'!I16/'C-50'!I16)*1000</f>
        <v>2.0627770627770632</v>
      </c>
      <c r="J16" s="260">
        <f>('C-51'!J16/'C-50'!J16)*1000</f>
        <v>2.0512820512820511</v>
      </c>
      <c r="K16" s="260">
        <f>('C-51'!K16/'C-50'!K16)*1000</f>
        <v>2.012254327518666</v>
      </c>
      <c r="L16" s="260">
        <f>('C-51'!L16/'C-50'!L16)*1000</f>
        <v>2.1048451151707703</v>
      </c>
      <c r="M16" s="260">
        <f>('C-51'!M16/'C-50'!M16)*1000</f>
        <v>2.1410712399197096</v>
      </c>
      <c r="N16" s="260">
        <f>('C-51'!N16/'C-50'!N16)*1000</f>
        <v>2.0613675105751628</v>
      </c>
    </row>
    <row r="17" spans="1:14" ht="12.75" customHeight="1">
      <c r="A17" s="152" t="s">
        <v>29</v>
      </c>
      <c r="B17" s="625">
        <f>('C-51'!B17/'C-50'!B17)*1000</f>
        <v>2.1187222425728409</v>
      </c>
      <c r="C17" s="260">
        <f>('C-51'!C17/'C-50'!C17)*1000</f>
        <v>2.0539261262784212</v>
      </c>
      <c r="D17" s="260">
        <f>('C-51'!D17/'C-50'!D17)*1000</f>
        <v>2.1914425710868475</v>
      </c>
      <c r="E17" s="260">
        <f>('C-51'!E17/'C-50'!E17)*1000</f>
        <v>2.1317693334269858</v>
      </c>
      <c r="F17" s="260">
        <f>('C-51'!F17/'C-50'!F17)*1000</f>
        <v>2.1307026551268891</v>
      </c>
      <c r="G17" s="260">
        <f>('C-51'!G17/'C-50'!G17)*1000</f>
        <v>2.0587870519657696</v>
      </c>
      <c r="H17" s="260">
        <f>('C-51'!H17/'C-50'!H17)*1000</f>
        <v>2.1102259795155263</v>
      </c>
      <c r="I17" s="260">
        <f>('C-51'!I17/'C-50'!I17)*1000</f>
        <v>2.1454324777781744</v>
      </c>
      <c r="J17" s="260">
        <f>('C-51'!J17/'C-50'!J17)*1000</f>
        <v>2.0418158998377569</v>
      </c>
      <c r="K17" s="260">
        <f>('C-51'!K17/'C-50'!K17)*1000</f>
        <v>2.0860756595890804</v>
      </c>
      <c r="L17" s="260">
        <f>('C-51'!L17/'C-50'!L17)*1000</f>
        <v>2.1814111097664286</v>
      </c>
      <c r="M17" s="260">
        <f>('C-51'!M17/'C-50'!M17)*1000</f>
        <v>2.1134397619227761</v>
      </c>
      <c r="N17" s="260">
        <f>('C-51'!N17/'C-50'!N17)*1000</f>
        <v>2.1923031097343024</v>
      </c>
    </row>
    <row r="18" spans="1:14" ht="12.75" customHeight="1">
      <c r="A18" s="129" t="s">
        <v>30</v>
      </c>
      <c r="B18" s="625">
        <f>('C-51'!B18/'C-50'!B18)*1000</f>
        <v>2.2503983762924484</v>
      </c>
      <c r="C18" s="260">
        <f>('C-51'!C18/'C-50'!C18)*1000</f>
        <v>2.2678879347377325</v>
      </c>
      <c r="D18" s="260">
        <f>('C-51'!D18/'C-50'!D18)*1000</f>
        <v>2.2301074198904294</v>
      </c>
      <c r="E18" s="260">
        <f>('C-51'!E18/'C-50'!E18)*1000</f>
        <v>2.2797590629035174</v>
      </c>
      <c r="F18" s="260">
        <f>('C-51'!F18/'C-50'!F18)*1000</f>
        <v>2.2706485538015659</v>
      </c>
      <c r="G18" s="260">
        <f>('C-51'!G18/'C-50'!G18)*1000</f>
        <v>2.2559869260542036</v>
      </c>
      <c r="H18" s="260">
        <f>('C-51'!H18/'C-50'!H18)*1000</f>
        <v>2.193099048327928</v>
      </c>
      <c r="I18" s="260">
        <f>('C-51'!I18/'C-50'!I18)*1000</f>
        <v>2.2488183558347936</v>
      </c>
      <c r="J18" s="260">
        <f>('C-51'!J18/'C-50'!J18)*1000</f>
        <v>2.2385389676240219</v>
      </c>
      <c r="K18" s="260">
        <f>('C-51'!K18/'C-50'!K18)*1000</f>
        <v>2.2488899997059604</v>
      </c>
      <c r="L18" s="260">
        <f>('C-51'!L18/'C-50'!L18)*1000</f>
        <v>2.2831543575819642</v>
      </c>
      <c r="M18" s="260">
        <f>('C-51'!M18/'C-50'!M18)*1000</f>
        <v>2.1685845891545958</v>
      </c>
      <c r="N18" s="260">
        <f>('C-51'!N18/'C-50'!N18)*1000</f>
        <v>2.2958948312203846</v>
      </c>
    </row>
    <row r="19" spans="1:14" ht="12.75" customHeight="1">
      <c r="A19" s="129" t="s">
        <v>31</v>
      </c>
      <c r="B19" s="625">
        <f>('C-51'!B19/'C-50'!B19)*1000</f>
        <v>2.2610836235323464</v>
      </c>
      <c r="C19" s="260">
        <f>('C-51'!C19/'C-50'!C19)*1000</f>
        <v>2.2215377129833462</v>
      </c>
      <c r="D19" s="260">
        <f>('C-51'!D19/'C-50'!D19)*1000</f>
        <v>2.1527746517090889</v>
      </c>
      <c r="E19" s="260">
        <f>('C-51'!E19/'C-50'!E19)*1000</f>
        <v>2.2294247842453987</v>
      </c>
      <c r="F19" s="260">
        <f>('C-51'!F19/'C-50'!F19)*1000</f>
        <v>2.2317817354070293</v>
      </c>
      <c r="G19" s="260">
        <f>('C-51'!G19/'C-50'!G19)*1000</f>
        <v>2.2094435082502359</v>
      </c>
      <c r="H19" s="260">
        <f>('C-51'!H19/'C-50'!H19)*1000</f>
        <v>2.2175866847011254</v>
      </c>
      <c r="I19" s="260">
        <f>('C-51'!I19/'C-50'!I19)*1000</f>
        <v>2.2782574920562908</v>
      </c>
      <c r="J19" s="260">
        <f>('C-51'!J19/'C-50'!J19)*1000</f>
        <v>2.3285070319576984</v>
      </c>
      <c r="K19" s="260">
        <f>('C-51'!K19/'C-50'!K19)*1000</f>
        <v>2.2311841758879418</v>
      </c>
      <c r="L19" s="260">
        <f>('C-51'!L19/'C-50'!L19)*1000</f>
        <v>2.309931760540179</v>
      </c>
      <c r="M19" s="260">
        <f>('C-51'!M19/'C-50'!M19)*1000</f>
        <v>2.3366129477798165</v>
      </c>
      <c r="N19" s="260">
        <f>('C-51'!N19/'C-50'!N19)*1000</f>
        <v>2.3682386185759441</v>
      </c>
    </row>
    <row r="20" spans="1:14" ht="12.75" customHeight="1">
      <c r="A20" s="152" t="s">
        <v>32</v>
      </c>
      <c r="B20" s="625">
        <f>('C-51'!B20/'C-50'!B20)*1000</f>
        <v>2.1811297111969901</v>
      </c>
      <c r="C20" s="260">
        <f>('C-51'!C20/'C-50'!C20)*1000</f>
        <v>2.1432365375137854</v>
      </c>
      <c r="D20" s="260">
        <f>('C-51'!D20/'C-50'!D20)*1000</f>
        <v>2.1599748148685554</v>
      </c>
      <c r="E20" s="260">
        <f>('C-51'!E20/'C-50'!E20)*1000</f>
        <v>2.1945757021931005</v>
      </c>
      <c r="F20" s="260">
        <f>('C-51'!F20/'C-50'!F20)*1000</f>
        <v>2.2190044975871777</v>
      </c>
      <c r="G20" s="260">
        <f>('C-51'!G20/'C-50'!G20)*1000</f>
        <v>2.1830297118111739</v>
      </c>
      <c r="H20" s="260">
        <f>('C-51'!H20/'C-50'!H20)*1000</f>
        <v>2.1525653826570963</v>
      </c>
      <c r="I20" s="260">
        <f>('C-51'!I20/'C-50'!I20)*1000</f>
        <v>2.1433183373546258</v>
      </c>
      <c r="J20" s="260">
        <f>('C-51'!J20/'C-50'!J20)*1000</f>
        <v>2.1576454857550686</v>
      </c>
      <c r="K20" s="260">
        <f>('C-51'!K20/'C-50'!K20)*1000</f>
        <v>2.1725913026071098</v>
      </c>
      <c r="L20" s="260">
        <f>('C-51'!L20/'C-50'!L20)*1000</f>
        <v>2.2319474085496545</v>
      </c>
      <c r="M20" s="260">
        <f>('C-51'!M20/'C-50'!M20)*1000</f>
        <v>2.2696713476781087</v>
      </c>
      <c r="N20" s="260">
        <f>('C-51'!N20/'C-50'!N20)*1000</f>
        <v>2.1406181927226844</v>
      </c>
    </row>
    <row r="21" spans="1:14" ht="12.75" customHeight="1">
      <c r="A21" s="152" t="s">
        <v>33</v>
      </c>
      <c r="B21" s="625">
        <f>('C-51'!B21/'C-50'!B21)*1000</f>
        <v>2.0926749051596407</v>
      </c>
      <c r="C21" s="260">
        <f>('C-51'!C21/'C-50'!C21)*1000</f>
        <v>2.115805063826786</v>
      </c>
      <c r="D21" s="260">
        <f>('C-51'!D21/'C-50'!D21)*1000</f>
        <v>2.045020226838409</v>
      </c>
      <c r="E21" s="260">
        <f>('C-51'!E21/'C-50'!E21)*1000</f>
        <v>2.0468318909613976</v>
      </c>
      <c r="F21" s="260">
        <f>('C-51'!F21/'C-50'!F21)*1000</f>
        <v>2.0337331790781223</v>
      </c>
      <c r="G21" s="260">
        <f>('C-51'!G21/'C-50'!G21)*1000</f>
        <v>2.042553191489362</v>
      </c>
      <c r="H21" s="260">
        <f>('C-51'!H21/'C-50'!H21)*1000</f>
        <v>2.0092187684670844</v>
      </c>
      <c r="I21" s="260">
        <f>('C-51'!I21/'C-50'!I21)*1000</f>
        <v>1.9408270823457237</v>
      </c>
      <c r="J21" s="260">
        <f>('C-51'!J21/'C-50'!J21)*1000</f>
        <v>2.1176727431503113</v>
      </c>
      <c r="K21" s="260">
        <f>('C-51'!K21/'C-50'!K21)*1000</f>
        <v>2.1771400296882732</v>
      </c>
      <c r="L21" s="260">
        <f>('C-51'!L21/'C-50'!L21)*1000</f>
        <v>2.2861431730125568</v>
      </c>
      <c r="M21" s="260">
        <f>('C-51'!M21/'C-50'!M21)*1000</f>
        <v>2.1355740181268881</v>
      </c>
      <c r="N21" s="260">
        <f>('C-51'!N21/'C-50'!N21)*1000</f>
        <v>2.2446838943453802</v>
      </c>
    </row>
    <row r="22" spans="1:14" ht="12.75" customHeight="1">
      <c r="A22" s="152" t="s">
        <v>34</v>
      </c>
      <c r="B22" s="625">
        <f>('C-51'!B22/'C-50'!B22)*1000</f>
        <v>2.194373942470389</v>
      </c>
      <c r="C22" s="260">
        <f>('C-51'!C22/'C-50'!C22)*1000</f>
        <v>2.1298935053247336</v>
      </c>
      <c r="D22" s="260">
        <f>('C-51'!D22/'C-50'!D22)*1000</f>
        <v>2.1234762092017303</v>
      </c>
      <c r="E22" s="260">
        <f>('C-51'!E22/'C-50'!E22)*1000</f>
        <v>2.1537861806841438</v>
      </c>
      <c r="F22" s="260">
        <f>('C-51'!F22/'C-50'!F22)*1000</f>
        <v>2.228095743892498</v>
      </c>
      <c r="G22" s="260">
        <f>('C-51'!G22/'C-50'!G22)*1000</f>
        <v>2.1950133570792518</v>
      </c>
      <c r="H22" s="260">
        <f>('C-51'!H22/'C-50'!H22)*1000</f>
        <v>2.1712837643264415</v>
      </c>
      <c r="I22" s="260">
        <f>('C-51'!I22/'C-50'!I22)*1000</f>
        <v>2.195010057521968</v>
      </c>
      <c r="J22" s="260">
        <f>('C-51'!J22/'C-50'!J22)*1000</f>
        <v>2.1786492374727673</v>
      </c>
      <c r="K22" s="260">
        <f>('C-51'!K22/'C-50'!K22)*1000</f>
        <v>2.2043327994605071</v>
      </c>
      <c r="L22" s="260">
        <f>('C-51'!L22/'C-50'!L22)*1000</f>
        <v>2.1960646521433591</v>
      </c>
      <c r="M22" s="260">
        <f>('C-51'!M22/'C-50'!M22)*1000</f>
        <v>2.2341928647121159</v>
      </c>
      <c r="N22" s="260">
        <f>('C-51'!N22/'C-50'!N22)*1000</f>
        <v>2.1804260985352863</v>
      </c>
    </row>
    <row r="23" spans="1:14" ht="12.75" customHeight="1">
      <c r="A23" s="152" t="s">
        <v>35</v>
      </c>
      <c r="B23" s="625">
        <f>('C-51'!B23/'C-50'!B23)*1000</f>
        <v>2.2246555307846716</v>
      </c>
      <c r="C23" s="260">
        <f>('C-51'!C23/'C-50'!C23)*1000</f>
        <v>2.2811648958041584</v>
      </c>
      <c r="D23" s="260">
        <f>('C-51'!D23/'C-50'!D23)*1000</f>
        <v>2.1566993934769574</v>
      </c>
      <c r="E23" s="260">
        <f>('C-51'!E23/'C-50'!E23)*1000</f>
        <v>2.1968966026084886</v>
      </c>
      <c r="F23" s="260">
        <f>('C-51'!F23/'C-50'!F23)*1000</f>
        <v>2.2031087004238312</v>
      </c>
      <c r="G23" s="260">
        <f>('C-51'!G23/'C-50'!G23)*1000</f>
        <v>2.1908978449117784</v>
      </c>
      <c r="H23" s="260">
        <f>('C-51'!H23/'C-50'!H23)*1000</f>
        <v>2.1488440544531748</v>
      </c>
      <c r="I23" s="260">
        <f>('C-51'!I23/'C-50'!I23)*1000</f>
        <v>2.2267845469752365</v>
      </c>
      <c r="J23" s="260">
        <f>('C-51'!J23/'C-50'!J23)*1000</f>
        <v>2.1999480654375487</v>
      </c>
      <c r="K23" s="260">
        <f>('C-51'!K23/'C-50'!K23)*1000</f>
        <v>2.250010216174247</v>
      </c>
      <c r="L23" s="260">
        <f>('C-51'!L23/'C-50'!L23)*1000</f>
        <v>2.2524013724327836</v>
      </c>
      <c r="M23" s="260">
        <f>('C-51'!M23/'C-50'!M23)*1000</f>
        <v>2.2805541932991598</v>
      </c>
      <c r="N23" s="260">
        <f>('C-51'!N23/'C-50'!N23)*1000</f>
        <v>2.334054692110958</v>
      </c>
    </row>
    <row r="24" spans="1:14" ht="12.75" customHeight="1">
      <c r="A24" s="152" t="s">
        <v>36</v>
      </c>
      <c r="B24" s="625">
        <f>('C-51'!B24/'C-50'!B24)*1000</f>
        <v>2.1052860419361501</v>
      </c>
      <c r="C24" s="260">
        <f>('C-51'!C24/'C-50'!C24)*1000</f>
        <v>2.0511884904086739</v>
      </c>
      <c r="D24" s="260">
        <f>('C-51'!D24/'C-50'!D24)*1000</f>
        <v>2.0328147241715158</v>
      </c>
      <c r="E24" s="260">
        <f>('C-51'!E24/'C-50'!E24)*1000</f>
        <v>2.1353500528276705</v>
      </c>
      <c r="F24" s="260">
        <f>('C-51'!F24/'C-50'!F24)*1000</f>
        <v>2.0430864225556742</v>
      </c>
      <c r="G24" s="260">
        <f>('C-51'!G24/'C-50'!G24)*1000</f>
        <v>2.04551201011378</v>
      </c>
      <c r="H24" s="260">
        <f>('C-51'!H24/'C-50'!H24)*1000</f>
        <v>2.0372100068159442</v>
      </c>
      <c r="I24" s="260">
        <f>('C-51'!I24/'C-50'!I24)*1000</f>
        <v>2.0445173150494358</v>
      </c>
      <c r="J24" s="260">
        <f>('C-51'!J24/'C-50'!J24)*1000</f>
        <v>2.1398696624841942</v>
      </c>
      <c r="K24" s="260">
        <f>('C-51'!K24/'C-50'!K24)*1000</f>
        <v>2.1684362065862874</v>
      </c>
      <c r="L24" s="260">
        <f>('C-51'!L24/'C-50'!L24)*1000</f>
        <v>2.3188596203113709</v>
      </c>
      <c r="M24" s="260">
        <f>('C-51'!M24/'C-50'!M24)*1000</f>
        <v>2.0839625490788283</v>
      </c>
      <c r="N24" s="260">
        <f>('C-51'!N24/'C-50'!N24)*1000</f>
        <v>2.225108437277918</v>
      </c>
    </row>
    <row r="25" spans="1:14" ht="12.75" customHeight="1">
      <c r="A25" s="129" t="s">
        <v>37</v>
      </c>
      <c r="B25" s="625">
        <f>('C-51'!B25/'C-50'!B25)*1000</f>
        <v>2.233402142722082</v>
      </c>
      <c r="C25" s="260">
        <f>('C-51'!C25/'C-50'!C25)*1000</f>
        <v>2.2309359615780959</v>
      </c>
      <c r="D25" s="260">
        <f>('C-51'!D25/'C-50'!D25)*1000</f>
        <v>2.2081540357412055</v>
      </c>
      <c r="E25" s="260">
        <f>('C-51'!E25/'C-50'!E25)*1000</f>
        <v>2.2009314112325082</v>
      </c>
      <c r="F25" s="260">
        <f>('C-51'!F25/'C-50'!F25)*1000</f>
        <v>2.2470610588029505</v>
      </c>
      <c r="G25" s="260">
        <f>('C-51'!G25/'C-50'!G25)*1000</f>
        <v>2.2416171600977055</v>
      </c>
      <c r="H25" s="260">
        <f>('C-51'!H25/'C-50'!H25)*1000</f>
        <v>2.1945471995077064</v>
      </c>
      <c r="I25" s="260">
        <f>('C-51'!I25/'C-50'!I25)*1000</f>
        <v>2.2592698642538482</v>
      </c>
      <c r="J25" s="260">
        <f>('C-51'!J25/'C-50'!J25)*1000</f>
        <v>2.1626342419068685</v>
      </c>
      <c r="K25" s="260">
        <f>('C-51'!K25/'C-50'!K25)*1000</f>
        <v>2.2732928287496361</v>
      </c>
      <c r="L25" s="260">
        <f>('C-51'!L25/'C-50'!L25)*1000</f>
        <v>2.2638516658252534</v>
      </c>
      <c r="M25" s="260">
        <f>('C-51'!M25/'C-50'!M25)*1000</f>
        <v>2.2431765882916892</v>
      </c>
      <c r="N25" s="260">
        <f>('C-51'!N25/'C-50'!N25)*1000</f>
        <v>2.2823178700037756</v>
      </c>
    </row>
    <row r="26" spans="1:14" ht="12.75" customHeight="1">
      <c r="A26" s="152" t="s">
        <v>38</v>
      </c>
      <c r="B26" s="625">
        <f>('C-51'!B26/'C-50'!B26)*1000</f>
        <v>2.0923758165636372</v>
      </c>
      <c r="C26" s="260">
        <f>('C-51'!C26/'C-50'!C26)*1000</f>
        <v>1.9273433166943983</v>
      </c>
      <c r="D26" s="260">
        <f>('C-51'!D26/'C-50'!D26)*1000</f>
        <v>1.9131127939418096</v>
      </c>
      <c r="E26" s="260">
        <f>('C-51'!E26/'C-50'!E26)*1000</f>
        <v>2.077629247866001</v>
      </c>
      <c r="F26" s="260">
        <f>('C-51'!F26/'C-50'!F26)*1000</f>
        <v>2.0338983050847457</v>
      </c>
      <c r="G26" s="260">
        <f>('C-51'!G26/'C-50'!G26)*1000</f>
        <v>1.9989479221462387</v>
      </c>
      <c r="H26" s="260">
        <f>('C-51'!H26/'C-50'!H26)*1000</f>
        <v>2.1150424985174934</v>
      </c>
      <c r="I26" s="260">
        <f>('C-51'!I26/'C-50'!I26)*1000</f>
        <v>1.9301392091553509</v>
      </c>
      <c r="J26" s="260">
        <f>('C-51'!J26/'C-50'!J26)*1000</f>
        <v>1.9336126329358685</v>
      </c>
      <c r="K26" s="260">
        <f>('C-51'!K26/'C-50'!K26)*1000</f>
        <v>2.0509898874804162</v>
      </c>
      <c r="L26" s="260">
        <f>('C-51'!L26/'C-50'!L26)*1000</f>
        <v>2.3019271948608138</v>
      </c>
      <c r="M26" s="260">
        <f>('C-51'!M26/'C-50'!M26)*1000</f>
        <v>2.8931852461264231</v>
      </c>
      <c r="N26" s="260">
        <f>('C-51'!N26/'C-50'!N26)*1000</f>
        <v>2.1217442200760903</v>
      </c>
    </row>
    <row r="27" spans="1:14" ht="12.75" customHeight="1">
      <c r="A27" s="152" t="s">
        <v>39</v>
      </c>
      <c r="B27" s="625">
        <f>('C-51'!B27/'C-50'!B27)*1000</f>
        <v>2.2424891868258219</v>
      </c>
      <c r="C27" s="260">
        <f>('C-51'!C27/'C-50'!C27)*1000</f>
        <v>2.2833999980508746</v>
      </c>
      <c r="D27" s="260">
        <f>('C-51'!D27/'C-50'!D27)*1000</f>
        <v>2.257582312564975</v>
      </c>
      <c r="E27" s="260">
        <f>('C-51'!E27/'C-50'!E27)*1000</f>
        <v>2.2428063314397448</v>
      </c>
      <c r="F27" s="260">
        <f>('C-51'!F27/'C-50'!F27)*1000</f>
        <v>2.2468188005279655</v>
      </c>
      <c r="G27" s="260">
        <f>('C-51'!G27/'C-50'!G27)*1000</f>
        <v>2.2134600319560609</v>
      </c>
      <c r="H27" s="260">
        <f>('C-51'!H27/'C-50'!H27)*1000</f>
        <v>2.1932284712840731</v>
      </c>
      <c r="I27" s="260">
        <f>('C-51'!I27/'C-50'!I27)*1000</f>
        <v>2.2410438971454285</v>
      </c>
      <c r="J27" s="260">
        <f>('C-51'!J27/'C-50'!J27)*1000</f>
        <v>2.2061483328052223</v>
      </c>
      <c r="K27" s="260">
        <f>('C-51'!K27/'C-50'!K27)*1000</f>
        <v>2.2389109176446711</v>
      </c>
      <c r="L27" s="260">
        <f>('C-51'!L27/'C-50'!L27)*1000</f>
        <v>2.2672239089606636</v>
      </c>
      <c r="M27" s="260">
        <f>('C-51'!M27/'C-50'!M27)*1000</f>
        <v>2.3004245039457389</v>
      </c>
      <c r="N27" s="260">
        <f>('C-51'!N27/'C-50'!N27)*1000</f>
        <v>2.2331786542923435</v>
      </c>
    </row>
    <row r="28" spans="1:14" ht="12.75" customHeight="1">
      <c r="A28" s="152" t="s">
        <v>40</v>
      </c>
      <c r="B28" s="625">
        <f>('C-51'!B28/'C-50'!B28)*1000</f>
        <v>2.1348901171447316</v>
      </c>
      <c r="C28" s="260">
        <f>('C-51'!C28/'C-50'!C28)*1000</f>
        <v>2.1931856794242117</v>
      </c>
      <c r="D28" s="260">
        <f>('C-51'!D28/'C-50'!D28)*1000</f>
        <v>2.2105425877260783</v>
      </c>
      <c r="E28" s="260">
        <f>('C-51'!E28/'C-50'!E28)*1000</f>
        <v>2.1425280294885578</v>
      </c>
      <c r="F28" s="260">
        <f>('C-51'!F28/'C-50'!F28)*1000</f>
        <v>2.0987403494514427</v>
      </c>
      <c r="G28" s="260">
        <f>('C-51'!G28/'C-50'!G28)*1000</f>
        <v>2.1098535454110054</v>
      </c>
      <c r="H28" s="260">
        <f>('C-51'!H28/'C-50'!H28)*1000</f>
        <v>2.1480698316098921</v>
      </c>
      <c r="I28" s="260">
        <f>('C-51'!I28/'C-50'!I28)*1000</f>
        <v>2.1001123805956174</v>
      </c>
      <c r="J28" s="260">
        <f>('C-51'!J28/'C-50'!J28)*1000</f>
        <v>2.0689351586917288</v>
      </c>
      <c r="K28" s="260">
        <f>('C-51'!K28/'C-50'!K28)*1000</f>
        <v>2.0204001569242842</v>
      </c>
      <c r="L28" s="260">
        <f>('C-51'!L28/'C-50'!L28)*1000</f>
        <v>2.1020574909009877</v>
      </c>
      <c r="M28" s="260">
        <f>('C-51'!M28/'C-50'!M28)*1000</f>
        <v>2.0694984424428293</v>
      </c>
      <c r="N28" s="260">
        <f>('C-51'!N28/'C-50'!N28)*1000</f>
        <v>2.3506874463712011</v>
      </c>
    </row>
    <row r="29" spans="1:14" ht="12.75" customHeight="1">
      <c r="A29" s="129" t="s">
        <v>41</v>
      </c>
      <c r="B29" s="625">
        <f>('C-51'!B29/'C-50'!B29)*1000</f>
        <v>2.0742072572736188</v>
      </c>
      <c r="C29" s="260">
        <f>('C-51'!C29/'C-50'!C29)*1000</f>
        <v>1.8758348336140309</v>
      </c>
      <c r="D29" s="260">
        <f>('C-51'!D29/'C-50'!D29)*1000</f>
        <v>1.8720193608085984</v>
      </c>
      <c r="E29" s="260">
        <f>('C-51'!E29/'C-50'!E29)*1000</f>
        <v>2.0030209496289486</v>
      </c>
      <c r="F29" s="260">
        <f>('C-51'!F29/'C-50'!F29)*1000</f>
        <v>2.1414935118833527</v>
      </c>
      <c r="G29" s="260">
        <f>('C-51'!G29/'C-50'!G29)*1000</f>
        <v>2.0435883188244737</v>
      </c>
      <c r="H29" s="260">
        <f>('C-51'!H29/'C-50'!H29)*1000</f>
        <v>2.086486138390701</v>
      </c>
      <c r="I29" s="260">
        <f>('C-51'!I29/'C-50'!I29)*1000</f>
        <v>2.0244923267710431</v>
      </c>
      <c r="J29" s="260">
        <f>('C-51'!J29/'C-50'!J29)*1000</f>
        <v>2.1591826703647787</v>
      </c>
      <c r="K29" s="260">
        <f>('C-51'!K29/'C-50'!K29)*1000</f>
        <v>2.1673843036509028</v>
      </c>
      <c r="L29" s="260">
        <f>('C-51'!L29/'C-50'!L29)*1000</f>
        <v>2.2674522406713087</v>
      </c>
      <c r="M29" s="260">
        <f>('C-51'!M29/'C-50'!M29)*1000</f>
        <v>2.2244987560368799</v>
      </c>
      <c r="N29" s="260">
        <f>('C-51'!N29/'C-50'!N29)*1000</f>
        <v>2.0725051975051976</v>
      </c>
    </row>
    <row r="30" spans="1:14" ht="12.75" customHeight="1">
      <c r="A30" s="127" t="s">
        <v>94</v>
      </c>
      <c r="B30" s="625">
        <f>('C-51'!B30/'C-50'!B30)*1000</f>
        <v>2.079690148530128</v>
      </c>
      <c r="C30" s="260">
        <f>('C-51'!C30/'C-50'!C30)*1000</f>
        <v>1.8777525044766006</v>
      </c>
      <c r="D30" s="260">
        <f>('C-51'!D30/'C-50'!D30)*1000</f>
        <v>1.8059826670394183</v>
      </c>
      <c r="E30" s="260">
        <f>('C-51'!E30/'C-50'!E30)*1000</f>
        <v>1.9454094292803972</v>
      </c>
      <c r="F30" s="260">
        <f>('C-51'!F30/'C-50'!F30)*1000</f>
        <v>2.1714501510574018</v>
      </c>
      <c r="G30" s="260">
        <f>('C-51'!G30/'C-50'!G30)*1000</f>
        <v>2.0972925859345208</v>
      </c>
      <c r="H30" s="260">
        <f>('C-51'!H30/'C-50'!H30)*1000</f>
        <v>2.1181964752321121</v>
      </c>
      <c r="I30" s="260">
        <f>('C-51'!I30/'C-50'!I30)*1000</f>
        <v>2.0290924422894485</v>
      </c>
      <c r="J30" s="260">
        <f>('C-51'!J30/'C-50'!J30)*1000</f>
        <v>2.1141535316585078</v>
      </c>
      <c r="K30" s="260">
        <f>('C-51'!K30/'C-50'!K30)*1000</f>
        <v>2.1506009898656613</v>
      </c>
      <c r="L30" s="260">
        <f>('C-51'!L30/'C-50'!L30)*1000</f>
        <v>2.3397642643523131</v>
      </c>
      <c r="M30" s="260">
        <f>('C-51'!M30/'C-50'!M30)*1000</f>
        <v>2.2466651064825651</v>
      </c>
      <c r="N30" s="260">
        <f>('C-51'!N30/'C-50'!N30)*1000</f>
        <v>2.113995183302114</v>
      </c>
    </row>
    <row r="31" spans="1:14" ht="12.75" customHeight="1">
      <c r="A31" s="127" t="s">
        <v>95</v>
      </c>
      <c r="B31" s="625">
        <f>('C-51'!B31/'C-50'!B31)*1000</f>
        <v>2.0656923623742918</v>
      </c>
      <c r="C31" s="260">
        <f>('C-51'!C31/'C-50'!C31)*1000</f>
        <v>1.8729582577132486</v>
      </c>
      <c r="D31" s="260">
        <f>('C-51'!D31/'C-50'!D31)*1000</f>
        <v>1.9876627827278959</v>
      </c>
      <c r="E31" s="260">
        <f>('C-51'!E31/'C-50'!E31)*1000</f>
        <v>2.1156832298136647</v>
      </c>
      <c r="F31" s="260">
        <f>('C-51'!F31/'C-50'!F31)*1000</f>
        <v>2.1057557323350493</v>
      </c>
      <c r="G31" s="260">
        <f>('C-51'!G31/'C-50'!G31)*1000</f>
        <v>1.9732155577717623</v>
      </c>
      <c r="H31" s="260">
        <f>('C-51'!H31/'C-50'!H31)*1000</f>
        <v>2.0353508302088912</v>
      </c>
      <c r="I31" s="260">
        <f>('C-51'!I31/'C-50'!I31)*1000</f>
        <v>2.0180722891566267</v>
      </c>
      <c r="J31" s="260">
        <f>('C-51'!J31/'C-50'!J31)*1000</f>
        <v>2.2437841115827775</v>
      </c>
      <c r="K31" s="260">
        <f>('C-51'!K31/'C-50'!K31)*1000</f>
        <v>2.1849212303075771</v>
      </c>
      <c r="L31" s="260">
        <f>('C-51'!L31/'C-50'!L31)*1000</f>
        <v>2.1546608235186708</v>
      </c>
      <c r="M31" s="260">
        <f>('C-51'!M31/'C-50'!M31)*1000</f>
        <v>2.1877136439105382</v>
      </c>
      <c r="N31" s="260">
        <f>('C-51'!N31/'C-50'!N31)*1000</f>
        <v>2.016695594677246</v>
      </c>
    </row>
    <row r="32" spans="1:14" ht="12.75" customHeight="1">
      <c r="A32" s="152" t="s">
        <v>44</v>
      </c>
      <c r="B32" s="625">
        <f>('C-51'!B32/'C-50'!B32)*1000</f>
        <v>2.1842625391592398</v>
      </c>
      <c r="C32" s="260">
        <f>('C-51'!C32/'C-50'!C32)*1000</f>
        <v>2.0848187290728424</v>
      </c>
      <c r="D32" s="260">
        <f>('C-51'!D32/'C-50'!D32)*1000</f>
        <v>2.1467426221784383</v>
      </c>
      <c r="E32" s="260">
        <f>('C-51'!E32/'C-50'!E32)*1000</f>
        <v>2.1756156274989897</v>
      </c>
      <c r="F32" s="260">
        <f>('C-51'!F32/'C-50'!F32)*1000</f>
        <v>2.1897703304429341</v>
      </c>
      <c r="G32" s="260">
        <f>('C-51'!G32/'C-50'!G32)*1000</f>
        <v>2.1782360664296738</v>
      </c>
      <c r="H32" s="260">
        <f>('C-51'!H32/'C-50'!H32)*1000</f>
        <v>2.1696754488341483</v>
      </c>
      <c r="I32" s="260">
        <f>('C-51'!I32/'C-50'!I32)*1000</f>
        <v>2.1241984714762325</v>
      </c>
      <c r="J32" s="260">
        <f>('C-51'!J32/'C-50'!J32)*1000</f>
        <v>2.1664564789599061</v>
      </c>
      <c r="K32" s="260">
        <f>('C-51'!K32/'C-50'!K32)*1000</f>
        <v>2.185599667044325</v>
      </c>
      <c r="L32" s="260">
        <f>('C-51'!L32/'C-50'!L32)*1000</f>
        <v>2.2074821531477493</v>
      </c>
      <c r="M32" s="260">
        <f>('C-51'!M32/'C-50'!M32)*1000</f>
        <v>2.3655983250120793</v>
      </c>
      <c r="N32" s="260">
        <f>('C-51'!N32/'C-50'!N32)*1000</f>
        <v>2.1816222447777651</v>
      </c>
    </row>
    <row r="33" spans="1:14" ht="12.75" customHeight="1">
      <c r="A33" s="152" t="s">
        <v>45</v>
      </c>
      <c r="B33" s="625">
        <f>('C-51'!B33/'C-50'!B33)*1000</f>
        <v>2.0834898631303456</v>
      </c>
      <c r="C33" s="260">
        <f>('C-51'!C33/'C-50'!C33)*1000</f>
        <v>1.8645793559882906</v>
      </c>
      <c r="D33" s="260">
        <f>('C-51'!D33/'C-50'!D33)*1000</f>
        <v>1.8948268808806576</v>
      </c>
      <c r="E33" s="260">
        <f>('C-51'!E33/'C-50'!E33)*1000</f>
        <v>2.0367906784714895</v>
      </c>
      <c r="F33" s="260">
        <f>('C-51'!F33/'C-50'!F33)*1000</f>
        <v>2.1437329430842862</v>
      </c>
      <c r="G33" s="260">
        <f>('C-51'!G33/'C-50'!G33)*1000</f>
        <v>2.1671431953524793</v>
      </c>
      <c r="H33" s="260">
        <f>('C-51'!H33/'C-50'!H33)*1000</f>
        <v>2.1108507484099279</v>
      </c>
      <c r="I33" s="260">
        <f>('C-51'!I33/'C-50'!I33)*1000</f>
        <v>2.1254894818322558</v>
      </c>
      <c r="J33" s="260">
        <f>('C-51'!J33/'C-50'!J33)*1000</f>
        <v>2.1710593543417254</v>
      </c>
      <c r="K33" s="260">
        <f>('C-51'!K33/'C-50'!K33)*1000</f>
        <v>2.1511317055783286</v>
      </c>
      <c r="L33" s="260">
        <f>('C-51'!L33/'C-50'!L33)*1000</f>
        <v>2.1100369066707145</v>
      </c>
      <c r="M33" s="260">
        <f>('C-51'!M33/'C-50'!M33)*1000</f>
        <v>2.0922741560349949</v>
      </c>
      <c r="N33" s="260">
        <f>('C-51'!N33/'C-50'!N33)*1000</f>
        <v>2.116068929670945</v>
      </c>
    </row>
    <row r="34" spans="1:14" ht="12.75" customHeight="1">
      <c r="A34" s="129" t="s">
        <v>46</v>
      </c>
      <c r="B34" s="625">
        <f>('C-51'!B34/'C-50'!B34)*1000</f>
        <v>2.2091751784071185</v>
      </c>
      <c r="C34" s="260">
        <f>('C-51'!C34/'C-50'!C34)*1000</f>
        <v>2.1448665793284145</v>
      </c>
      <c r="D34" s="260">
        <f>('C-51'!D34/'C-50'!D34)*1000</f>
        <v>2.179933783975831</v>
      </c>
      <c r="E34" s="260">
        <f>('C-51'!E34/'C-50'!E34)*1000</f>
        <v>2.2473163460972563</v>
      </c>
      <c r="F34" s="260">
        <f>('C-51'!F34/'C-50'!F34)*1000</f>
        <v>2.2071279817955989</v>
      </c>
      <c r="G34" s="260">
        <f>('C-51'!G34/'C-50'!G34)*1000</f>
        <v>2.2021481542001022</v>
      </c>
      <c r="H34" s="260">
        <f>('C-51'!H34/'C-50'!H34)*1000</f>
        <v>2.2118716838438077</v>
      </c>
      <c r="I34" s="260">
        <f>('C-51'!I34/'C-50'!I34)*1000</f>
        <v>2.2122417362137172</v>
      </c>
      <c r="J34" s="260">
        <f>('C-51'!J34/'C-50'!J34)*1000</f>
        <v>2.1374773692456976</v>
      </c>
      <c r="K34" s="260">
        <f>('C-51'!K34/'C-50'!K34)*1000</f>
        <v>2.2029213447014269</v>
      </c>
      <c r="L34" s="260">
        <f>('C-51'!L34/'C-50'!L34)*1000</f>
        <v>2.2254454803586201</v>
      </c>
      <c r="M34" s="260">
        <f>('C-51'!M34/'C-50'!M34)*1000</f>
        <v>2.2467231956644187</v>
      </c>
      <c r="N34" s="260">
        <f>('C-51'!N34/'C-50'!N34)*1000</f>
        <v>2.2932337399822749</v>
      </c>
    </row>
    <row r="35" spans="1:14" ht="12.75" customHeight="1">
      <c r="A35" s="129" t="s">
        <v>47</v>
      </c>
      <c r="B35" s="625">
        <f>('C-51'!B35/'C-50'!B35)*1000</f>
        <v>2.20912229806699</v>
      </c>
      <c r="C35" s="260">
        <f>('C-51'!C35/'C-50'!C35)*1000</f>
        <v>2.2220830741138733</v>
      </c>
      <c r="D35" s="260">
        <f>('C-51'!D35/'C-50'!D35)*1000</f>
        <v>2.1671819452858667</v>
      </c>
      <c r="E35" s="260">
        <f>('C-51'!E35/'C-50'!E35)*1000</f>
        <v>2.1563809572805956</v>
      </c>
      <c r="F35" s="260">
        <f>('C-51'!F35/'C-50'!F35)*1000</f>
        <v>2.2302693541389909</v>
      </c>
      <c r="G35" s="260">
        <f>('C-51'!G35/'C-50'!G35)*1000</f>
        <v>2.2182175209626251</v>
      </c>
      <c r="H35" s="260">
        <f>('C-51'!H35/'C-50'!H35)*1000</f>
        <v>2.2233362091407649</v>
      </c>
      <c r="I35" s="260">
        <f>('C-51'!I35/'C-50'!I35)*1000</f>
        <v>2.2262342879100592</v>
      </c>
      <c r="J35" s="260">
        <f>('C-51'!J35/'C-50'!J35)*1000</f>
        <v>2.1548968714860055</v>
      </c>
      <c r="K35" s="260">
        <f>('C-51'!K35/'C-50'!K35)*1000</f>
        <v>2.1645677882518952</v>
      </c>
      <c r="L35" s="260">
        <f>('C-51'!L35/'C-50'!L35)*1000</f>
        <v>2.2501743490643586</v>
      </c>
      <c r="M35" s="260">
        <f>('C-51'!M35/'C-50'!M35)*1000</f>
        <v>2.2199081163859113</v>
      </c>
      <c r="N35" s="260">
        <f>('C-51'!N35/'C-50'!N35)*1000</f>
        <v>2.2581095878344413</v>
      </c>
    </row>
    <row r="36" spans="1:14" ht="12.75" customHeight="1">
      <c r="A36" s="129" t="s">
        <v>48</v>
      </c>
      <c r="B36" s="625">
        <f>('C-51'!B36/'C-50'!B36)*1000</f>
        <v>2.2018961393425833</v>
      </c>
      <c r="C36" s="260">
        <f>('C-51'!C36/'C-50'!C36)*1000</f>
        <v>2.2082068366423973</v>
      </c>
      <c r="D36" s="260">
        <f>('C-51'!D36/'C-50'!D36)*1000</f>
        <v>2.2146130146044363</v>
      </c>
      <c r="E36" s="260">
        <f>('C-51'!E36/'C-50'!E36)*1000</f>
        <v>2.1017352756995482</v>
      </c>
      <c r="F36" s="260">
        <f>('C-51'!F36/'C-50'!F36)*1000</f>
        <v>2.2081407662117578</v>
      </c>
      <c r="G36" s="260">
        <f>('C-51'!G36/'C-50'!G36)*1000</f>
        <v>2.2277809030186186</v>
      </c>
      <c r="H36" s="260">
        <f>('C-51'!H36/'C-50'!H36)*1000</f>
        <v>2.1889232627065001</v>
      </c>
      <c r="I36" s="260">
        <f>('C-51'!I36/'C-50'!I36)*1000</f>
        <v>2.2385592213347665</v>
      </c>
      <c r="J36" s="260">
        <f>('C-51'!J36/'C-50'!J36)*1000</f>
        <v>2.171868482963359</v>
      </c>
      <c r="K36" s="260">
        <f>('C-51'!K36/'C-50'!K36)*1000</f>
        <v>2.238875281134189</v>
      </c>
      <c r="L36" s="260">
        <f>('C-51'!L36/'C-50'!L36)*1000</f>
        <v>2.2159194176336108</v>
      </c>
      <c r="M36" s="260">
        <f>('C-51'!M36/'C-50'!M36)*1000</f>
        <v>2.1851196429945374</v>
      </c>
      <c r="N36" s="260">
        <f>('C-51'!N36/'C-50'!N36)*1000</f>
        <v>2.2155167949147785</v>
      </c>
    </row>
    <row r="37" spans="1:14" ht="12.75" customHeight="1" thickBot="1">
      <c r="A37" s="154" t="s">
        <v>49</v>
      </c>
      <c r="B37" s="626">
        <f>('C-51'!B37/'C-50'!B37)*1000</f>
        <v>2.2024905185885735</v>
      </c>
      <c r="C37" s="261">
        <f>('C-51'!C37/'C-50'!C37)*1000</f>
        <v>2.166341669347057</v>
      </c>
      <c r="D37" s="261">
        <f>('C-51'!D37/'C-50'!D37)*1000</f>
        <v>2.3292701787955847</v>
      </c>
      <c r="E37" s="261">
        <f>('C-51'!E37/'C-50'!E37)*1000</f>
        <v>2.0646725762287095</v>
      </c>
      <c r="F37" s="261">
        <f>('C-51'!F37/'C-50'!F37)*1000</f>
        <v>2.2174257827173154</v>
      </c>
      <c r="G37" s="261">
        <f>('C-51'!G37/'C-50'!G37)*1000</f>
        <v>2.2247134601012091</v>
      </c>
      <c r="H37" s="261">
        <f>('C-51'!H37/'C-50'!H37)*1000</f>
        <v>2.180083227901163</v>
      </c>
      <c r="I37" s="261">
        <f>('C-51'!I37/'C-50'!I37)*1000</f>
        <v>2.2335893228915333</v>
      </c>
      <c r="J37" s="261">
        <f>('C-51'!J37/'C-50'!J37)*1000</f>
        <v>2.1447994900093632</v>
      </c>
      <c r="K37" s="261">
        <f>('C-51'!K37/'C-50'!K37)*1000</f>
        <v>2.2092508773520865</v>
      </c>
      <c r="L37" s="261">
        <f>('C-51'!L37/'C-50'!L37)*1000</f>
        <v>2.2422285464098075</v>
      </c>
      <c r="M37" s="261">
        <f>('C-51'!M37/'C-50'!M37)*1000</f>
        <v>2.1738989406216147</v>
      </c>
      <c r="N37" s="261">
        <f>('C-51'!N37/'C-50'!N37)*1000</f>
        <v>2.2594800520451028</v>
      </c>
    </row>
    <row r="38" spans="1:14" ht="9" customHeight="1">
      <c r="A38" s="778" t="s">
        <v>402</v>
      </c>
      <c r="B38" s="814"/>
      <c r="C38" s="811"/>
      <c r="D38" s="811"/>
      <c r="E38" s="811"/>
      <c r="F38" s="255"/>
    </row>
    <row r="39" spans="1:14" ht="9" customHeight="1">
      <c r="A39" s="778" t="s">
        <v>359</v>
      </c>
      <c r="B39" s="811"/>
      <c r="C39" s="811"/>
      <c r="D39" s="811"/>
      <c r="E39" s="811"/>
      <c r="F39" s="255"/>
    </row>
    <row r="40" spans="1:14" ht="9" customHeight="1">
      <c r="A40" s="780" t="s">
        <v>358</v>
      </c>
      <c r="B40" s="812"/>
      <c r="C40" s="811"/>
      <c r="D40" s="811"/>
      <c r="E40" s="811"/>
      <c r="F40" s="255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4">
    <tabColor theme="9" tint="0.59999389629810485"/>
  </sheetPr>
  <dimension ref="A4:O62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46" customWidth="1"/>
    <col min="3" max="14" width="9" style="146" customWidth="1"/>
    <col min="15" max="16384" width="7" style="129"/>
  </cols>
  <sheetData>
    <row r="4" spans="1:15" ht="13.25" customHeight="1">
      <c r="A4" s="249" t="s">
        <v>526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15" ht="13.25" customHeight="1">
      <c r="A5" s="252" t="s">
        <v>238</v>
      </c>
      <c r="B5" s="245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6" spans="1:15" ht="4" customHeight="1" thickBot="1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</row>
    <row r="7" spans="1:15" ht="15" customHeight="1">
      <c r="A7" s="595" t="s">
        <v>18</v>
      </c>
      <c r="B7" s="600" t="s">
        <v>106</v>
      </c>
      <c r="C7" s="601" t="s">
        <v>55</v>
      </c>
      <c r="D7" s="601" t="s">
        <v>56</v>
      </c>
      <c r="E7" s="601" t="s">
        <v>57</v>
      </c>
      <c r="F7" s="601" t="s">
        <v>58</v>
      </c>
      <c r="G7" s="601" t="s">
        <v>59</v>
      </c>
      <c r="H7" s="601" t="s">
        <v>60</v>
      </c>
      <c r="I7" s="601" t="s">
        <v>61</v>
      </c>
      <c r="J7" s="601" t="s">
        <v>62</v>
      </c>
      <c r="K7" s="601" t="s">
        <v>63</v>
      </c>
      <c r="L7" s="601" t="s">
        <v>64</v>
      </c>
      <c r="M7" s="601" t="s">
        <v>65</v>
      </c>
      <c r="N7" s="601" t="s">
        <v>66</v>
      </c>
    </row>
    <row r="8" spans="1:15" ht="15" customHeight="1">
      <c r="A8" s="604" t="s">
        <v>96</v>
      </c>
      <c r="B8" s="609">
        <f t="shared" ref="B8:B37" si="0">SUM(C8:N8)</f>
        <v>2592724.6211208445</v>
      </c>
      <c r="C8" s="609">
        <f t="shared" ref="C8:N8" si="1">(C9+C10+C11+C12+C13+C17+C18+C19+C20+C21+C22+C23+C24+C25+C26+C27+C28+C29+C32+C33+C34+C35+C36+C37)</f>
        <v>189954</v>
      </c>
      <c r="D8" s="609">
        <f t="shared" si="1"/>
        <v>196382.13524103002</v>
      </c>
      <c r="E8" s="609">
        <f t="shared" si="1"/>
        <v>208932.58065067121</v>
      </c>
      <c r="F8" s="609">
        <f t="shared" si="1"/>
        <v>228935.22606031242</v>
      </c>
      <c r="G8" s="609">
        <f t="shared" si="1"/>
        <v>238453.27146995359</v>
      </c>
      <c r="H8" s="609">
        <f t="shared" si="1"/>
        <v>242863.40769887721</v>
      </c>
      <c r="I8" s="609">
        <f t="shared" si="1"/>
        <v>235865</v>
      </c>
      <c r="J8" s="609">
        <f t="shared" si="1"/>
        <v>229522</v>
      </c>
      <c r="K8" s="609">
        <f t="shared" si="1"/>
        <v>213762</v>
      </c>
      <c r="L8" s="609">
        <f t="shared" si="1"/>
        <v>201342</v>
      </c>
      <c r="M8" s="609">
        <f t="shared" si="1"/>
        <v>202521</v>
      </c>
      <c r="N8" s="609">
        <f t="shared" si="1"/>
        <v>204192</v>
      </c>
      <c r="O8" s="146"/>
    </row>
    <row r="9" spans="1:15" ht="12.75" customHeight="1">
      <c r="A9" s="152" t="s">
        <v>21</v>
      </c>
      <c r="B9" s="637">
        <f t="shared" si="0"/>
        <v>2156</v>
      </c>
      <c r="C9" s="258">
        <v>165</v>
      </c>
      <c r="D9" s="258">
        <v>170</v>
      </c>
      <c r="E9" s="258">
        <v>176</v>
      </c>
      <c r="F9" s="258">
        <v>170</v>
      </c>
      <c r="G9" s="258">
        <v>167</v>
      </c>
      <c r="H9" s="258">
        <v>196</v>
      </c>
      <c r="I9" s="258">
        <v>204</v>
      </c>
      <c r="J9" s="258">
        <v>184</v>
      </c>
      <c r="K9" s="258">
        <v>182</v>
      </c>
      <c r="L9" s="258">
        <v>173</v>
      </c>
      <c r="M9" s="258">
        <v>188</v>
      </c>
      <c r="N9" s="258">
        <v>181</v>
      </c>
      <c r="O9" s="146"/>
    </row>
    <row r="10" spans="1:15" ht="12.75" customHeight="1">
      <c r="A10" s="152" t="s">
        <v>22</v>
      </c>
      <c r="B10" s="637">
        <f t="shared" si="0"/>
        <v>112641.22112084439</v>
      </c>
      <c r="C10" s="258">
        <v>9279</v>
      </c>
      <c r="D10" s="258">
        <v>9326.1352410299987</v>
      </c>
      <c r="E10" s="258">
        <v>9699.1806506711982</v>
      </c>
      <c r="F10" s="258">
        <v>10072.2260603124</v>
      </c>
      <c r="G10" s="258">
        <v>10445.271469953599</v>
      </c>
      <c r="H10" s="258">
        <v>11564.407698877201</v>
      </c>
      <c r="I10" s="258">
        <v>10987</v>
      </c>
      <c r="J10" s="258">
        <v>10818</v>
      </c>
      <c r="K10" s="258">
        <v>9207</v>
      </c>
      <c r="L10" s="258">
        <v>6715</v>
      </c>
      <c r="M10" s="258">
        <v>6694</v>
      </c>
      <c r="N10" s="258">
        <v>7834</v>
      </c>
      <c r="O10" s="146"/>
    </row>
    <row r="11" spans="1:15" ht="12.75" customHeight="1">
      <c r="A11" s="152" t="s">
        <v>23</v>
      </c>
      <c r="B11" s="637">
        <f t="shared" si="0"/>
        <v>26248</v>
      </c>
      <c r="C11" s="258">
        <v>2297</v>
      </c>
      <c r="D11" s="258">
        <v>2368</v>
      </c>
      <c r="E11" s="258">
        <v>2410</v>
      </c>
      <c r="F11" s="258">
        <v>2189</v>
      </c>
      <c r="G11" s="258">
        <v>2196</v>
      </c>
      <c r="H11" s="258">
        <v>2112</v>
      </c>
      <c r="I11" s="258">
        <v>1984</v>
      </c>
      <c r="J11" s="258">
        <v>1894</v>
      </c>
      <c r="K11" s="258">
        <v>1991</v>
      </c>
      <c r="L11" s="258">
        <v>1988</v>
      </c>
      <c r="M11" s="258">
        <v>1983</v>
      </c>
      <c r="N11" s="258">
        <v>2836</v>
      </c>
      <c r="O11" s="146"/>
    </row>
    <row r="12" spans="1:15" ht="12.75" customHeight="1">
      <c r="A12" s="127" t="s">
        <v>24</v>
      </c>
      <c r="B12" s="637">
        <f t="shared" si="0"/>
        <v>210806</v>
      </c>
      <c r="C12" s="258">
        <v>16537</v>
      </c>
      <c r="D12" s="258">
        <v>17164</v>
      </c>
      <c r="E12" s="258">
        <v>16973</v>
      </c>
      <c r="F12" s="258">
        <v>17966</v>
      </c>
      <c r="G12" s="258">
        <v>18144</v>
      </c>
      <c r="H12" s="258">
        <v>18591</v>
      </c>
      <c r="I12" s="258">
        <v>18161</v>
      </c>
      <c r="J12" s="258">
        <v>17981</v>
      </c>
      <c r="K12" s="258">
        <v>17590</v>
      </c>
      <c r="L12" s="258">
        <v>17504</v>
      </c>
      <c r="M12" s="258">
        <v>17148</v>
      </c>
      <c r="N12" s="258">
        <v>17047</v>
      </c>
      <c r="O12" s="146"/>
    </row>
    <row r="13" spans="1:15" ht="12.75" customHeight="1">
      <c r="A13" s="127" t="s">
        <v>25</v>
      </c>
      <c r="B13" s="637">
        <f t="shared" si="0"/>
        <v>84819</v>
      </c>
      <c r="C13" s="258">
        <v>7202</v>
      </c>
      <c r="D13" s="258">
        <v>7534</v>
      </c>
      <c r="E13" s="258">
        <v>6707</v>
      </c>
      <c r="F13" s="258">
        <v>5672</v>
      </c>
      <c r="G13" s="258">
        <v>6447</v>
      </c>
      <c r="H13" s="258">
        <v>6916</v>
      </c>
      <c r="I13" s="258">
        <v>7553</v>
      </c>
      <c r="J13" s="258">
        <v>7212</v>
      </c>
      <c r="K13" s="258">
        <v>7279</v>
      </c>
      <c r="L13" s="258">
        <v>7403</v>
      </c>
      <c r="M13" s="258">
        <v>7500</v>
      </c>
      <c r="N13" s="258">
        <v>7394</v>
      </c>
      <c r="O13" s="146"/>
    </row>
    <row r="14" spans="1:15" ht="12.75" customHeight="1">
      <c r="A14" s="127" t="s">
        <v>97</v>
      </c>
      <c r="B14" s="637">
        <f t="shared" si="0"/>
        <v>61028</v>
      </c>
      <c r="C14" s="258">
        <v>5038</v>
      </c>
      <c r="D14" s="258">
        <v>5452</v>
      </c>
      <c r="E14" s="258">
        <v>5245</v>
      </c>
      <c r="F14" s="258">
        <v>4487</v>
      </c>
      <c r="G14" s="258">
        <v>4685</v>
      </c>
      <c r="H14" s="258">
        <v>4756</v>
      </c>
      <c r="I14" s="258">
        <v>5268</v>
      </c>
      <c r="J14" s="258">
        <v>5069</v>
      </c>
      <c r="K14" s="258">
        <v>5170</v>
      </c>
      <c r="L14" s="258">
        <v>5273</v>
      </c>
      <c r="M14" s="258">
        <v>5307</v>
      </c>
      <c r="N14" s="258">
        <v>5278</v>
      </c>
      <c r="O14" s="146"/>
    </row>
    <row r="15" spans="1:15" ht="12.75" customHeight="1">
      <c r="A15" s="127" t="s">
        <v>98</v>
      </c>
      <c r="B15" s="637">
        <f t="shared" si="0"/>
        <v>20198</v>
      </c>
      <c r="C15" s="258">
        <v>1887</v>
      </c>
      <c r="D15" s="258">
        <v>1830</v>
      </c>
      <c r="E15" s="258">
        <v>1243</v>
      </c>
      <c r="F15" s="258">
        <v>922</v>
      </c>
      <c r="G15" s="258">
        <v>1314</v>
      </c>
      <c r="H15" s="258">
        <v>1762</v>
      </c>
      <c r="I15" s="258">
        <v>1925</v>
      </c>
      <c r="J15" s="258">
        <v>1845</v>
      </c>
      <c r="K15" s="258">
        <v>1799</v>
      </c>
      <c r="L15" s="258">
        <v>1833</v>
      </c>
      <c r="M15" s="258">
        <v>1952</v>
      </c>
      <c r="N15" s="258">
        <v>1886</v>
      </c>
      <c r="O15" s="146"/>
    </row>
    <row r="16" spans="1:15" ht="12.75" customHeight="1">
      <c r="A16" s="127" t="s">
        <v>99</v>
      </c>
      <c r="B16" s="637">
        <f t="shared" si="0"/>
        <v>3593</v>
      </c>
      <c r="C16" s="258">
        <v>277</v>
      </c>
      <c r="D16" s="258">
        <v>252</v>
      </c>
      <c r="E16" s="258">
        <v>219</v>
      </c>
      <c r="F16" s="258">
        <v>263</v>
      </c>
      <c r="G16" s="258">
        <v>448</v>
      </c>
      <c r="H16" s="258">
        <v>398</v>
      </c>
      <c r="I16" s="258">
        <v>360</v>
      </c>
      <c r="J16" s="258">
        <v>298</v>
      </c>
      <c r="K16" s="258">
        <v>310</v>
      </c>
      <c r="L16" s="258">
        <v>297</v>
      </c>
      <c r="M16" s="258">
        <v>241</v>
      </c>
      <c r="N16" s="258">
        <v>230</v>
      </c>
      <c r="O16" s="146"/>
    </row>
    <row r="17" spans="1:15" ht="12.75" customHeight="1">
      <c r="A17" s="152" t="s">
        <v>29</v>
      </c>
      <c r="B17" s="637">
        <f t="shared" si="0"/>
        <v>3395</v>
      </c>
      <c r="C17" s="258">
        <v>277</v>
      </c>
      <c r="D17" s="258">
        <v>261</v>
      </c>
      <c r="E17" s="258">
        <v>253</v>
      </c>
      <c r="F17" s="258">
        <v>203</v>
      </c>
      <c r="G17" s="258">
        <v>246</v>
      </c>
      <c r="H17" s="258">
        <v>263</v>
      </c>
      <c r="I17" s="258">
        <v>276</v>
      </c>
      <c r="J17" s="258">
        <v>281</v>
      </c>
      <c r="K17" s="258">
        <v>291</v>
      </c>
      <c r="L17" s="258">
        <v>296</v>
      </c>
      <c r="M17" s="258">
        <v>296</v>
      </c>
      <c r="N17" s="258">
        <v>452</v>
      </c>
      <c r="O17" s="146"/>
    </row>
    <row r="18" spans="1:15" ht="12.75" customHeight="1">
      <c r="A18" s="127" t="s">
        <v>30</v>
      </c>
      <c r="B18" s="637">
        <f t="shared" si="0"/>
        <v>132582</v>
      </c>
      <c r="C18" s="258">
        <v>10487</v>
      </c>
      <c r="D18" s="258">
        <v>10288</v>
      </c>
      <c r="E18" s="258">
        <v>11804</v>
      </c>
      <c r="F18" s="258">
        <v>11034</v>
      </c>
      <c r="G18" s="258">
        <v>10601</v>
      </c>
      <c r="H18" s="258">
        <v>11101</v>
      </c>
      <c r="I18" s="258">
        <v>11227</v>
      </c>
      <c r="J18" s="258">
        <v>11268</v>
      </c>
      <c r="K18" s="258">
        <v>11127</v>
      </c>
      <c r="L18" s="258">
        <v>11207</v>
      </c>
      <c r="M18" s="258">
        <v>11301</v>
      </c>
      <c r="N18" s="258">
        <v>11137</v>
      </c>
      <c r="O18" s="146"/>
    </row>
    <row r="19" spans="1:15" ht="12.75" customHeight="1">
      <c r="A19" s="127" t="s">
        <v>31</v>
      </c>
      <c r="B19" s="637">
        <f t="shared" si="0"/>
        <v>54211</v>
      </c>
      <c r="C19" s="258">
        <v>4248</v>
      </c>
      <c r="D19" s="258">
        <v>4269</v>
      </c>
      <c r="E19" s="258">
        <v>4059</v>
      </c>
      <c r="F19" s="258">
        <v>4563</v>
      </c>
      <c r="G19" s="258">
        <v>4747</v>
      </c>
      <c r="H19" s="258">
        <v>4387</v>
      </c>
      <c r="I19" s="258">
        <v>5159</v>
      </c>
      <c r="J19" s="258">
        <v>4923</v>
      </c>
      <c r="K19" s="258">
        <v>4504</v>
      </c>
      <c r="L19" s="258">
        <v>4429</v>
      </c>
      <c r="M19" s="258">
        <v>4585</v>
      </c>
      <c r="N19" s="258">
        <v>4338</v>
      </c>
      <c r="O19" s="146"/>
    </row>
    <row r="20" spans="1:15" ht="12.75" customHeight="1">
      <c r="A20" s="152" t="s">
        <v>32</v>
      </c>
      <c r="B20" s="637">
        <f t="shared" si="0"/>
        <v>13345</v>
      </c>
      <c r="C20" s="258">
        <v>829</v>
      </c>
      <c r="D20" s="258">
        <v>802</v>
      </c>
      <c r="E20" s="258">
        <v>980</v>
      </c>
      <c r="F20" s="258">
        <v>994</v>
      </c>
      <c r="G20" s="258">
        <v>1087</v>
      </c>
      <c r="H20" s="258">
        <v>1165</v>
      </c>
      <c r="I20" s="258">
        <v>1279</v>
      </c>
      <c r="J20" s="258">
        <v>1323</v>
      </c>
      <c r="K20" s="258">
        <v>1373</v>
      </c>
      <c r="L20" s="258">
        <v>1259</v>
      </c>
      <c r="M20" s="258">
        <v>1207</v>
      </c>
      <c r="N20" s="258">
        <v>1047</v>
      </c>
      <c r="O20" s="146"/>
    </row>
    <row r="21" spans="1:15" ht="12.75" customHeight="1">
      <c r="A21" s="152" t="s">
        <v>33</v>
      </c>
      <c r="B21" s="637">
        <f t="shared" si="0"/>
        <v>158066</v>
      </c>
      <c r="C21" s="258">
        <v>12398</v>
      </c>
      <c r="D21" s="258">
        <v>12157</v>
      </c>
      <c r="E21" s="258">
        <v>12978</v>
      </c>
      <c r="F21" s="258">
        <v>13269</v>
      </c>
      <c r="G21" s="258">
        <v>13002</v>
      </c>
      <c r="H21" s="258">
        <v>12832</v>
      </c>
      <c r="I21" s="258">
        <v>14384</v>
      </c>
      <c r="J21" s="258">
        <v>14268</v>
      </c>
      <c r="K21" s="258">
        <v>13539</v>
      </c>
      <c r="L21" s="258">
        <v>13501</v>
      </c>
      <c r="M21" s="258">
        <v>12412</v>
      </c>
      <c r="N21" s="258">
        <v>13326</v>
      </c>
      <c r="O21" s="146"/>
    </row>
    <row r="22" spans="1:15" ht="12.75" customHeight="1">
      <c r="A22" s="152" t="s">
        <v>34</v>
      </c>
      <c r="B22" s="637">
        <f t="shared" si="0"/>
        <v>112599</v>
      </c>
      <c r="C22" s="258">
        <v>4931</v>
      </c>
      <c r="D22" s="258">
        <v>5691</v>
      </c>
      <c r="E22" s="258">
        <v>7228</v>
      </c>
      <c r="F22" s="258">
        <v>9915</v>
      </c>
      <c r="G22" s="258">
        <v>12304</v>
      </c>
      <c r="H22" s="258">
        <v>13762</v>
      </c>
      <c r="I22" s="258">
        <v>13005</v>
      </c>
      <c r="J22" s="258">
        <v>11368</v>
      </c>
      <c r="K22" s="258">
        <v>6688</v>
      </c>
      <c r="L22" s="258">
        <v>5327</v>
      </c>
      <c r="M22" s="258">
        <v>8738</v>
      </c>
      <c r="N22" s="258">
        <v>13642</v>
      </c>
      <c r="O22" s="146"/>
    </row>
    <row r="23" spans="1:15" ht="12.75" customHeight="1">
      <c r="A23" s="152" t="s">
        <v>35</v>
      </c>
      <c r="B23" s="637">
        <f t="shared" si="0"/>
        <v>300729</v>
      </c>
      <c r="C23" s="258">
        <v>26614</v>
      </c>
      <c r="D23" s="258">
        <v>24345</v>
      </c>
      <c r="E23" s="258">
        <v>24309</v>
      </c>
      <c r="F23" s="258">
        <v>24030</v>
      </c>
      <c r="G23" s="258">
        <v>24304</v>
      </c>
      <c r="H23" s="258">
        <v>24952</v>
      </c>
      <c r="I23" s="258">
        <v>25165</v>
      </c>
      <c r="J23" s="258">
        <v>25262</v>
      </c>
      <c r="K23" s="258">
        <v>25021</v>
      </c>
      <c r="L23" s="258">
        <v>24795</v>
      </c>
      <c r="M23" s="258">
        <v>25019</v>
      </c>
      <c r="N23" s="258">
        <v>26913</v>
      </c>
      <c r="O23" s="146"/>
    </row>
    <row r="24" spans="1:15" ht="12.75" customHeight="1">
      <c r="A24" s="152" t="s">
        <v>36</v>
      </c>
      <c r="B24" s="637">
        <f t="shared" si="0"/>
        <v>104760</v>
      </c>
      <c r="C24" s="258">
        <v>8690</v>
      </c>
      <c r="D24" s="258">
        <v>8084</v>
      </c>
      <c r="E24" s="258">
        <v>8792</v>
      </c>
      <c r="F24" s="258">
        <v>8834</v>
      </c>
      <c r="G24" s="258">
        <v>9282</v>
      </c>
      <c r="H24" s="258">
        <v>9987</v>
      </c>
      <c r="I24" s="258">
        <v>7882</v>
      </c>
      <c r="J24" s="258">
        <v>9608</v>
      </c>
      <c r="K24" s="258">
        <v>9137</v>
      </c>
      <c r="L24" s="258">
        <v>9037</v>
      </c>
      <c r="M24" s="258">
        <v>7796</v>
      </c>
      <c r="N24" s="258">
        <v>7631</v>
      </c>
      <c r="O24" s="146"/>
    </row>
    <row r="25" spans="1:15" ht="12.75" customHeight="1">
      <c r="A25" s="127" t="s">
        <v>37</v>
      </c>
      <c r="B25" s="637">
        <f t="shared" si="0"/>
        <v>136204</v>
      </c>
      <c r="C25" s="258">
        <v>11806</v>
      </c>
      <c r="D25" s="258">
        <v>11463</v>
      </c>
      <c r="E25" s="258">
        <v>11422</v>
      </c>
      <c r="F25" s="258">
        <v>10928</v>
      </c>
      <c r="G25" s="258">
        <v>11394</v>
      </c>
      <c r="H25" s="258">
        <v>11427</v>
      </c>
      <c r="I25" s="258">
        <v>11285</v>
      </c>
      <c r="J25" s="258">
        <v>11331</v>
      </c>
      <c r="K25" s="258">
        <v>11251</v>
      </c>
      <c r="L25" s="258">
        <v>11184</v>
      </c>
      <c r="M25" s="258">
        <v>11304</v>
      </c>
      <c r="N25" s="258">
        <v>11409</v>
      </c>
      <c r="O25" s="146"/>
    </row>
    <row r="26" spans="1:15" ht="12.75" customHeight="1">
      <c r="A26" s="152" t="s">
        <v>38</v>
      </c>
      <c r="B26" s="637">
        <f t="shared" si="0"/>
        <v>3448</v>
      </c>
      <c r="C26" s="258">
        <v>281</v>
      </c>
      <c r="D26" s="258">
        <v>272</v>
      </c>
      <c r="E26" s="258">
        <v>298</v>
      </c>
      <c r="F26" s="258">
        <v>205</v>
      </c>
      <c r="G26" s="258">
        <v>302</v>
      </c>
      <c r="H26" s="258">
        <v>301</v>
      </c>
      <c r="I26" s="258">
        <v>311</v>
      </c>
      <c r="J26" s="258">
        <v>302</v>
      </c>
      <c r="K26" s="258">
        <v>312</v>
      </c>
      <c r="L26" s="258">
        <v>317</v>
      </c>
      <c r="M26" s="258">
        <v>283</v>
      </c>
      <c r="N26" s="258">
        <v>264</v>
      </c>
      <c r="O26" s="146"/>
    </row>
    <row r="27" spans="1:15" ht="12.75" customHeight="1">
      <c r="A27" s="152" t="s">
        <v>39</v>
      </c>
      <c r="B27" s="637">
        <f t="shared" si="0"/>
        <v>8504</v>
      </c>
      <c r="C27" s="258">
        <v>584</v>
      </c>
      <c r="D27" s="258">
        <v>638</v>
      </c>
      <c r="E27" s="258">
        <v>662</v>
      </c>
      <c r="F27" s="258">
        <v>679</v>
      </c>
      <c r="G27" s="258">
        <v>705</v>
      </c>
      <c r="H27" s="258">
        <v>719</v>
      </c>
      <c r="I27" s="258">
        <v>767</v>
      </c>
      <c r="J27" s="258">
        <v>751</v>
      </c>
      <c r="K27" s="258">
        <v>757</v>
      </c>
      <c r="L27" s="258">
        <v>711</v>
      </c>
      <c r="M27" s="258">
        <v>767</v>
      </c>
      <c r="N27" s="258">
        <v>764</v>
      </c>
      <c r="O27" s="146"/>
    </row>
    <row r="28" spans="1:15" ht="12.75" customHeight="1">
      <c r="A28" s="152" t="s">
        <v>40</v>
      </c>
      <c r="B28" s="637">
        <f t="shared" si="0"/>
        <v>141460</v>
      </c>
      <c r="C28" s="258">
        <v>10718</v>
      </c>
      <c r="D28" s="258">
        <v>10034</v>
      </c>
      <c r="E28" s="258">
        <v>12269</v>
      </c>
      <c r="F28" s="258">
        <v>13313</v>
      </c>
      <c r="G28" s="258">
        <v>13742</v>
      </c>
      <c r="H28" s="258">
        <v>13442</v>
      </c>
      <c r="I28" s="258">
        <v>13005</v>
      </c>
      <c r="J28" s="258">
        <v>11411</v>
      </c>
      <c r="K28" s="258">
        <v>10344</v>
      </c>
      <c r="L28" s="258">
        <v>10093</v>
      </c>
      <c r="M28" s="258">
        <v>11229</v>
      </c>
      <c r="N28" s="258">
        <v>11860</v>
      </c>
      <c r="O28" s="146"/>
    </row>
    <row r="29" spans="1:15" ht="12.75" customHeight="1">
      <c r="A29" s="127" t="s">
        <v>41</v>
      </c>
      <c r="B29" s="637">
        <f t="shared" si="0"/>
        <v>70337.399999999994</v>
      </c>
      <c r="C29" s="258">
        <v>6544</v>
      </c>
      <c r="D29" s="258">
        <v>6392</v>
      </c>
      <c r="E29" s="258">
        <v>6240.4</v>
      </c>
      <c r="F29" s="258">
        <v>5887</v>
      </c>
      <c r="G29" s="258">
        <v>5805</v>
      </c>
      <c r="H29" s="258">
        <v>5931</v>
      </c>
      <c r="I29" s="258">
        <v>5906</v>
      </c>
      <c r="J29" s="258">
        <v>5779</v>
      </c>
      <c r="K29" s="258">
        <v>5564</v>
      </c>
      <c r="L29" s="258">
        <v>5403</v>
      </c>
      <c r="M29" s="258">
        <v>5388</v>
      </c>
      <c r="N29" s="258">
        <v>5498</v>
      </c>
      <c r="O29" s="146"/>
    </row>
    <row r="30" spans="1:15" ht="12.75" customHeight="1">
      <c r="A30" s="127" t="s">
        <v>100</v>
      </c>
      <c r="B30" s="637">
        <f t="shared" si="0"/>
        <v>36060.400000000001</v>
      </c>
      <c r="C30" s="258">
        <v>3149</v>
      </c>
      <c r="D30" s="258">
        <v>3297</v>
      </c>
      <c r="E30" s="258">
        <v>3260.4</v>
      </c>
      <c r="F30" s="258">
        <v>3020</v>
      </c>
      <c r="G30" s="258">
        <v>2997</v>
      </c>
      <c r="H30" s="258">
        <v>3064</v>
      </c>
      <c r="I30" s="258">
        <v>3097</v>
      </c>
      <c r="J30" s="258">
        <v>2997</v>
      </c>
      <c r="K30" s="258">
        <v>2891</v>
      </c>
      <c r="L30" s="258">
        <v>2802</v>
      </c>
      <c r="M30" s="258">
        <v>2704</v>
      </c>
      <c r="N30" s="258">
        <v>2782</v>
      </c>
      <c r="O30" s="146"/>
    </row>
    <row r="31" spans="1:15" ht="12.75" customHeight="1">
      <c r="A31" s="127" t="s">
        <v>101</v>
      </c>
      <c r="B31" s="637">
        <f t="shared" si="0"/>
        <v>34277</v>
      </c>
      <c r="C31" s="258">
        <v>3395</v>
      </c>
      <c r="D31" s="258">
        <v>3095</v>
      </c>
      <c r="E31" s="258">
        <v>2980</v>
      </c>
      <c r="F31" s="258">
        <v>2867</v>
      </c>
      <c r="G31" s="258">
        <v>2808</v>
      </c>
      <c r="H31" s="258">
        <v>2867</v>
      </c>
      <c r="I31" s="258">
        <v>2809</v>
      </c>
      <c r="J31" s="258">
        <v>2782</v>
      </c>
      <c r="K31" s="258">
        <v>2673</v>
      </c>
      <c r="L31" s="258">
        <v>2601</v>
      </c>
      <c r="M31" s="258">
        <v>2684</v>
      </c>
      <c r="N31" s="258">
        <v>2716</v>
      </c>
      <c r="O31" s="146"/>
    </row>
    <row r="32" spans="1:15" ht="12.75" customHeight="1">
      <c r="A32" s="152" t="s">
        <v>44</v>
      </c>
      <c r="B32" s="637">
        <f t="shared" si="0"/>
        <v>304422</v>
      </c>
      <c r="C32" s="258">
        <v>21592</v>
      </c>
      <c r="D32" s="258">
        <v>24335</v>
      </c>
      <c r="E32" s="258">
        <v>26002</v>
      </c>
      <c r="F32" s="258">
        <v>27640</v>
      </c>
      <c r="G32" s="258">
        <v>29324</v>
      </c>
      <c r="H32" s="258">
        <v>30411</v>
      </c>
      <c r="I32" s="258">
        <v>28669</v>
      </c>
      <c r="J32" s="258">
        <v>27095</v>
      </c>
      <c r="K32" s="258">
        <v>25642</v>
      </c>
      <c r="L32" s="258">
        <v>23399</v>
      </c>
      <c r="M32" s="258">
        <v>21134</v>
      </c>
      <c r="N32" s="258">
        <v>19179</v>
      </c>
      <c r="O32" s="146"/>
    </row>
    <row r="33" spans="1:15" ht="12.75" customHeight="1">
      <c r="A33" s="152" t="s">
        <v>45</v>
      </c>
      <c r="B33" s="637">
        <f t="shared" si="0"/>
        <v>600435</v>
      </c>
      <c r="C33" s="258">
        <v>33540</v>
      </c>
      <c r="D33" s="258">
        <v>39960</v>
      </c>
      <c r="E33" s="258">
        <v>44820</v>
      </c>
      <c r="F33" s="258">
        <v>60550</v>
      </c>
      <c r="G33" s="258">
        <v>63330</v>
      </c>
      <c r="H33" s="258">
        <v>61930</v>
      </c>
      <c r="I33" s="258">
        <v>57740</v>
      </c>
      <c r="J33" s="258">
        <v>55490</v>
      </c>
      <c r="K33" s="258">
        <v>50910</v>
      </c>
      <c r="L33" s="258">
        <v>45580</v>
      </c>
      <c r="M33" s="258">
        <v>46480</v>
      </c>
      <c r="N33" s="258">
        <v>40105</v>
      </c>
      <c r="O33" s="146"/>
    </row>
    <row r="34" spans="1:15" ht="12.75" customHeight="1">
      <c r="A34" s="127" t="s">
        <v>102</v>
      </c>
      <c r="B34" s="637">
        <f t="shared" si="0"/>
        <v>5176</v>
      </c>
      <c r="C34" s="258">
        <v>443</v>
      </c>
      <c r="D34" s="258">
        <v>408</v>
      </c>
      <c r="E34" s="258">
        <v>381</v>
      </c>
      <c r="F34" s="258">
        <v>391</v>
      </c>
      <c r="G34" s="258">
        <v>382</v>
      </c>
      <c r="H34" s="258">
        <v>391</v>
      </c>
      <c r="I34" s="258">
        <v>411</v>
      </c>
      <c r="J34" s="258">
        <v>452</v>
      </c>
      <c r="K34" s="258">
        <v>472</v>
      </c>
      <c r="L34" s="258">
        <v>429</v>
      </c>
      <c r="M34" s="258">
        <v>452</v>
      </c>
      <c r="N34" s="258">
        <v>564</v>
      </c>
      <c r="O34" s="146"/>
    </row>
    <row r="35" spans="1:15" ht="12.75" customHeight="1">
      <c r="A35" s="127" t="s">
        <v>47</v>
      </c>
      <c r="B35" s="637">
        <f t="shared" si="0"/>
        <v>2278</v>
      </c>
      <c r="C35" s="258">
        <v>213</v>
      </c>
      <c r="D35" s="258">
        <v>182</v>
      </c>
      <c r="E35" s="258">
        <v>178</v>
      </c>
      <c r="F35" s="258">
        <v>176</v>
      </c>
      <c r="G35" s="258">
        <v>173</v>
      </c>
      <c r="H35" s="258">
        <v>149</v>
      </c>
      <c r="I35" s="258">
        <v>151</v>
      </c>
      <c r="J35" s="258">
        <v>170</v>
      </c>
      <c r="K35" s="258">
        <v>212</v>
      </c>
      <c r="L35" s="258">
        <v>207</v>
      </c>
      <c r="M35" s="258">
        <v>228</v>
      </c>
      <c r="N35" s="258">
        <v>239</v>
      </c>
      <c r="O35" s="146"/>
    </row>
    <row r="36" spans="1:15" ht="12.75" customHeight="1">
      <c r="A36" s="127" t="s">
        <v>48</v>
      </c>
      <c r="B36" s="637">
        <f t="shared" si="0"/>
        <v>2493</v>
      </c>
      <c r="C36" s="258">
        <v>151</v>
      </c>
      <c r="D36" s="258">
        <v>120</v>
      </c>
      <c r="E36" s="258">
        <v>145</v>
      </c>
      <c r="F36" s="258">
        <v>127</v>
      </c>
      <c r="G36" s="258">
        <v>176</v>
      </c>
      <c r="H36" s="258">
        <v>206</v>
      </c>
      <c r="I36" s="258">
        <v>219</v>
      </c>
      <c r="J36" s="258">
        <v>209</v>
      </c>
      <c r="K36" s="258">
        <v>252</v>
      </c>
      <c r="L36" s="258">
        <v>262</v>
      </c>
      <c r="M36" s="258">
        <v>263</v>
      </c>
      <c r="N36" s="258">
        <v>363</v>
      </c>
      <c r="O36" s="146"/>
    </row>
    <row r="37" spans="1:15" ht="12.75" customHeight="1" thickBot="1">
      <c r="A37" s="154" t="s">
        <v>49</v>
      </c>
      <c r="B37" s="645">
        <f t="shared" si="0"/>
        <v>1610</v>
      </c>
      <c r="C37" s="259">
        <v>128</v>
      </c>
      <c r="D37" s="259">
        <v>119</v>
      </c>
      <c r="E37" s="259">
        <v>147</v>
      </c>
      <c r="F37" s="259">
        <v>128</v>
      </c>
      <c r="G37" s="259">
        <v>148</v>
      </c>
      <c r="H37" s="259">
        <v>128</v>
      </c>
      <c r="I37" s="259">
        <v>135</v>
      </c>
      <c r="J37" s="259">
        <v>142</v>
      </c>
      <c r="K37" s="259">
        <v>117</v>
      </c>
      <c r="L37" s="259">
        <v>123</v>
      </c>
      <c r="M37" s="259">
        <v>126</v>
      </c>
      <c r="N37" s="259">
        <v>169</v>
      </c>
      <c r="O37" s="146"/>
    </row>
    <row r="38" spans="1:15" ht="9" customHeight="1">
      <c r="A38" s="778" t="s">
        <v>402</v>
      </c>
      <c r="B38" s="812"/>
      <c r="C38" s="812"/>
      <c r="D38" s="812"/>
      <c r="E38" s="812"/>
      <c r="F38" s="256"/>
      <c r="O38" s="146"/>
    </row>
    <row r="39" spans="1:15" ht="9" customHeight="1">
      <c r="A39" s="778" t="s">
        <v>359</v>
      </c>
      <c r="B39" s="812"/>
      <c r="C39" s="812"/>
      <c r="D39" s="812"/>
      <c r="E39" s="812"/>
      <c r="F39" s="256"/>
      <c r="O39" s="146"/>
    </row>
    <row r="40" spans="1:15" ht="9" customHeight="1">
      <c r="A40" s="780" t="s">
        <v>358</v>
      </c>
      <c r="B40" s="812"/>
      <c r="C40" s="812"/>
      <c r="D40" s="812"/>
      <c r="E40" s="812"/>
      <c r="F40" s="256"/>
      <c r="O40" s="146"/>
    </row>
    <row r="41" spans="1:15" ht="13.25" customHeight="1">
      <c r="A41" s="11"/>
      <c r="O41" s="146"/>
    </row>
    <row r="42" spans="1:15" ht="13.25" customHeight="1">
      <c r="A42" s="73"/>
      <c r="O42" s="146"/>
    </row>
    <row r="43" spans="1:15" ht="13.25" customHeight="1">
      <c r="A43" s="73"/>
      <c r="O43" s="146"/>
    </row>
    <row r="44" spans="1:15" ht="13.25" customHeight="1">
      <c r="A44" s="24"/>
      <c r="O44" s="146"/>
    </row>
    <row r="45" spans="1:15" ht="13.25" customHeight="1">
      <c r="A45" s="33"/>
      <c r="O45" s="146"/>
    </row>
    <row r="46" spans="1:15" ht="13.25" customHeight="1">
      <c r="A46" s="24"/>
      <c r="O46" s="146"/>
    </row>
    <row r="47" spans="1:15" ht="13.25" customHeight="1">
      <c r="A47" s="73"/>
      <c r="O47" s="146"/>
    </row>
    <row r="48" spans="1:15" ht="13.25" customHeight="1">
      <c r="A48" s="73"/>
      <c r="O48" s="146"/>
    </row>
    <row r="49" spans="1:15" ht="13.25" customHeight="1">
      <c r="A49" s="73"/>
      <c r="O49" s="146"/>
    </row>
    <row r="50" spans="1:15" ht="13.25" customHeight="1">
      <c r="A50" s="73"/>
      <c r="O50" s="146"/>
    </row>
    <row r="51" spans="1:15" ht="13.25" customHeight="1">
      <c r="A51" s="73"/>
      <c r="O51" s="146"/>
    </row>
    <row r="52" spans="1:15" ht="13.25" customHeight="1">
      <c r="A52" s="73"/>
      <c r="O52" s="146"/>
    </row>
    <row r="53" spans="1:15" ht="13.25" customHeight="1">
      <c r="A53" s="73"/>
      <c r="O53" s="146"/>
    </row>
    <row r="54" spans="1:15" ht="13.25" customHeight="1">
      <c r="A54" s="73"/>
      <c r="O54" s="146"/>
    </row>
    <row r="55" spans="1:15" ht="13.25" customHeight="1">
      <c r="A55" s="127"/>
      <c r="O55" s="146"/>
    </row>
    <row r="56" spans="1:15" ht="13.25" customHeight="1">
      <c r="A56" s="152"/>
      <c r="O56" s="146"/>
    </row>
    <row r="57" spans="1:15" ht="13.25" customHeight="1">
      <c r="A57" s="152"/>
      <c r="O57" s="146"/>
    </row>
    <row r="58" spans="1:15" ht="13.25" customHeight="1">
      <c r="A58" s="152"/>
      <c r="O58" s="146"/>
    </row>
    <row r="59" spans="1:15" ht="13.25" customHeight="1">
      <c r="A59" s="152"/>
      <c r="O59" s="146"/>
    </row>
    <row r="60" spans="1:15" ht="13.25" customHeight="1">
      <c r="A60" s="127"/>
      <c r="O60" s="146"/>
    </row>
    <row r="61" spans="1:15" ht="13.25" customHeight="1">
      <c r="A61" s="127"/>
      <c r="O61" s="146"/>
    </row>
    <row r="62" spans="1:15" ht="13.25" customHeight="1">
      <c r="A62" s="127"/>
      <c r="O62" s="14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55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34" customWidth="1"/>
    <col min="3" max="14" width="9" style="134" customWidth="1"/>
    <col min="15" max="16384" width="7" style="129"/>
  </cols>
  <sheetData>
    <row r="4" spans="1:14" ht="13.25" customHeight="1">
      <c r="A4" s="249" t="s">
        <v>527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3.25" customHeight="1">
      <c r="A5" s="252" t="s">
        <v>236</v>
      </c>
      <c r="B5" s="245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4" customHeight="1" thickBot="1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</row>
    <row r="7" spans="1:14" ht="15" customHeight="1">
      <c r="A7" s="595" t="s">
        <v>18</v>
      </c>
      <c r="B7" s="597" t="s">
        <v>106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</row>
    <row r="8" spans="1:14" ht="15" customHeight="1">
      <c r="A8" s="619" t="s">
        <v>96</v>
      </c>
      <c r="B8" s="614">
        <f t="shared" ref="B8:B37" si="0">SUM(C8:N8)</f>
        <v>33536.300000000003</v>
      </c>
      <c r="C8" s="614">
        <f t="shared" ref="C8:N8" si="1">(C9+C10+C11+C12+C13+C17+C18+C19+C20+C21+C22+C23+C24+C25+C26+C27+C28+C29+C32+C33+C34+C35+C36+C37)</f>
        <v>2407.2000000000003</v>
      </c>
      <c r="D8" s="614">
        <f t="shared" si="1"/>
        <v>2542.7000000000003</v>
      </c>
      <c r="E8" s="614">
        <f t="shared" si="1"/>
        <v>2685.0000000000005</v>
      </c>
      <c r="F8" s="614">
        <f t="shared" si="1"/>
        <v>3024.4</v>
      </c>
      <c r="G8" s="614">
        <f t="shared" si="1"/>
        <v>3156.8999999999996</v>
      </c>
      <c r="H8" s="614">
        <f t="shared" si="1"/>
        <v>3216.2</v>
      </c>
      <c r="I8" s="614">
        <f t="shared" si="1"/>
        <v>3074.4</v>
      </c>
      <c r="J8" s="614">
        <f t="shared" si="1"/>
        <v>2947.6</v>
      </c>
      <c r="K8" s="614">
        <f t="shared" si="1"/>
        <v>2756.1000000000004</v>
      </c>
      <c r="L8" s="614">
        <f t="shared" si="1"/>
        <v>2577.6000000000004</v>
      </c>
      <c r="M8" s="614">
        <f t="shared" si="1"/>
        <v>2572.1999999999998</v>
      </c>
      <c r="N8" s="614">
        <f t="shared" si="1"/>
        <v>2576.0000000000005</v>
      </c>
    </row>
    <row r="9" spans="1:14" ht="12.75" customHeight="1">
      <c r="A9" s="152" t="s">
        <v>21</v>
      </c>
      <c r="B9" s="640">
        <f t="shared" si="0"/>
        <v>27.6</v>
      </c>
      <c r="C9" s="262">
        <v>2.2000000000000002</v>
      </c>
      <c r="D9" s="262">
        <v>2.2000000000000002</v>
      </c>
      <c r="E9" s="262">
        <v>2.2999999999999998</v>
      </c>
      <c r="F9" s="262">
        <v>2.2000000000000002</v>
      </c>
      <c r="G9" s="262">
        <v>2.2000000000000002</v>
      </c>
      <c r="H9" s="262">
        <v>2.4</v>
      </c>
      <c r="I9" s="262">
        <v>2.2999999999999998</v>
      </c>
      <c r="J9" s="262">
        <v>2.5</v>
      </c>
      <c r="K9" s="262">
        <v>2.5</v>
      </c>
      <c r="L9" s="262">
        <v>2.2999999999999998</v>
      </c>
      <c r="M9" s="262">
        <v>2.2999999999999998</v>
      </c>
      <c r="N9" s="262">
        <v>2.2000000000000002</v>
      </c>
    </row>
    <row r="10" spans="1:14" ht="12.75" customHeight="1">
      <c r="A10" s="152" t="s">
        <v>22</v>
      </c>
      <c r="B10" s="640">
        <f t="shared" si="0"/>
        <v>1771.2000000000003</v>
      </c>
      <c r="C10" s="262">
        <v>146.69999999999999</v>
      </c>
      <c r="D10" s="262">
        <v>145.5</v>
      </c>
      <c r="E10" s="262">
        <v>144</v>
      </c>
      <c r="F10" s="262">
        <v>151.30000000000001</v>
      </c>
      <c r="G10" s="262">
        <v>168</v>
      </c>
      <c r="H10" s="262">
        <v>175</v>
      </c>
      <c r="I10" s="262">
        <v>170.9</v>
      </c>
      <c r="J10" s="262">
        <v>174.7</v>
      </c>
      <c r="K10" s="262">
        <v>144.4</v>
      </c>
      <c r="L10" s="262">
        <v>107.4</v>
      </c>
      <c r="M10" s="262">
        <v>111.7</v>
      </c>
      <c r="N10" s="262">
        <v>131.6</v>
      </c>
    </row>
    <row r="11" spans="1:14" ht="12.75" customHeight="1">
      <c r="A11" s="152" t="s">
        <v>23</v>
      </c>
      <c r="B11" s="640">
        <f t="shared" si="0"/>
        <v>428.70000000000005</v>
      </c>
      <c r="C11" s="262">
        <v>38</v>
      </c>
      <c r="D11" s="262">
        <v>40.1</v>
      </c>
      <c r="E11" s="262">
        <v>40.6</v>
      </c>
      <c r="F11" s="262">
        <v>35.4</v>
      </c>
      <c r="G11" s="262">
        <v>36.1</v>
      </c>
      <c r="H11" s="262">
        <v>36.6</v>
      </c>
      <c r="I11" s="262">
        <v>30.7</v>
      </c>
      <c r="J11" s="262">
        <v>26.8</v>
      </c>
      <c r="K11" s="262">
        <v>29</v>
      </c>
      <c r="L11" s="262">
        <v>35.5</v>
      </c>
      <c r="M11" s="262">
        <v>34.799999999999997</v>
      </c>
      <c r="N11" s="262">
        <v>45.1</v>
      </c>
    </row>
    <row r="12" spans="1:14" ht="12.75" customHeight="1">
      <c r="A12" s="127" t="s">
        <v>24</v>
      </c>
      <c r="B12" s="640">
        <f t="shared" si="0"/>
        <v>2850.4</v>
      </c>
      <c r="C12" s="262">
        <v>224.8</v>
      </c>
      <c r="D12" s="262">
        <v>231.9</v>
      </c>
      <c r="E12" s="262">
        <v>229.5</v>
      </c>
      <c r="F12" s="262">
        <v>239.7</v>
      </c>
      <c r="G12" s="262">
        <v>247.6</v>
      </c>
      <c r="H12" s="262">
        <v>257.8</v>
      </c>
      <c r="I12" s="262">
        <v>247.9</v>
      </c>
      <c r="J12" s="262">
        <v>240.2</v>
      </c>
      <c r="K12" s="262">
        <v>233.3</v>
      </c>
      <c r="L12" s="262">
        <v>238.2</v>
      </c>
      <c r="M12" s="262">
        <v>222.1</v>
      </c>
      <c r="N12" s="262">
        <v>237.4</v>
      </c>
    </row>
    <row r="13" spans="1:14" ht="12.75" customHeight="1">
      <c r="A13" s="127" t="s">
        <v>25</v>
      </c>
      <c r="B13" s="640">
        <f t="shared" si="0"/>
        <v>955.09999999999991</v>
      </c>
      <c r="C13" s="262">
        <v>80.8</v>
      </c>
      <c r="D13" s="262">
        <v>86.9</v>
      </c>
      <c r="E13" s="262">
        <v>78.5</v>
      </c>
      <c r="F13" s="262">
        <v>62.6</v>
      </c>
      <c r="G13" s="262">
        <v>70.7</v>
      </c>
      <c r="H13" s="262">
        <v>76.900000000000006</v>
      </c>
      <c r="I13" s="262">
        <v>81.3</v>
      </c>
      <c r="J13" s="262">
        <v>81.400000000000006</v>
      </c>
      <c r="K13" s="262">
        <v>80.400000000000006</v>
      </c>
      <c r="L13" s="262">
        <v>83.5</v>
      </c>
      <c r="M13" s="262">
        <v>86.4</v>
      </c>
      <c r="N13" s="262">
        <v>85.7</v>
      </c>
    </row>
    <row r="14" spans="1:14" ht="12.75" customHeight="1">
      <c r="A14" s="127" t="s">
        <v>97</v>
      </c>
      <c r="B14" s="640">
        <f t="shared" si="0"/>
        <v>651.60000000000014</v>
      </c>
      <c r="C14" s="262">
        <v>55.2</v>
      </c>
      <c r="D14" s="262">
        <v>60.4</v>
      </c>
      <c r="E14" s="262">
        <v>59.6</v>
      </c>
      <c r="F14" s="262">
        <v>47.5</v>
      </c>
      <c r="G14" s="262">
        <v>49.7</v>
      </c>
      <c r="H14" s="262">
        <v>50.6</v>
      </c>
      <c r="I14" s="262">
        <v>54.5</v>
      </c>
      <c r="J14" s="262">
        <v>53.6</v>
      </c>
      <c r="K14" s="262">
        <v>53.1</v>
      </c>
      <c r="L14" s="262">
        <v>55.6</v>
      </c>
      <c r="M14" s="262">
        <v>55.7</v>
      </c>
      <c r="N14" s="262">
        <v>56.1</v>
      </c>
    </row>
    <row r="15" spans="1:14" ht="12.75" customHeight="1">
      <c r="A15" s="127" t="s">
        <v>98</v>
      </c>
      <c r="B15" s="640">
        <f t="shared" si="0"/>
        <v>260.09999999999997</v>
      </c>
      <c r="C15" s="262">
        <v>22.1</v>
      </c>
      <c r="D15" s="262">
        <v>23.2</v>
      </c>
      <c r="E15" s="262">
        <v>16.3</v>
      </c>
      <c r="F15" s="262">
        <v>11.6</v>
      </c>
      <c r="G15" s="262">
        <v>15.6</v>
      </c>
      <c r="H15" s="262">
        <v>21.4</v>
      </c>
      <c r="I15" s="262">
        <v>22.7</v>
      </c>
      <c r="J15" s="262">
        <v>24.3</v>
      </c>
      <c r="K15" s="262">
        <v>23.7</v>
      </c>
      <c r="L15" s="262">
        <v>24.5</v>
      </c>
      <c r="M15" s="262">
        <v>27.8</v>
      </c>
      <c r="N15" s="262">
        <v>26.9</v>
      </c>
    </row>
    <row r="16" spans="1:14" ht="12.75" customHeight="1">
      <c r="A16" s="127" t="s">
        <v>99</v>
      </c>
      <c r="B16" s="640">
        <f t="shared" si="0"/>
        <v>43.099999999999994</v>
      </c>
      <c r="C16" s="262">
        <v>3.4</v>
      </c>
      <c r="D16" s="262">
        <v>3.3</v>
      </c>
      <c r="E16" s="262">
        <v>2.5</v>
      </c>
      <c r="F16" s="262">
        <v>3.5</v>
      </c>
      <c r="G16" s="262">
        <v>5.3</v>
      </c>
      <c r="H16" s="262">
        <v>4.9000000000000004</v>
      </c>
      <c r="I16" s="262">
        <v>4</v>
      </c>
      <c r="J16" s="262">
        <v>3.5</v>
      </c>
      <c r="K16" s="262">
        <v>3.6</v>
      </c>
      <c r="L16" s="262">
        <v>3.4</v>
      </c>
      <c r="M16" s="262">
        <v>2.9</v>
      </c>
      <c r="N16" s="262">
        <v>2.8</v>
      </c>
    </row>
    <row r="17" spans="1:14" ht="12.75" customHeight="1">
      <c r="A17" s="152" t="s">
        <v>29</v>
      </c>
      <c r="B17" s="640">
        <f t="shared" si="0"/>
        <v>53.8</v>
      </c>
      <c r="C17" s="262">
        <v>4.4000000000000004</v>
      </c>
      <c r="D17" s="262">
        <v>4.0999999999999996</v>
      </c>
      <c r="E17" s="262">
        <v>3.9</v>
      </c>
      <c r="F17" s="262">
        <v>3.3</v>
      </c>
      <c r="G17" s="262">
        <v>3.9</v>
      </c>
      <c r="H17" s="262">
        <v>4.3</v>
      </c>
      <c r="I17" s="262">
        <v>4.5</v>
      </c>
      <c r="J17" s="262">
        <v>4.3</v>
      </c>
      <c r="K17" s="262">
        <v>4.5</v>
      </c>
      <c r="L17" s="262">
        <v>4.5999999999999996</v>
      </c>
      <c r="M17" s="262">
        <v>4.8</v>
      </c>
      <c r="N17" s="262">
        <v>7.2</v>
      </c>
    </row>
    <row r="18" spans="1:14" ht="12.75" customHeight="1">
      <c r="A18" s="152" t="s">
        <v>30</v>
      </c>
      <c r="B18" s="640">
        <f t="shared" si="0"/>
        <v>1428.9999999999998</v>
      </c>
      <c r="C18" s="262">
        <v>116.5</v>
      </c>
      <c r="D18" s="262">
        <v>114</v>
      </c>
      <c r="E18" s="262">
        <v>122.9</v>
      </c>
      <c r="F18" s="262">
        <v>121.2</v>
      </c>
      <c r="G18" s="262">
        <v>110.8</v>
      </c>
      <c r="H18" s="262">
        <v>115</v>
      </c>
      <c r="I18" s="262">
        <v>117.9</v>
      </c>
      <c r="J18" s="262">
        <v>118.2</v>
      </c>
      <c r="K18" s="262">
        <v>127.1</v>
      </c>
      <c r="L18" s="262">
        <v>124.1</v>
      </c>
      <c r="M18" s="262">
        <v>124.2</v>
      </c>
      <c r="N18" s="262">
        <v>117.1</v>
      </c>
    </row>
    <row r="19" spans="1:14" ht="12.75" customHeight="1">
      <c r="A19" s="127" t="s">
        <v>31</v>
      </c>
      <c r="B19" s="640">
        <f t="shared" si="0"/>
        <v>663.50000000000011</v>
      </c>
      <c r="C19" s="262">
        <v>50.9</v>
      </c>
      <c r="D19" s="262">
        <v>52.4</v>
      </c>
      <c r="E19" s="262">
        <v>48.7</v>
      </c>
      <c r="F19" s="262">
        <v>56.1</v>
      </c>
      <c r="G19" s="262">
        <v>59.7</v>
      </c>
      <c r="H19" s="262">
        <v>53.9</v>
      </c>
      <c r="I19" s="262">
        <v>63.6</v>
      </c>
      <c r="J19" s="262">
        <v>59.3</v>
      </c>
      <c r="K19" s="262">
        <v>55.1</v>
      </c>
      <c r="L19" s="262">
        <v>54.2</v>
      </c>
      <c r="M19" s="262">
        <v>56.9</v>
      </c>
      <c r="N19" s="262">
        <v>52.7</v>
      </c>
    </row>
    <row r="20" spans="1:14" ht="12.75" customHeight="1">
      <c r="A20" s="152" t="s">
        <v>32</v>
      </c>
      <c r="B20" s="640">
        <f t="shared" si="0"/>
        <v>143.49999999999997</v>
      </c>
      <c r="C20" s="262">
        <v>8.6999999999999993</v>
      </c>
      <c r="D20" s="262">
        <v>8.5</v>
      </c>
      <c r="E20" s="262">
        <v>9.3000000000000007</v>
      </c>
      <c r="F20" s="262">
        <v>10.199999999999999</v>
      </c>
      <c r="G20" s="262">
        <v>13</v>
      </c>
      <c r="H20" s="262">
        <v>11.9</v>
      </c>
      <c r="I20" s="262">
        <v>13</v>
      </c>
      <c r="J20" s="262">
        <v>14.5</v>
      </c>
      <c r="K20" s="262">
        <v>15.1</v>
      </c>
      <c r="L20" s="262">
        <v>15.2</v>
      </c>
      <c r="M20" s="262">
        <v>13</v>
      </c>
      <c r="N20" s="262">
        <v>11.1</v>
      </c>
    </row>
    <row r="21" spans="1:14" ht="12.75" customHeight="1">
      <c r="A21" s="152" t="s">
        <v>33</v>
      </c>
      <c r="B21" s="640">
        <f t="shared" si="0"/>
        <v>1776.5999999999995</v>
      </c>
      <c r="C21" s="262">
        <v>138.30000000000001</v>
      </c>
      <c r="D21" s="262">
        <v>137</v>
      </c>
      <c r="E21" s="262">
        <v>146.4</v>
      </c>
      <c r="F21" s="262">
        <v>151.80000000000001</v>
      </c>
      <c r="G21" s="262">
        <v>144.9</v>
      </c>
      <c r="H21" s="262">
        <v>143.69999999999999</v>
      </c>
      <c r="I21" s="262">
        <v>164.1</v>
      </c>
      <c r="J21" s="262">
        <v>161.6</v>
      </c>
      <c r="K21" s="262">
        <v>150.80000000000001</v>
      </c>
      <c r="L21" s="262">
        <v>152.80000000000001</v>
      </c>
      <c r="M21" s="262">
        <v>137.6</v>
      </c>
      <c r="N21" s="262">
        <v>147.6</v>
      </c>
    </row>
    <row r="22" spans="1:14" ht="12.75" customHeight="1">
      <c r="A22" s="152" t="s">
        <v>34</v>
      </c>
      <c r="B22" s="640">
        <f t="shared" si="0"/>
        <v>1364.1999999999998</v>
      </c>
      <c r="C22" s="262">
        <v>60.3</v>
      </c>
      <c r="D22" s="262">
        <v>70.3</v>
      </c>
      <c r="E22" s="262">
        <v>87.4</v>
      </c>
      <c r="F22" s="262">
        <v>122.7</v>
      </c>
      <c r="G22" s="262">
        <v>152.1</v>
      </c>
      <c r="H22" s="262">
        <v>171.3</v>
      </c>
      <c r="I22" s="262">
        <v>156.6</v>
      </c>
      <c r="J22" s="262">
        <v>135.5</v>
      </c>
      <c r="K22" s="262">
        <v>79.3</v>
      </c>
      <c r="L22" s="262">
        <v>69.099999999999994</v>
      </c>
      <c r="M22" s="262">
        <v>105</v>
      </c>
      <c r="N22" s="262">
        <v>154.6</v>
      </c>
    </row>
    <row r="23" spans="1:14" ht="12.75" customHeight="1">
      <c r="A23" s="152" t="s">
        <v>35</v>
      </c>
      <c r="B23" s="640">
        <f t="shared" si="0"/>
        <v>3400.4</v>
      </c>
      <c r="C23" s="262">
        <v>293.60000000000002</v>
      </c>
      <c r="D23" s="262">
        <v>272</v>
      </c>
      <c r="E23" s="262">
        <v>275</v>
      </c>
      <c r="F23" s="262">
        <v>273</v>
      </c>
      <c r="G23" s="262">
        <v>274.89999999999998</v>
      </c>
      <c r="H23" s="262">
        <v>279.10000000000002</v>
      </c>
      <c r="I23" s="262">
        <v>284.3</v>
      </c>
      <c r="J23" s="262">
        <v>283.3</v>
      </c>
      <c r="K23" s="262">
        <v>304.39999999999998</v>
      </c>
      <c r="L23" s="262">
        <v>279.3</v>
      </c>
      <c r="M23" s="262">
        <v>281.2</v>
      </c>
      <c r="N23" s="262">
        <v>300.3</v>
      </c>
    </row>
    <row r="24" spans="1:14" ht="12.75" customHeight="1">
      <c r="A24" s="152" t="s">
        <v>36</v>
      </c>
      <c r="B24" s="640">
        <f t="shared" si="0"/>
        <v>1305.2</v>
      </c>
      <c r="C24" s="262">
        <v>106.5</v>
      </c>
      <c r="D24" s="262">
        <v>102.6</v>
      </c>
      <c r="E24" s="262">
        <v>98</v>
      </c>
      <c r="F24" s="262">
        <v>105.6</v>
      </c>
      <c r="G24" s="262">
        <v>118.3</v>
      </c>
      <c r="H24" s="262">
        <v>135</v>
      </c>
      <c r="I24" s="262">
        <v>99.2</v>
      </c>
      <c r="J24" s="262">
        <v>97</v>
      </c>
      <c r="K24" s="262">
        <v>114.4</v>
      </c>
      <c r="L24" s="262">
        <v>114.6</v>
      </c>
      <c r="M24" s="262">
        <v>107.7</v>
      </c>
      <c r="N24" s="262">
        <v>106.3</v>
      </c>
    </row>
    <row r="25" spans="1:14" ht="12.75" customHeight="1">
      <c r="A25" s="127" t="s">
        <v>37</v>
      </c>
      <c r="B25" s="640">
        <f t="shared" si="0"/>
        <v>1972.2</v>
      </c>
      <c r="C25" s="262">
        <v>170.2</v>
      </c>
      <c r="D25" s="262">
        <v>161.80000000000001</v>
      </c>
      <c r="E25" s="262">
        <v>166</v>
      </c>
      <c r="F25" s="262">
        <v>162.5</v>
      </c>
      <c r="G25" s="262">
        <v>170.6</v>
      </c>
      <c r="H25" s="262">
        <v>170.1</v>
      </c>
      <c r="I25" s="262">
        <v>165.8</v>
      </c>
      <c r="J25" s="262">
        <v>164.6</v>
      </c>
      <c r="K25" s="262">
        <v>162</v>
      </c>
      <c r="L25" s="262">
        <v>159.5</v>
      </c>
      <c r="M25" s="262">
        <v>159.19999999999999</v>
      </c>
      <c r="N25" s="262">
        <v>159.9</v>
      </c>
    </row>
    <row r="26" spans="1:14" ht="12.75" customHeight="1">
      <c r="A26" s="152" t="s">
        <v>38</v>
      </c>
      <c r="B26" s="640">
        <f t="shared" si="0"/>
        <v>72.900000000000006</v>
      </c>
      <c r="C26" s="262">
        <v>6.3</v>
      </c>
      <c r="D26" s="262">
        <v>6</v>
      </c>
      <c r="E26" s="262">
        <v>6.4</v>
      </c>
      <c r="F26" s="262">
        <v>4.5</v>
      </c>
      <c r="G26" s="262">
        <v>5.4</v>
      </c>
      <c r="H26" s="262">
        <v>6.1</v>
      </c>
      <c r="I26" s="262">
        <v>5.6</v>
      </c>
      <c r="J26" s="262">
        <v>6.3</v>
      </c>
      <c r="K26" s="262">
        <v>6.8</v>
      </c>
      <c r="L26" s="262">
        <v>7.4</v>
      </c>
      <c r="M26" s="262">
        <v>6.4</v>
      </c>
      <c r="N26" s="262">
        <v>5.7</v>
      </c>
    </row>
    <row r="27" spans="1:14" ht="12.75" customHeight="1">
      <c r="A27" s="152" t="s">
        <v>39</v>
      </c>
      <c r="B27" s="640">
        <f t="shared" si="0"/>
        <v>199.59999999999997</v>
      </c>
      <c r="C27" s="262">
        <v>13.8</v>
      </c>
      <c r="D27" s="262">
        <v>15.1</v>
      </c>
      <c r="E27" s="262">
        <v>16.2</v>
      </c>
      <c r="F27" s="262">
        <v>15.9</v>
      </c>
      <c r="G27" s="262">
        <v>16.399999999999999</v>
      </c>
      <c r="H27" s="262">
        <v>16.7</v>
      </c>
      <c r="I27" s="262">
        <v>17.399999999999999</v>
      </c>
      <c r="J27" s="262">
        <v>17.7</v>
      </c>
      <c r="K27" s="262">
        <v>18.100000000000001</v>
      </c>
      <c r="L27" s="262">
        <v>16.899999999999999</v>
      </c>
      <c r="M27" s="262">
        <v>17.7</v>
      </c>
      <c r="N27" s="262">
        <v>17.7</v>
      </c>
    </row>
    <row r="28" spans="1:14" ht="12.75" customHeight="1">
      <c r="A28" s="152" t="s">
        <v>40</v>
      </c>
      <c r="B28" s="640">
        <f t="shared" si="0"/>
        <v>1704.0000000000002</v>
      </c>
      <c r="C28" s="262">
        <v>115.5</v>
      </c>
      <c r="D28" s="262">
        <v>119.8</v>
      </c>
      <c r="E28" s="262">
        <v>141.19999999999999</v>
      </c>
      <c r="F28" s="262">
        <v>173</v>
      </c>
      <c r="G28" s="262">
        <v>173.8</v>
      </c>
      <c r="H28" s="262">
        <v>169.3</v>
      </c>
      <c r="I28" s="262">
        <v>161.4</v>
      </c>
      <c r="J28" s="262">
        <v>139.5</v>
      </c>
      <c r="K28" s="262">
        <v>122.9</v>
      </c>
      <c r="L28" s="262">
        <v>120.9</v>
      </c>
      <c r="M28" s="262">
        <v>130.30000000000001</v>
      </c>
      <c r="N28" s="262">
        <v>136.4</v>
      </c>
    </row>
    <row r="29" spans="1:14" ht="12.75" customHeight="1">
      <c r="A29" s="127" t="s">
        <v>41</v>
      </c>
      <c r="B29" s="640">
        <f t="shared" si="0"/>
        <v>822.80000000000007</v>
      </c>
      <c r="C29" s="262">
        <v>71.8</v>
      </c>
      <c r="D29" s="262">
        <v>73.599999999999994</v>
      </c>
      <c r="E29" s="262">
        <v>71.5</v>
      </c>
      <c r="F29" s="262">
        <v>70.3</v>
      </c>
      <c r="G29" s="262">
        <v>70.3</v>
      </c>
      <c r="H29" s="262">
        <v>71.3</v>
      </c>
      <c r="I29" s="262">
        <v>71</v>
      </c>
      <c r="J29" s="262">
        <v>67.3</v>
      </c>
      <c r="K29" s="262">
        <v>66.3</v>
      </c>
      <c r="L29" s="262">
        <v>65.7</v>
      </c>
      <c r="M29" s="262">
        <v>61.2</v>
      </c>
      <c r="N29" s="262">
        <v>62.5</v>
      </c>
    </row>
    <row r="30" spans="1:14" ht="12.75" customHeight="1">
      <c r="A30" s="127" t="s">
        <v>100</v>
      </c>
      <c r="B30" s="640">
        <f t="shared" si="0"/>
        <v>441.2</v>
      </c>
      <c r="C30" s="262">
        <v>36.5</v>
      </c>
      <c r="D30" s="262">
        <v>38.9</v>
      </c>
      <c r="E30" s="262">
        <v>38.6</v>
      </c>
      <c r="F30" s="262">
        <v>38.4</v>
      </c>
      <c r="G30" s="262">
        <v>37.9</v>
      </c>
      <c r="H30" s="262">
        <v>38.6</v>
      </c>
      <c r="I30" s="262">
        <v>38.6</v>
      </c>
      <c r="J30" s="262">
        <v>36.799999999999997</v>
      </c>
      <c r="K30" s="262">
        <v>36.5</v>
      </c>
      <c r="L30" s="262">
        <v>36.4</v>
      </c>
      <c r="M30" s="262">
        <v>31.8</v>
      </c>
      <c r="N30" s="262">
        <v>32.200000000000003</v>
      </c>
    </row>
    <row r="31" spans="1:14" ht="12.75" customHeight="1">
      <c r="A31" s="127" t="s">
        <v>101</v>
      </c>
      <c r="B31" s="640">
        <f t="shared" si="0"/>
        <v>381.5</v>
      </c>
      <c r="C31" s="262">
        <v>35.4</v>
      </c>
      <c r="D31" s="262">
        <v>34.700000000000003</v>
      </c>
      <c r="E31" s="262">
        <v>32.9</v>
      </c>
      <c r="F31" s="262">
        <v>31.9</v>
      </c>
      <c r="G31" s="262">
        <v>32.4</v>
      </c>
      <c r="H31" s="262">
        <v>32.700000000000003</v>
      </c>
      <c r="I31" s="262">
        <v>32.4</v>
      </c>
      <c r="J31" s="262">
        <v>30.5</v>
      </c>
      <c r="K31" s="262">
        <v>29.8</v>
      </c>
      <c r="L31" s="262">
        <v>29.3</v>
      </c>
      <c r="M31" s="262">
        <v>29.3</v>
      </c>
      <c r="N31" s="262">
        <v>30.2</v>
      </c>
    </row>
    <row r="32" spans="1:14" ht="12.75" customHeight="1">
      <c r="A32" s="152" t="s">
        <v>44</v>
      </c>
      <c r="B32" s="640">
        <f t="shared" si="0"/>
        <v>4030.5000000000005</v>
      </c>
      <c r="C32" s="262">
        <v>278.89999999999998</v>
      </c>
      <c r="D32" s="262">
        <v>322.10000000000002</v>
      </c>
      <c r="E32" s="262">
        <v>349.4</v>
      </c>
      <c r="F32" s="262">
        <v>376.7</v>
      </c>
      <c r="G32" s="262">
        <v>399</v>
      </c>
      <c r="H32" s="262">
        <v>414.9</v>
      </c>
      <c r="I32" s="262">
        <v>384.8</v>
      </c>
      <c r="J32" s="262">
        <v>359.4</v>
      </c>
      <c r="K32" s="262">
        <v>333.5</v>
      </c>
      <c r="L32" s="262">
        <v>302.5</v>
      </c>
      <c r="M32" s="262">
        <v>271</v>
      </c>
      <c r="N32" s="262">
        <v>238.3</v>
      </c>
    </row>
    <row r="33" spans="1:14" ht="12.75" customHeight="1">
      <c r="A33" s="152" t="s">
        <v>45</v>
      </c>
      <c r="B33" s="640">
        <f t="shared" si="0"/>
        <v>8420.4</v>
      </c>
      <c r="C33" s="262">
        <v>467.3</v>
      </c>
      <c r="D33" s="262">
        <v>565.6</v>
      </c>
      <c r="E33" s="262">
        <v>636</v>
      </c>
      <c r="F33" s="262">
        <v>875.7</v>
      </c>
      <c r="G33" s="262">
        <v>908</v>
      </c>
      <c r="H33" s="262">
        <v>893.9</v>
      </c>
      <c r="I33" s="262">
        <v>820.7</v>
      </c>
      <c r="J33" s="262">
        <v>781.6</v>
      </c>
      <c r="K33" s="262">
        <v>693.7</v>
      </c>
      <c r="L33" s="262">
        <v>611.6</v>
      </c>
      <c r="M33" s="262">
        <v>625.70000000000005</v>
      </c>
      <c r="N33" s="262">
        <v>540.6</v>
      </c>
    </row>
    <row r="34" spans="1:14" ht="12.75" customHeight="1">
      <c r="A34" s="127" t="s">
        <v>102</v>
      </c>
      <c r="B34" s="640">
        <f t="shared" si="0"/>
        <v>58.1</v>
      </c>
      <c r="C34" s="262">
        <v>4.7</v>
      </c>
      <c r="D34" s="262">
        <v>4.8</v>
      </c>
      <c r="E34" s="262">
        <v>4.9000000000000004</v>
      </c>
      <c r="F34" s="262">
        <v>4.9000000000000004</v>
      </c>
      <c r="G34" s="262">
        <v>4.5</v>
      </c>
      <c r="H34" s="262">
        <v>4.8</v>
      </c>
      <c r="I34" s="262">
        <v>4.5999999999999996</v>
      </c>
      <c r="J34" s="262">
        <v>5</v>
      </c>
      <c r="K34" s="262">
        <v>4.9000000000000004</v>
      </c>
      <c r="L34" s="262">
        <v>4.5</v>
      </c>
      <c r="M34" s="262">
        <v>4.5999999999999996</v>
      </c>
      <c r="N34" s="262">
        <v>5.9</v>
      </c>
    </row>
    <row r="35" spans="1:14" ht="12.75" customHeight="1">
      <c r="A35" s="127" t="s">
        <v>47</v>
      </c>
      <c r="B35" s="640">
        <f t="shared" si="0"/>
        <v>28.500000000000004</v>
      </c>
      <c r="C35" s="262">
        <v>2.8</v>
      </c>
      <c r="D35" s="262">
        <v>2.2999999999999998</v>
      </c>
      <c r="E35" s="262">
        <v>2.4</v>
      </c>
      <c r="F35" s="262">
        <v>1.8</v>
      </c>
      <c r="G35" s="262">
        <v>2</v>
      </c>
      <c r="H35" s="262">
        <v>1.7</v>
      </c>
      <c r="I35" s="262">
        <v>2</v>
      </c>
      <c r="J35" s="262">
        <v>2.1</v>
      </c>
      <c r="K35" s="262">
        <v>2.6</v>
      </c>
      <c r="L35" s="262">
        <v>2.7</v>
      </c>
      <c r="M35" s="262">
        <v>3</v>
      </c>
      <c r="N35" s="262">
        <v>3.1</v>
      </c>
    </row>
    <row r="36" spans="1:14" ht="12.75" customHeight="1">
      <c r="A36" s="127" t="s">
        <v>48</v>
      </c>
      <c r="B36" s="640">
        <f t="shared" si="0"/>
        <v>29.9</v>
      </c>
      <c r="C36" s="262">
        <v>1.8</v>
      </c>
      <c r="D36" s="262">
        <v>1.8</v>
      </c>
      <c r="E36" s="262">
        <v>1.9</v>
      </c>
      <c r="F36" s="262">
        <v>1.7</v>
      </c>
      <c r="G36" s="262">
        <v>2.1</v>
      </c>
      <c r="H36" s="262">
        <v>2.2999999999999998</v>
      </c>
      <c r="I36" s="262">
        <v>2.5</v>
      </c>
      <c r="J36" s="262">
        <v>2.4</v>
      </c>
      <c r="K36" s="262">
        <v>2.9</v>
      </c>
      <c r="L36" s="262">
        <v>2.9</v>
      </c>
      <c r="M36" s="262">
        <v>3.2</v>
      </c>
      <c r="N36" s="262">
        <v>4.4000000000000004</v>
      </c>
    </row>
    <row r="37" spans="1:14" ht="12.75" customHeight="1" thickBot="1">
      <c r="A37" s="154" t="s">
        <v>49</v>
      </c>
      <c r="B37" s="648">
        <f t="shared" si="0"/>
        <v>28.2</v>
      </c>
      <c r="C37" s="263">
        <v>2.4</v>
      </c>
      <c r="D37" s="263">
        <v>2.2999999999999998</v>
      </c>
      <c r="E37" s="263">
        <v>2.6</v>
      </c>
      <c r="F37" s="263">
        <v>2.2999999999999998</v>
      </c>
      <c r="G37" s="263">
        <v>2.6</v>
      </c>
      <c r="H37" s="263">
        <v>2.2000000000000002</v>
      </c>
      <c r="I37" s="263">
        <v>2.2999999999999998</v>
      </c>
      <c r="J37" s="263">
        <v>2.4</v>
      </c>
      <c r="K37" s="263">
        <v>2.1</v>
      </c>
      <c r="L37" s="263">
        <v>2.2000000000000002</v>
      </c>
      <c r="M37" s="263">
        <v>2.2000000000000002</v>
      </c>
      <c r="N37" s="263">
        <v>2.6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6">
    <tabColor theme="9" tint="0.59999389629810485"/>
  </sheetPr>
  <dimension ref="A4:O5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5" ht="13.25" customHeight="1">
      <c r="A4" s="249" t="s">
        <v>528</v>
      </c>
      <c r="B4" s="245"/>
    </row>
    <row r="5" spans="1:15" ht="13.25" customHeight="1">
      <c r="A5" s="252" t="s">
        <v>466</v>
      </c>
      <c r="B5" s="245"/>
    </row>
    <row r="6" spans="1:15" ht="4" customHeight="1" thickBot="1">
      <c r="A6" s="966"/>
      <c r="B6" s="966"/>
      <c r="C6" s="966"/>
      <c r="D6" s="966"/>
      <c r="E6" s="966"/>
      <c r="F6" s="966"/>
      <c r="G6" s="966"/>
      <c r="H6" s="966"/>
      <c r="I6" s="966"/>
      <c r="J6" s="966"/>
      <c r="K6" s="966"/>
      <c r="L6" s="966"/>
      <c r="M6" s="966"/>
      <c r="N6" s="966"/>
    </row>
    <row r="7" spans="1:15" ht="15" customHeight="1">
      <c r="A7" s="595" t="s">
        <v>18</v>
      </c>
      <c r="B7" s="597" t="s">
        <v>106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  <c r="O7" s="130"/>
    </row>
    <row r="8" spans="1:15" ht="15" customHeight="1">
      <c r="A8" s="618" t="s">
        <v>186</v>
      </c>
      <c r="B8" s="610">
        <f>('C-54'!B8/'C-53'!B8)*1000</f>
        <v>12.934771293027694</v>
      </c>
      <c r="C8" s="610">
        <f>('C-54'!C8/'C-53'!C8)*1000</f>
        <v>12.672541773271425</v>
      </c>
      <c r="D8" s="610">
        <f>('C-54'!D8/'C-53'!D8)*1000</f>
        <v>12.947715416573979</v>
      </c>
      <c r="E8" s="610">
        <f>('C-54'!E8/'C-53'!E8)*1000</f>
        <v>12.851035447119839</v>
      </c>
      <c r="F8" s="610">
        <f>('C-54'!F8/'C-53'!F8)*1000</f>
        <v>13.21072362714172</v>
      </c>
      <c r="G8" s="610">
        <f>('C-54'!G8/'C-53'!G8)*1000</f>
        <v>13.239071875756531</v>
      </c>
      <c r="H8" s="610">
        <f>('C-54'!H8/'C-53'!H8)*1000</f>
        <v>13.242834853028658</v>
      </c>
      <c r="I8" s="610">
        <f>('C-54'!I8/'C-53'!I8)*1000</f>
        <v>13.03457486273928</v>
      </c>
      <c r="J8" s="610">
        <f>('C-54'!J8/'C-53'!J8)*1000</f>
        <v>12.842341910579378</v>
      </c>
      <c r="K8" s="610">
        <f>('C-54'!K8/'C-53'!K8)*1000</f>
        <v>12.893311252701604</v>
      </c>
      <c r="L8" s="610">
        <f>('C-54'!L8/'C-53'!L8)*1000</f>
        <v>12.802097922937094</v>
      </c>
      <c r="M8" s="610">
        <f>('C-54'!M8/'C-53'!M8)*1000</f>
        <v>12.700905091323861</v>
      </c>
      <c r="N8" s="610">
        <f>('C-54'!N8/'C-53'!N8)*1000</f>
        <v>12.615577495690333</v>
      </c>
    </row>
    <row r="9" spans="1:15" ht="12.75" customHeight="1">
      <c r="A9" s="152" t="s">
        <v>21</v>
      </c>
      <c r="B9" s="642">
        <f>('C-54'!B9/'C-53'!B9)*1000</f>
        <v>12.801484230055658</v>
      </c>
      <c r="C9" s="264">
        <f>('C-54'!C9/'C-53'!C9)*1000</f>
        <v>13.333333333333334</v>
      </c>
      <c r="D9" s="264">
        <f>('C-54'!D9/'C-53'!D9)*1000</f>
        <v>12.941176470588237</v>
      </c>
      <c r="E9" s="264">
        <f>('C-54'!E9/'C-53'!E9)*1000</f>
        <v>13.068181818181817</v>
      </c>
      <c r="F9" s="264">
        <f>('C-54'!F9/'C-53'!F9)*1000</f>
        <v>12.941176470588237</v>
      </c>
      <c r="G9" s="264">
        <f>('C-54'!G9/'C-53'!G9)*1000</f>
        <v>13.17365269461078</v>
      </c>
      <c r="H9" s="264">
        <f>('C-54'!H9/'C-53'!H9)*1000</f>
        <v>12.244897959183673</v>
      </c>
      <c r="I9" s="264">
        <f>('C-54'!I9/'C-53'!I9)*1000</f>
        <v>11.274509803921568</v>
      </c>
      <c r="J9" s="264">
        <f>('C-54'!J9/'C-53'!J9)*1000</f>
        <v>13.586956521739131</v>
      </c>
      <c r="K9" s="264">
        <f>('C-54'!K9/'C-53'!K9)*1000</f>
        <v>13.736263736263735</v>
      </c>
      <c r="L9" s="264">
        <f>('C-54'!L9/'C-53'!L9)*1000</f>
        <v>13.294797687861271</v>
      </c>
      <c r="M9" s="264">
        <f>('C-54'!M9/'C-53'!M9)*1000</f>
        <v>12.234042553191488</v>
      </c>
      <c r="N9" s="264">
        <f>('C-54'!N9/'C-53'!N9)*1000</f>
        <v>12.154696132596687</v>
      </c>
    </row>
    <row r="10" spans="1:15" ht="12.75" customHeight="1">
      <c r="A10" s="152" t="s">
        <v>22</v>
      </c>
      <c r="B10" s="642">
        <f>('C-54'!B10/'C-53'!B10)*1000</f>
        <v>15.7242613527761</v>
      </c>
      <c r="C10" s="264">
        <f>('C-54'!C10/'C-53'!C10)*1000</f>
        <v>15.809893307468476</v>
      </c>
      <c r="D10" s="264">
        <f>('C-54'!D10/'C-53'!D10)*1000</f>
        <v>15.601317827761916</v>
      </c>
      <c r="E10" s="264">
        <f>('C-54'!E10/'C-53'!E10)*1000</f>
        <v>14.846614903500635</v>
      </c>
      <c r="F10" s="264">
        <f>('C-54'!F10/'C-53'!F10)*1000</f>
        <v>15.021505583176646</v>
      </c>
      <c r="G10" s="264">
        <f>('C-54'!G10/'C-53'!G10)*1000</f>
        <v>16.083832812125685</v>
      </c>
      <c r="H10" s="264">
        <f>('C-54'!H10/'C-53'!H10)*1000</f>
        <v>15.132638398505348</v>
      </c>
      <c r="I10" s="264">
        <f>('C-54'!I10/'C-53'!I10)*1000</f>
        <v>15.554746518612907</v>
      </c>
      <c r="J10" s="264">
        <f>('C-54'!J10/'C-53'!J10)*1000</f>
        <v>16.149010907746348</v>
      </c>
      <c r="K10" s="264">
        <f>('C-54'!K10/'C-53'!K10)*1000</f>
        <v>15.683718909525361</v>
      </c>
      <c r="L10" s="264">
        <f>('C-54'!L10/'C-53'!L10)*1000</f>
        <v>15.994043186895013</v>
      </c>
      <c r="M10" s="264">
        <f>('C-54'!M10/'C-53'!M10)*1000</f>
        <v>16.686585001493874</v>
      </c>
      <c r="N10" s="264">
        <f>('C-54'!N10/'C-53'!N10)*1000</f>
        <v>16.798570334439621</v>
      </c>
    </row>
    <row r="11" spans="1:15" ht="12.75" customHeight="1">
      <c r="A11" s="152" t="s">
        <v>23</v>
      </c>
      <c r="B11" s="642">
        <f>('C-54'!B11/'C-53'!B11)*1000</f>
        <v>16.332672965559283</v>
      </c>
      <c r="C11" s="264">
        <f>('C-54'!C11/'C-53'!C11)*1000</f>
        <v>16.543317370483241</v>
      </c>
      <c r="D11" s="264">
        <f>('C-54'!D11/'C-53'!D11)*1000</f>
        <v>16.934121621621621</v>
      </c>
      <c r="E11" s="264">
        <f>('C-54'!E11/'C-53'!E11)*1000</f>
        <v>16.846473029045644</v>
      </c>
      <c r="F11" s="264">
        <f>('C-54'!F11/'C-53'!F11)*1000</f>
        <v>16.171767930561899</v>
      </c>
      <c r="G11" s="264">
        <f>('C-54'!G11/'C-53'!G11)*1000</f>
        <v>16.43897996357013</v>
      </c>
      <c r="H11" s="264">
        <f>('C-54'!H11/'C-53'!H11)*1000</f>
        <v>17.329545454545457</v>
      </c>
      <c r="I11" s="264">
        <f>('C-54'!I11/'C-53'!I11)*1000</f>
        <v>15.473790322580646</v>
      </c>
      <c r="J11" s="264">
        <f>('C-54'!J11/'C-53'!J11)*1000</f>
        <v>14.149947201689546</v>
      </c>
      <c r="K11" s="264">
        <f>('C-54'!K11/'C-53'!K11)*1000</f>
        <v>14.565544952285283</v>
      </c>
      <c r="L11" s="264">
        <f>('C-54'!L11/'C-53'!L11)*1000</f>
        <v>17.857142857142858</v>
      </c>
      <c r="M11" s="264">
        <f>('C-54'!M11/'C-53'!M11)*1000</f>
        <v>17.549167927382751</v>
      </c>
      <c r="N11" s="264">
        <f>('C-54'!N11/'C-53'!N11)*1000</f>
        <v>15.902679830747532</v>
      </c>
    </row>
    <row r="12" spans="1:15" ht="12.75" customHeight="1">
      <c r="A12" s="127" t="s">
        <v>24</v>
      </c>
      <c r="B12" s="642">
        <f>('C-54'!B12/'C-53'!B12)*1000</f>
        <v>13.521436771249395</v>
      </c>
      <c r="C12" s="264">
        <f>('C-54'!C12/'C-53'!C12)*1000</f>
        <v>13.593759448509404</v>
      </c>
      <c r="D12" s="264">
        <f>('C-54'!D12/'C-53'!D12)*1000</f>
        <v>13.510836634817061</v>
      </c>
      <c r="E12" s="264">
        <f>('C-54'!E12/'C-53'!E12)*1000</f>
        <v>13.521475284275025</v>
      </c>
      <c r="F12" s="264">
        <f>('C-54'!F12/'C-53'!F12)*1000</f>
        <v>13.341867972837582</v>
      </c>
      <c r="G12" s="264">
        <f>('C-54'!G12/'C-53'!G12)*1000</f>
        <v>13.646384479717813</v>
      </c>
      <c r="H12" s="264">
        <f>('C-54'!H12/'C-53'!H12)*1000</f>
        <v>13.866924856113174</v>
      </c>
      <c r="I12" s="264">
        <f>('C-54'!I12/'C-53'!I12)*1000</f>
        <v>13.650129398160896</v>
      </c>
      <c r="J12" s="264">
        <f>('C-54'!J12/'C-53'!J12)*1000</f>
        <v>13.35854513097158</v>
      </c>
      <c r="K12" s="264">
        <f>('C-54'!K12/'C-53'!K12)*1000</f>
        <v>13.263217737350768</v>
      </c>
      <c r="L12" s="264">
        <f>('C-54'!L12/'C-53'!L12)*1000</f>
        <v>13.608318098720291</v>
      </c>
      <c r="M12" s="264">
        <f>('C-54'!M12/'C-53'!M12)*1000</f>
        <v>12.951947749008632</v>
      </c>
      <c r="N12" s="264">
        <f>('C-54'!N12/'C-53'!N12)*1000</f>
        <v>13.926204024168475</v>
      </c>
    </row>
    <row r="13" spans="1:15" ht="12.75" customHeight="1">
      <c r="A13" s="127" t="s">
        <v>25</v>
      </c>
      <c r="B13" s="642">
        <f>('C-54'!B13/'C-53'!B13)*1000</f>
        <v>11.260448720215988</v>
      </c>
      <c r="C13" s="264">
        <f>('C-54'!C13/'C-53'!C13)*1000</f>
        <v>11.21910580394335</v>
      </c>
      <c r="D13" s="264">
        <f>('C-54'!D13/'C-53'!D13)*1000</f>
        <v>11.534377488717812</v>
      </c>
      <c r="E13" s="264">
        <f>('C-54'!E13/'C-53'!E13)*1000</f>
        <v>11.704189652601759</v>
      </c>
      <c r="F13" s="264">
        <f>('C-54'!F13/'C-53'!F13)*1000</f>
        <v>11.03667136812412</v>
      </c>
      <c r="G13" s="264">
        <f>('C-54'!G13/'C-53'!G13)*1000</f>
        <v>10.966340933767645</v>
      </c>
      <c r="H13" s="264">
        <f>('C-54'!H13/'C-53'!H13)*1000</f>
        <v>11.119144013880858</v>
      </c>
      <c r="I13" s="264">
        <f>('C-54'!I13/'C-53'!I13)*1000</f>
        <v>10.763934860320402</v>
      </c>
      <c r="J13" s="264">
        <f>('C-54'!J13/'C-53'!J13)*1000</f>
        <v>11.286744315030505</v>
      </c>
      <c r="K13" s="264">
        <f>('C-54'!K13/'C-53'!K13)*1000</f>
        <v>11.045473279296607</v>
      </c>
      <c r="L13" s="264">
        <f>('C-54'!L13/'C-53'!L13)*1000</f>
        <v>11.27921113062272</v>
      </c>
      <c r="M13" s="264">
        <f>('C-54'!M13/'C-53'!M13)*1000</f>
        <v>11.520000000000001</v>
      </c>
      <c r="N13" s="264">
        <f>('C-54'!N13/'C-53'!N13)*1000</f>
        <v>11.590478766567488</v>
      </c>
    </row>
    <row r="14" spans="1:15" ht="12.75" customHeight="1">
      <c r="A14" s="127" t="s">
        <v>97</v>
      </c>
      <c r="B14" s="642">
        <f>('C-54'!B14/'C-53'!B14)*1000</f>
        <v>10.677066264665401</v>
      </c>
      <c r="C14" s="264">
        <f>('C-54'!C14/'C-53'!C14)*1000</f>
        <v>10.956728860658993</v>
      </c>
      <c r="D14" s="264">
        <f>('C-54'!D14/'C-53'!D14)*1000</f>
        <v>11.078503301540719</v>
      </c>
      <c r="E14" s="264">
        <f>('C-54'!E14/'C-53'!E14)*1000</f>
        <v>11.363203050524309</v>
      </c>
      <c r="F14" s="264">
        <f>('C-54'!F14/'C-53'!F14)*1000</f>
        <v>10.586137731223536</v>
      </c>
      <c r="G14" s="264">
        <f>('C-54'!G14/'C-53'!G14)*1000</f>
        <v>10.608324439701175</v>
      </c>
      <c r="H14" s="264">
        <f>('C-54'!H14/'C-53'!H14)*1000</f>
        <v>10.639192598822541</v>
      </c>
      <c r="I14" s="264">
        <f>('C-54'!I14/'C-53'!I14)*1000</f>
        <v>10.345482156416097</v>
      </c>
      <c r="J14" s="264">
        <f>('C-54'!J14/'C-53'!J14)*1000</f>
        <v>10.574077727362399</v>
      </c>
      <c r="K14" s="264">
        <f>('C-54'!K14/'C-53'!K14)*1000</f>
        <v>10.270793036750483</v>
      </c>
      <c r="L14" s="264">
        <f>('C-54'!L14/'C-53'!L14)*1000</f>
        <v>10.544282192300399</v>
      </c>
      <c r="M14" s="264">
        <f>('C-54'!M14/'C-53'!M14)*1000</f>
        <v>10.495571886188054</v>
      </c>
      <c r="N14" s="264">
        <f>('C-54'!N14/'C-53'!N14)*1000</f>
        <v>10.629026146267526</v>
      </c>
    </row>
    <row r="15" spans="1:15" ht="12.75" customHeight="1">
      <c r="A15" s="127" t="s">
        <v>98</v>
      </c>
      <c r="B15" s="642">
        <f>('C-54'!B15/'C-53'!B15)*1000</f>
        <v>12.877512625012375</v>
      </c>
      <c r="C15" s="264">
        <f>('C-54'!C15/'C-53'!C15)*1000</f>
        <v>11.711711711711711</v>
      </c>
      <c r="D15" s="264">
        <f>('C-54'!D15/'C-53'!D15)*1000</f>
        <v>12.6775956284153</v>
      </c>
      <c r="E15" s="264">
        <f>('C-54'!E15/'C-53'!E15)*1000</f>
        <v>13.113435237329043</v>
      </c>
      <c r="F15" s="264">
        <f>('C-54'!F15/'C-53'!F15)*1000</f>
        <v>12.581344902386117</v>
      </c>
      <c r="G15" s="264">
        <f>('C-54'!G15/'C-53'!G15)*1000</f>
        <v>11.872146118721462</v>
      </c>
      <c r="H15" s="264">
        <f>('C-54'!H15/'C-53'!H15)*1000</f>
        <v>12.145289443813846</v>
      </c>
      <c r="I15" s="264">
        <f>('C-54'!I15/'C-53'!I15)*1000</f>
        <v>11.792207792207792</v>
      </c>
      <c r="J15" s="264">
        <f>('C-54'!J15/'C-53'!J15)*1000</f>
        <v>13.170731707317072</v>
      </c>
      <c r="K15" s="264">
        <f>('C-54'!K15/'C-53'!K15)*1000</f>
        <v>13.173985547526403</v>
      </c>
      <c r="L15" s="264">
        <f>('C-54'!L15/'C-53'!L15)*1000</f>
        <v>13.36606655755592</v>
      </c>
      <c r="M15" s="264">
        <f>('C-54'!M15/'C-53'!M15)*1000</f>
        <v>14.241803278688524</v>
      </c>
      <c r="N15" s="264">
        <f>('C-54'!N15/'C-53'!N15)*1000</f>
        <v>14.262990455991515</v>
      </c>
    </row>
    <row r="16" spans="1:15" ht="12.75" customHeight="1">
      <c r="A16" s="127" t="s">
        <v>99</v>
      </c>
      <c r="B16" s="642">
        <f>('C-54'!B16/'C-53'!B16)*1000</f>
        <v>11.995546896743667</v>
      </c>
      <c r="C16" s="264">
        <f>('C-54'!C16/'C-53'!C16)*1000</f>
        <v>12.27436823104693</v>
      </c>
      <c r="D16" s="264">
        <f>('C-54'!D16/'C-53'!D16)*1000</f>
        <v>13.095238095238093</v>
      </c>
      <c r="E16" s="264">
        <f>('C-54'!E16/'C-53'!E16)*1000</f>
        <v>11.415525114155251</v>
      </c>
      <c r="F16" s="264">
        <f>('C-54'!F16/'C-53'!F16)*1000</f>
        <v>13.307984790874524</v>
      </c>
      <c r="G16" s="264">
        <f>('C-54'!G16/'C-53'!G16)*1000</f>
        <v>11.830357142857142</v>
      </c>
      <c r="H16" s="264">
        <f>('C-54'!H16/'C-53'!H16)*1000</f>
        <v>12.311557788944725</v>
      </c>
      <c r="I16" s="264">
        <f>('C-54'!I16/'C-53'!I16)*1000</f>
        <v>11.111111111111111</v>
      </c>
      <c r="J16" s="264">
        <f>('C-54'!J16/'C-53'!J16)*1000</f>
        <v>11.74496644295302</v>
      </c>
      <c r="K16" s="264">
        <f>('C-54'!K16/'C-53'!K16)*1000</f>
        <v>11.612903225806452</v>
      </c>
      <c r="L16" s="264">
        <f>('C-54'!L16/'C-53'!L16)*1000</f>
        <v>11.447811447811448</v>
      </c>
      <c r="M16" s="264">
        <f>('C-54'!M16/'C-53'!M16)*1000</f>
        <v>12.033195020746886</v>
      </c>
      <c r="N16" s="264">
        <f>('C-54'!N16/'C-53'!N16)*1000</f>
        <v>12.17391304347826</v>
      </c>
    </row>
    <row r="17" spans="1:14" ht="12.75" customHeight="1">
      <c r="A17" s="152" t="s">
        <v>29</v>
      </c>
      <c r="B17" s="642">
        <f>('C-54'!B17/'C-53'!B17)*1000</f>
        <v>15.846833578792342</v>
      </c>
      <c r="C17" s="264">
        <f>('C-54'!C17/'C-53'!C17)*1000</f>
        <v>15.884476534296029</v>
      </c>
      <c r="D17" s="264">
        <f>('C-54'!D17/'C-53'!D17)*1000</f>
        <v>15.708812260536398</v>
      </c>
      <c r="E17" s="264">
        <f>('C-54'!E17/'C-53'!E17)*1000</f>
        <v>15.41501976284585</v>
      </c>
      <c r="F17" s="264">
        <f>('C-54'!F17/'C-53'!F17)*1000</f>
        <v>16.256157635467982</v>
      </c>
      <c r="G17" s="264">
        <f>('C-54'!G17/'C-53'!G17)*1000</f>
        <v>15.853658536585366</v>
      </c>
      <c r="H17" s="264">
        <f>('C-54'!H17/'C-53'!H17)*1000</f>
        <v>16.349809885931556</v>
      </c>
      <c r="I17" s="264">
        <f>('C-54'!I17/'C-53'!I17)*1000</f>
        <v>16.304347826086957</v>
      </c>
      <c r="J17" s="264">
        <f>('C-54'!J17/'C-53'!J17)*1000</f>
        <v>15.302491103202847</v>
      </c>
      <c r="K17" s="264">
        <f>('C-54'!K17/'C-53'!K17)*1000</f>
        <v>15.463917525773196</v>
      </c>
      <c r="L17" s="264">
        <f>('C-54'!L17/'C-53'!L17)*1000</f>
        <v>15.54054054054054</v>
      </c>
      <c r="M17" s="264">
        <f>('C-54'!M17/'C-53'!M17)*1000</f>
        <v>16.216216216216218</v>
      </c>
      <c r="N17" s="264">
        <f>('C-54'!N17/'C-53'!N17)*1000</f>
        <v>15.929203539823009</v>
      </c>
    </row>
    <row r="18" spans="1:14" ht="12.75" customHeight="1">
      <c r="A18" s="152" t="s">
        <v>30</v>
      </c>
      <c r="B18" s="642">
        <f>('C-54'!B18/'C-53'!B18)*1000</f>
        <v>10.778235356232367</v>
      </c>
      <c r="C18" s="264">
        <f>('C-54'!C18/'C-53'!C18)*1000</f>
        <v>11.108992085439116</v>
      </c>
      <c r="D18" s="264">
        <f>('C-54'!D18/'C-53'!D18)*1000</f>
        <v>11.080870917573872</v>
      </c>
      <c r="E18" s="264">
        <f>('C-54'!E18/'C-53'!E18)*1000</f>
        <v>10.411724839037614</v>
      </c>
      <c r="F18" s="264">
        <f>('C-54'!F18/'C-53'!F18)*1000</f>
        <v>10.984230560087004</v>
      </c>
      <c r="G18" s="264">
        <f>('C-54'!G18/'C-53'!G18)*1000</f>
        <v>10.451844165644749</v>
      </c>
      <c r="H18" s="264">
        <f>('C-54'!H18/'C-53'!H18)*1000</f>
        <v>10.359427078641565</v>
      </c>
      <c r="I18" s="264">
        <f>('C-54'!I18/'C-53'!I18)*1000</f>
        <v>10.501469671328048</v>
      </c>
      <c r="J18" s="264">
        <f>('C-54'!J18/'C-53'!J18)*1000</f>
        <v>10.489882854100108</v>
      </c>
      <c r="K18" s="264">
        <f>('C-54'!K18/'C-53'!K18)*1000</f>
        <v>11.42266558820886</v>
      </c>
      <c r="L18" s="264">
        <f>('C-54'!L18/'C-53'!L18)*1000</f>
        <v>11.073436245203888</v>
      </c>
      <c r="M18" s="264">
        <f>('C-54'!M18/'C-53'!M18)*1000</f>
        <v>10.990177860366339</v>
      </c>
      <c r="N18" s="264">
        <f>('C-54'!N18/'C-53'!N18)*1000</f>
        <v>10.514501212175631</v>
      </c>
    </row>
    <row r="19" spans="1:14" ht="12.75" customHeight="1">
      <c r="A19" s="127" t="s">
        <v>31</v>
      </c>
      <c r="B19" s="642">
        <f>('C-54'!B19/'C-53'!B19)*1000</f>
        <v>12.239213443766028</v>
      </c>
      <c r="C19" s="264">
        <f>('C-54'!C19/'C-53'!C19)*1000</f>
        <v>11.982109227871939</v>
      </c>
      <c r="D19" s="264">
        <f>('C-54'!D19/'C-53'!D19)*1000</f>
        <v>12.274537362379947</v>
      </c>
      <c r="E19" s="264">
        <f>('C-54'!E19/'C-53'!E19)*1000</f>
        <v>11.998029071199804</v>
      </c>
      <c r="F19" s="264">
        <f>('C-54'!F19/'C-53'!F19)*1000</f>
        <v>12.294543063773833</v>
      </c>
      <c r="G19" s="264">
        <f>('C-54'!G19/'C-53'!G19)*1000</f>
        <v>12.576364019380662</v>
      </c>
      <c r="H19" s="264">
        <f>('C-54'!H19/'C-53'!H19)*1000</f>
        <v>12.286300433097789</v>
      </c>
      <c r="I19" s="264">
        <f>('C-54'!I19/'C-53'!I19)*1000</f>
        <v>12.327970536925761</v>
      </c>
      <c r="J19" s="264">
        <f>('C-54'!J19/'C-53'!J19)*1000</f>
        <v>12.045500710948607</v>
      </c>
      <c r="K19" s="264">
        <f>('C-54'!K19/'C-53'!K19)*1000</f>
        <v>12.233570159857903</v>
      </c>
      <c r="L19" s="264">
        <f>('C-54'!L19/'C-53'!L19)*1000</f>
        <v>12.237525400767668</v>
      </c>
      <c r="M19" s="264">
        <f>('C-54'!M19/'C-53'!M19)*1000</f>
        <v>12.410032715376227</v>
      </c>
      <c r="N19" s="264">
        <f>('C-54'!N19/'C-53'!N19)*1000</f>
        <v>12.14845550945136</v>
      </c>
    </row>
    <row r="20" spans="1:14" ht="12.75" customHeight="1">
      <c r="A20" s="152" t="s">
        <v>32</v>
      </c>
      <c r="B20" s="642">
        <f>('C-54'!B20/'C-53'!B20)*1000</f>
        <v>10.75309104533533</v>
      </c>
      <c r="C20" s="264">
        <f>('C-54'!C20/'C-53'!C20)*1000</f>
        <v>10.494571773220747</v>
      </c>
      <c r="D20" s="264">
        <f>('C-54'!D20/'C-53'!D20)*1000</f>
        <v>10.598503740648379</v>
      </c>
      <c r="E20" s="264">
        <f>('C-54'!E20/'C-53'!E20)*1000</f>
        <v>9.4897959183673475</v>
      </c>
      <c r="F20" s="264">
        <f>('C-54'!F20/'C-53'!F20)*1000</f>
        <v>10.261569416498993</v>
      </c>
      <c r="G20" s="264">
        <f>('C-54'!G20/'C-53'!G20)*1000</f>
        <v>11.959521619135234</v>
      </c>
      <c r="H20" s="264">
        <f>('C-54'!H20/'C-53'!H20)*1000</f>
        <v>10.214592274678111</v>
      </c>
      <c r="I20" s="264">
        <f>('C-54'!I20/'C-53'!I20)*1000</f>
        <v>10.16419077404222</v>
      </c>
      <c r="J20" s="264">
        <f>('C-54'!J20/'C-53'!J20)*1000</f>
        <v>10.959939531368102</v>
      </c>
      <c r="K20" s="264">
        <f>('C-54'!K20/'C-53'!K20)*1000</f>
        <v>10.99781500364166</v>
      </c>
      <c r="L20" s="264">
        <f>('C-54'!L20/'C-53'!L20)*1000</f>
        <v>12.073073868149326</v>
      </c>
      <c r="M20" s="264">
        <f>('C-54'!M20/'C-53'!M20)*1000</f>
        <v>10.770505385252692</v>
      </c>
      <c r="N20" s="264">
        <f>('C-54'!N20/'C-53'!N20)*1000</f>
        <v>10.601719197707736</v>
      </c>
    </row>
    <row r="21" spans="1:14" ht="12.75" customHeight="1">
      <c r="A21" s="152" t="s">
        <v>33</v>
      </c>
      <c r="B21" s="642">
        <f>('C-54'!B21/'C-53'!B21)*1000</f>
        <v>11.239608771019698</v>
      </c>
      <c r="C21" s="264">
        <f>('C-54'!C21/'C-53'!C21)*1000</f>
        <v>11.155025004032909</v>
      </c>
      <c r="D21" s="264">
        <f>('C-54'!D21/'C-53'!D21)*1000</f>
        <v>11.269227605494777</v>
      </c>
      <c r="E21" s="264">
        <f>('C-54'!E21/'C-53'!E21)*1000</f>
        <v>11.280628756356911</v>
      </c>
      <c r="F21" s="264">
        <f>('C-54'!F21/'C-53'!F21)*1000</f>
        <v>11.440198959981913</v>
      </c>
      <c r="G21" s="264">
        <f>('C-54'!G21/'C-53'!G21)*1000</f>
        <v>11.14443931702815</v>
      </c>
      <c r="H21" s="264">
        <f>('C-54'!H21/'C-53'!H21)*1000</f>
        <v>11.198566084788029</v>
      </c>
      <c r="I21" s="264">
        <f>('C-54'!I21/'C-53'!I21)*1000</f>
        <v>11.408509454949945</v>
      </c>
      <c r="J21" s="264">
        <f>('C-54'!J21/'C-53'!J21)*1000</f>
        <v>11.326044294925708</v>
      </c>
      <c r="K21" s="264">
        <f>('C-54'!K21/'C-53'!K21)*1000</f>
        <v>11.138193367309256</v>
      </c>
      <c r="L21" s="264">
        <f>('C-54'!L21/'C-53'!L21)*1000</f>
        <v>11.317680171839125</v>
      </c>
      <c r="M21" s="264">
        <f>('C-54'!M21/'C-53'!M21)*1000</f>
        <v>11.086045762165647</v>
      </c>
      <c r="N21" s="264">
        <f>('C-54'!N21/'C-53'!N21)*1000</f>
        <v>11.076091850517784</v>
      </c>
    </row>
    <row r="22" spans="1:14" ht="12.75" customHeight="1">
      <c r="A22" s="152" t="s">
        <v>34</v>
      </c>
      <c r="B22" s="642">
        <f>('C-54'!B22/'C-53'!B22)*1000</f>
        <v>12.115560528956738</v>
      </c>
      <c r="C22" s="264">
        <f>('C-54'!C22/'C-53'!C22)*1000</f>
        <v>12.228756844453457</v>
      </c>
      <c r="D22" s="264">
        <f>('C-54'!D22/'C-53'!D22)*1000</f>
        <v>12.352837814092426</v>
      </c>
      <c r="E22" s="264">
        <f>('C-54'!E22/'C-53'!E22)*1000</f>
        <v>12.091864969562813</v>
      </c>
      <c r="F22" s="264">
        <f>('C-54'!F22/'C-53'!F22)*1000</f>
        <v>12.375189107413011</v>
      </c>
      <c r="G22" s="264">
        <f>('C-54'!G22/'C-53'!G22)*1000</f>
        <v>12.361833550065018</v>
      </c>
      <c r="H22" s="264">
        <f>('C-54'!H22/'C-53'!H22)*1000</f>
        <v>12.447318703676792</v>
      </c>
      <c r="I22" s="264">
        <f>('C-54'!I22/'C-53'!I22)*1000</f>
        <v>12.041522491349481</v>
      </c>
      <c r="J22" s="264">
        <f>('C-54'!J22/'C-53'!J22)*1000</f>
        <v>11.91942294159043</v>
      </c>
      <c r="K22" s="264">
        <f>('C-54'!K22/'C-53'!K22)*1000</f>
        <v>11.857057416267942</v>
      </c>
      <c r="L22" s="264">
        <f>('C-54'!L22/'C-53'!L22)*1000</f>
        <v>12.971653838933733</v>
      </c>
      <c r="M22" s="264">
        <f>('C-54'!M22/'C-53'!M22)*1000</f>
        <v>12.016479743648432</v>
      </c>
      <c r="N22" s="264">
        <f>('C-54'!N22/'C-53'!N22)*1000</f>
        <v>11.332649171675707</v>
      </c>
    </row>
    <row r="23" spans="1:14" ht="12.75" customHeight="1">
      <c r="A23" s="152" t="s">
        <v>35</v>
      </c>
      <c r="B23" s="642">
        <f>('C-54'!B23/'C-53'!B23)*1000</f>
        <v>11.307190194494046</v>
      </c>
      <c r="C23" s="264">
        <f>('C-54'!C23/'C-53'!C23)*1000</f>
        <v>11.031787780867214</v>
      </c>
      <c r="D23" s="264">
        <f>('C-54'!D23/'C-53'!D23)*1000</f>
        <v>11.172725405627439</v>
      </c>
      <c r="E23" s="264">
        <f>('C-54'!E23/'C-53'!E23)*1000</f>
        <v>11.312682545559259</v>
      </c>
      <c r="F23" s="264">
        <f>('C-54'!F23/'C-53'!F23)*1000</f>
        <v>11.36079900124844</v>
      </c>
      <c r="G23" s="264">
        <f>('C-54'!G23/'C-53'!G23)*1000</f>
        <v>11.310895325872284</v>
      </c>
      <c r="H23" s="264">
        <f>('C-54'!H23/'C-53'!H23)*1000</f>
        <v>11.185476114139147</v>
      </c>
      <c r="I23" s="264">
        <f>('C-54'!I23/'C-53'!I23)*1000</f>
        <v>11.297436916352076</v>
      </c>
      <c r="J23" s="264">
        <f>('C-54'!J23/'C-53'!J23)*1000</f>
        <v>11.214472329981792</v>
      </c>
      <c r="K23" s="264">
        <f>('C-54'!K23/'C-53'!K23)*1000</f>
        <v>12.165780744174892</v>
      </c>
      <c r="L23" s="264">
        <f>('C-54'!L23/'C-53'!L23)*1000</f>
        <v>11.264367816091955</v>
      </c>
      <c r="M23" s="264">
        <f>('C-54'!M23/'C-53'!M23)*1000</f>
        <v>11.239458011910948</v>
      </c>
      <c r="N23" s="264">
        <f>('C-54'!N23/'C-53'!N23)*1000</f>
        <v>11.15817634600379</v>
      </c>
    </row>
    <row r="24" spans="1:14" ht="12.75" customHeight="1">
      <c r="A24" s="152" t="s">
        <v>36</v>
      </c>
      <c r="B24" s="642">
        <f>('C-54'!B24/'C-53'!B24)*1000</f>
        <v>12.458953799159985</v>
      </c>
      <c r="C24" s="264">
        <f>('C-54'!C24/'C-53'!C24)*1000</f>
        <v>12.255466052934409</v>
      </c>
      <c r="D24" s="264">
        <f>('C-54'!D24/'C-53'!D24)*1000</f>
        <v>12.691736763978229</v>
      </c>
      <c r="E24" s="264">
        <f>('C-54'!E24/'C-53'!E24)*1000</f>
        <v>11.146496815286623</v>
      </c>
      <c r="F24" s="264">
        <f>('C-54'!F24/'C-53'!F24)*1000</f>
        <v>11.953814806429703</v>
      </c>
      <c r="G24" s="264">
        <f>('C-54'!G24/'C-53'!G24)*1000</f>
        <v>12.745098039215685</v>
      </c>
      <c r="H24" s="264">
        <f>('C-54'!H24/'C-53'!H24)*1000</f>
        <v>13.517572844698106</v>
      </c>
      <c r="I24" s="264">
        <f>('C-54'!I24/'C-53'!I24)*1000</f>
        <v>12.585638162902818</v>
      </c>
      <c r="J24" s="264">
        <f>('C-54'!J24/'C-53'!J24)*1000</f>
        <v>10.095753538717736</v>
      </c>
      <c r="K24" s="264">
        <f>('C-54'!K24/'C-53'!K24)*1000</f>
        <v>12.520520958739192</v>
      </c>
      <c r="L24" s="264">
        <f>('C-54'!L24/'C-53'!L24)*1000</f>
        <v>12.681199513112757</v>
      </c>
      <c r="M24" s="264">
        <f>('C-54'!M24/'C-53'!M24)*1000</f>
        <v>13.814776808619806</v>
      </c>
      <c r="N24" s="264">
        <f>('C-54'!N24/'C-53'!N24)*1000</f>
        <v>13.930022277552089</v>
      </c>
    </row>
    <row r="25" spans="1:14" ht="12.75" customHeight="1">
      <c r="A25" s="127" t="s">
        <v>37</v>
      </c>
      <c r="B25" s="642">
        <f>('C-54'!B25/'C-53'!B25)*1000</f>
        <v>14.479750961792606</v>
      </c>
      <c r="C25" s="264">
        <f>('C-54'!C25/'C-53'!C25)*1000</f>
        <v>14.416398441470436</v>
      </c>
      <c r="D25" s="264">
        <f>('C-54'!D25/'C-53'!D25)*1000</f>
        <v>14.114978626886504</v>
      </c>
      <c r="E25" s="264">
        <f>('C-54'!E25/'C-53'!E25)*1000</f>
        <v>14.533356680091051</v>
      </c>
      <c r="F25" s="264">
        <f>('C-54'!F25/'C-53'!F25)*1000</f>
        <v>14.870058565153734</v>
      </c>
      <c r="G25" s="264">
        <f>('C-54'!G25/'C-53'!G25)*1000</f>
        <v>14.972792697911181</v>
      </c>
      <c r="H25" s="264">
        <f>('C-54'!H25/'C-53'!H25)*1000</f>
        <v>14.885796797059594</v>
      </c>
      <c r="I25" s="264">
        <f>('C-54'!I25/'C-53'!I25)*1000</f>
        <v>14.692069118298628</v>
      </c>
      <c r="J25" s="264">
        <f>('C-54'!J25/'C-53'!J25)*1000</f>
        <v>14.526520165916512</v>
      </c>
      <c r="K25" s="264">
        <f>('C-54'!K25/'C-53'!K25)*1000</f>
        <v>14.398720113767666</v>
      </c>
      <c r="L25" s="264">
        <f>('C-54'!L25/'C-53'!L25)*1000</f>
        <v>14.261444921316166</v>
      </c>
      <c r="M25" s="264">
        <f>('C-54'!M25/'C-53'!M25)*1000</f>
        <v>14.08351026185421</v>
      </c>
      <c r="N25" s="264">
        <f>('C-54'!N25/'C-53'!N25)*1000</f>
        <v>14.015251117538785</v>
      </c>
    </row>
    <row r="26" spans="1:14" ht="12.75" customHeight="1">
      <c r="A26" s="152" t="s">
        <v>38</v>
      </c>
      <c r="B26" s="642">
        <f>('C-54'!B26/'C-53'!B26)*1000</f>
        <v>21.142691415313227</v>
      </c>
      <c r="C26" s="264">
        <f>('C-54'!C26/'C-53'!C26)*1000</f>
        <v>22.419928825622772</v>
      </c>
      <c r="D26" s="264">
        <f>('C-54'!D26/'C-53'!D26)*1000</f>
        <v>22.058823529411764</v>
      </c>
      <c r="E26" s="264">
        <f>('C-54'!E26/'C-53'!E26)*1000</f>
        <v>21.476510067114095</v>
      </c>
      <c r="F26" s="264">
        <f>('C-54'!F26/'C-53'!F26)*1000</f>
        <v>21.95121951219512</v>
      </c>
      <c r="G26" s="264">
        <f>('C-54'!G26/'C-53'!G26)*1000</f>
        <v>17.880794701986755</v>
      </c>
      <c r="H26" s="264">
        <f>('C-54'!H26/'C-53'!H26)*1000</f>
        <v>20.26578073089701</v>
      </c>
      <c r="I26" s="264">
        <f>('C-54'!I26/'C-53'!I26)*1000</f>
        <v>18.0064308681672</v>
      </c>
      <c r="J26" s="264">
        <f>('C-54'!J26/'C-53'!J26)*1000</f>
        <v>20.860927152317881</v>
      </c>
      <c r="K26" s="264">
        <f>('C-54'!K26/'C-53'!K26)*1000</f>
        <v>21.794871794871792</v>
      </c>
      <c r="L26" s="264">
        <f>('C-54'!L26/'C-53'!L26)*1000</f>
        <v>23.343848580441644</v>
      </c>
      <c r="M26" s="264">
        <f>('C-54'!M26/'C-53'!M26)*1000</f>
        <v>22.614840989399294</v>
      </c>
      <c r="N26" s="264">
        <f>('C-54'!N26/'C-53'!N26)*1000</f>
        <v>21.59090909090909</v>
      </c>
    </row>
    <row r="27" spans="1:14" ht="12.75" customHeight="1">
      <c r="A27" s="152" t="s">
        <v>39</v>
      </c>
      <c r="B27" s="642">
        <f>('C-54'!B27/'C-53'!B27)*1000</f>
        <v>23.471307619943552</v>
      </c>
      <c r="C27" s="264">
        <f>('C-54'!C27/'C-53'!C27)*1000</f>
        <v>23.63013698630137</v>
      </c>
      <c r="D27" s="264">
        <f>('C-54'!D27/'C-53'!D27)*1000</f>
        <v>23.667711598746081</v>
      </c>
      <c r="E27" s="264">
        <f>('C-54'!E27/'C-53'!E27)*1000</f>
        <v>24.471299093655588</v>
      </c>
      <c r="F27" s="264">
        <f>('C-54'!F27/'C-53'!F27)*1000</f>
        <v>23.416789396170838</v>
      </c>
      <c r="G27" s="264">
        <f>('C-54'!G27/'C-53'!G27)*1000</f>
        <v>23.26241134751773</v>
      </c>
      <c r="H27" s="264">
        <f>('C-54'!H27/'C-53'!H27)*1000</f>
        <v>23.226703755215574</v>
      </c>
      <c r="I27" s="264">
        <f>('C-54'!I27/'C-53'!I27)*1000</f>
        <v>22.685788787483702</v>
      </c>
      <c r="J27" s="264">
        <f>('C-54'!J27/'C-53'!J27)*1000</f>
        <v>23.568575233022639</v>
      </c>
      <c r="K27" s="264">
        <f>('C-54'!K27/'C-53'!K27)*1000</f>
        <v>23.910171730515195</v>
      </c>
      <c r="L27" s="264">
        <f>('C-54'!L27/'C-53'!L27)*1000</f>
        <v>23.769338959212373</v>
      </c>
      <c r="M27" s="264">
        <f>('C-54'!M27/'C-53'!M27)*1000</f>
        <v>23.076923076923073</v>
      </c>
      <c r="N27" s="264">
        <f>('C-54'!N27/'C-53'!N27)*1000</f>
        <v>23.167539267015705</v>
      </c>
    </row>
    <row r="28" spans="1:14" ht="12.75" customHeight="1">
      <c r="A28" s="152" t="s">
        <v>40</v>
      </c>
      <c r="B28" s="642">
        <f>('C-54'!B28/'C-53'!B28)*1000</f>
        <v>12.045808002262124</v>
      </c>
      <c r="C28" s="264">
        <f>('C-54'!C28/'C-53'!C28)*1000</f>
        <v>10.776264228400821</v>
      </c>
      <c r="D28" s="264">
        <f>('C-54'!D28/'C-53'!D28)*1000</f>
        <v>11.939406019533585</v>
      </c>
      <c r="E28" s="264">
        <f>('C-54'!E28/'C-53'!E28)*1000</f>
        <v>11.508680414051673</v>
      </c>
      <c r="F28" s="264">
        <f>('C-54'!F28/'C-53'!F28)*1000</f>
        <v>12.994817096071509</v>
      </c>
      <c r="G28" s="264">
        <f>('C-54'!G28/'C-53'!G28)*1000</f>
        <v>12.647358463105808</v>
      </c>
      <c r="H28" s="264">
        <f>('C-54'!H28/'C-53'!H28)*1000</f>
        <v>12.594851956554084</v>
      </c>
      <c r="I28" s="264">
        <f>('C-54'!I28/'C-53'!I28)*1000</f>
        <v>12.410611303344869</v>
      </c>
      <c r="J28" s="264">
        <f>('C-54'!J28/'C-53'!J28)*1000</f>
        <v>12.225046008237666</v>
      </c>
      <c r="K28" s="264">
        <f>('C-54'!K28/'C-53'!K28)*1000</f>
        <v>11.881283836040218</v>
      </c>
      <c r="L28" s="264">
        <f>('C-54'!L28/'C-53'!L28)*1000</f>
        <v>11.97859902903002</v>
      </c>
      <c r="M28" s="264">
        <f>('C-54'!M28/'C-53'!M28)*1000</f>
        <v>11.60388280345534</v>
      </c>
      <c r="N28" s="264">
        <f>('C-54'!N28/'C-53'!N28)*1000</f>
        <v>11.500843170320406</v>
      </c>
    </row>
    <row r="29" spans="1:14" ht="12.75" customHeight="1">
      <c r="A29" s="127" t="s">
        <v>41</v>
      </c>
      <c r="B29" s="642">
        <f>('C-54'!B29/'C-53'!B29)*1000</f>
        <v>11.697901827477276</v>
      </c>
      <c r="C29" s="264">
        <f>('C-54'!C29/'C-53'!C29)*1000</f>
        <v>10.971882640586795</v>
      </c>
      <c r="D29" s="264">
        <f>('C-54'!D29/'C-53'!D29)*1000</f>
        <v>11.514392991239047</v>
      </c>
      <c r="E29" s="264">
        <f>('C-54'!E29/'C-53'!E29)*1000</f>
        <v>11.457598871867189</v>
      </c>
      <c r="F29" s="264">
        <f>('C-54'!F29/'C-53'!F29)*1000</f>
        <v>11.941566162731442</v>
      </c>
      <c r="G29" s="264">
        <f>('C-54'!G29/'C-53'!G29)*1000</f>
        <v>12.110249784668389</v>
      </c>
      <c r="H29" s="264">
        <f>('C-54'!H29/'C-53'!H29)*1000</f>
        <v>12.021581520822794</v>
      </c>
      <c r="I29" s="264">
        <f>('C-54'!I29/'C-53'!I29)*1000</f>
        <v>12.021672875042329</v>
      </c>
      <c r="J29" s="264">
        <f>('C-54'!J29/'C-53'!J29)*1000</f>
        <v>11.645613427928707</v>
      </c>
      <c r="K29" s="264">
        <f>('C-54'!K29/'C-53'!K29)*1000</f>
        <v>11.915887850467289</v>
      </c>
      <c r="L29" s="264">
        <f>('C-54'!L29/'C-53'!L29)*1000</f>
        <v>12.159911160466407</v>
      </c>
      <c r="M29" s="264">
        <f>('C-54'!M29/'C-53'!M29)*1000</f>
        <v>11.35857461024499</v>
      </c>
      <c r="N29" s="264">
        <f>('C-54'!N29/'C-53'!N29)*1000</f>
        <v>11.367770098217534</v>
      </c>
    </row>
    <row r="30" spans="1:14" ht="12.75" customHeight="1">
      <c r="A30" s="127" t="s">
        <v>100</v>
      </c>
      <c r="B30" s="642">
        <f>('C-54'!B30/'C-53'!B30)*1000</f>
        <v>12.235027897638405</v>
      </c>
      <c r="C30" s="264">
        <v>0</v>
      </c>
      <c r="D30" s="264">
        <f>('C-54'!D30/'C-53'!D30)*1000</f>
        <v>11.798604792235365</v>
      </c>
      <c r="E30" s="264">
        <f>('C-54'!E30/'C-53'!E30)*1000</f>
        <v>11.839038154827628</v>
      </c>
      <c r="F30" s="264">
        <f>('C-54'!F30/'C-53'!F30)*1000</f>
        <v>12.715231788079469</v>
      </c>
      <c r="G30" s="264">
        <f>('C-54'!G30/'C-53'!G30)*1000</f>
        <v>12.645979312645979</v>
      </c>
      <c r="H30" s="264">
        <f>('C-54'!H30/'C-53'!H30)*1000</f>
        <v>12.597911227154047</v>
      </c>
      <c r="I30" s="264">
        <f>('C-54'!I30/'C-53'!I30)*1000</f>
        <v>12.463674523732646</v>
      </c>
      <c r="J30" s="264">
        <f>('C-54'!J30/'C-53'!J30)*1000</f>
        <v>12.278945612278944</v>
      </c>
      <c r="K30" s="264">
        <f>('C-54'!K30/'C-53'!K30)*1000</f>
        <v>12.62538913870633</v>
      </c>
      <c r="L30" s="264">
        <f>('C-54'!L30/'C-53'!L30)*1000</f>
        <v>12.990720913633119</v>
      </c>
      <c r="M30" s="264">
        <f>('C-54'!M30/'C-53'!M30)*1000</f>
        <v>11.760355029585799</v>
      </c>
      <c r="N30" s="264">
        <f>('C-54'!N30/'C-53'!N30)*1000</f>
        <v>11.574406901509706</v>
      </c>
    </row>
    <row r="31" spans="1:14" ht="12.75" customHeight="1">
      <c r="A31" s="127" t="s">
        <v>101</v>
      </c>
      <c r="B31" s="642">
        <f>('C-54'!B31/'C-53'!B31)*1000</f>
        <v>11.129912186013946</v>
      </c>
      <c r="C31" s="264">
        <f>('C-54'!C31/'C-53'!C31)*1000</f>
        <v>10.427098674521355</v>
      </c>
      <c r="D31" s="264">
        <f>('C-54'!D31/'C-53'!D31)*1000</f>
        <v>11.211631663974153</v>
      </c>
      <c r="E31" s="264">
        <f>('C-54'!E31/'C-53'!E31)*1000</f>
        <v>11.04026845637584</v>
      </c>
      <c r="F31" s="264">
        <f>('C-54'!F31/'C-53'!F31)*1000</f>
        <v>11.126613184513428</v>
      </c>
      <c r="G31" s="264">
        <f>('C-54'!G31/'C-53'!G31)*1000</f>
        <v>11.538461538461537</v>
      </c>
      <c r="H31" s="264">
        <f>('C-54'!H31/'C-53'!H31)*1000</f>
        <v>11.405650505755146</v>
      </c>
      <c r="I31" s="264">
        <f>('C-54'!I31/'C-53'!I31)*1000</f>
        <v>11.534353862584549</v>
      </c>
      <c r="J31" s="264">
        <f>('C-54'!J31/'C-53'!J31)*1000</f>
        <v>10.96333572969087</v>
      </c>
      <c r="K31" s="264">
        <f>('C-54'!K31/'C-53'!K31)*1000</f>
        <v>11.148522259633371</v>
      </c>
      <c r="L31" s="264">
        <f>('C-54'!L31/'C-53'!L31)*1000</f>
        <v>11.264898116109189</v>
      </c>
      <c r="M31" s="264">
        <f>('C-54'!M31/'C-53'!M31)*1000</f>
        <v>10.916542473919524</v>
      </c>
      <c r="N31" s="264">
        <f>('C-54'!N31/'C-53'!N31)*1000</f>
        <v>11.119293078055964</v>
      </c>
    </row>
    <row r="32" spans="1:14" ht="12.75" customHeight="1">
      <c r="A32" s="152" t="s">
        <v>44</v>
      </c>
      <c r="B32" s="642">
        <f>('C-54'!B32/'C-53'!B32)*1000</f>
        <v>13.239844689280014</v>
      </c>
      <c r="C32" s="264">
        <f>('C-54'!C32/'C-53'!C32)*1000</f>
        <v>12.916821044831419</v>
      </c>
      <c r="D32" s="264">
        <f>('C-54'!D32/'C-53'!D32)*1000</f>
        <v>13.236079720567085</v>
      </c>
      <c r="E32" s="264">
        <f>('C-54'!E32/'C-53'!E32)*1000</f>
        <v>13.437427890162295</v>
      </c>
      <c r="F32" s="264">
        <f>('C-54'!F32/'C-53'!F32)*1000</f>
        <v>13.628798842257599</v>
      </c>
      <c r="G32" s="264">
        <f>('C-54'!G32/'C-53'!G32)*1000</f>
        <v>13.606602100668395</v>
      </c>
      <c r="H32" s="264">
        <f>('C-54'!H32/'C-53'!H32)*1000</f>
        <v>13.643089671500443</v>
      </c>
      <c r="I32" s="264">
        <f>('C-54'!I32/'C-53'!I32)*1000</f>
        <v>13.422163312288534</v>
      </c>
      <c r="J32" s="264">
        <f>('C-54'!J32/'C-53'!J32)*1000</f>
        <v>13.264439933567077</v>
      </c>
      <c r="K32" s="264">
        <f>('C-54'!K32/'C-53'!K32)*1000</f>
        <v>13.006005771780671</v>
      </c>
      <c r="L32" s="264">
        <f>('C-54'!L32/'C-53'!L32)*1000</f>
        <v>12.927902901833411</v>
      </c>
      <c r="M32" s="264">
        <f>('C-54'!M32/'C-53'!M32)*1000</f>
        <v>12.822939339453015</v>
      </c>
      <c r="N32" s="264">
        <f>('C-54'!N32/'C-53'!N32)*1000</f>
        <v>12.425048229834715</v>
      </c>
    </row>
    <row r="33" spans="1:14" ht="12.75" customHeight="1">
      <c r="A33" s="152" t="s">
        <v>45</v>
      </c>
      <c r="B33" s="642">
        <f>('C-54'!B33/'C-53'!B33)*1000</f>
        <v>14.023832721277072</v>
      </c>
      <c r="C33" s="264">
        <f>('C-54'!C33/'C-53'!C33)*1000</f>
        <v>13.932617769827074</v>
      </c>
      <c r="D33" s="264">
        <f>('C-54'!D33/'C-53'!D33)*1000</f>
        <v>14.154154154154154</v>
      </c>
      <c r="E33" s="264">
        <f>('C-54'!E33/'C-53'!E33)*1000</f>
        <v>14.190093708165998</v>
      </c>
      <c r="F33" s="264">
        <f>('C-54'!F33/'C-53'!F33)*1000</f>
        <v>14.462427745664741</v>
      </c>
      <c r="G33" s="264">
        <f>('C-54'!G33/'C-53'!G33)*1000</f>
        <v>14.337596715616613</v>
      </c>
      <c r="H33" s="264">
        <f>('C-54'!H33/'C-53'!H33)*1000</f>
        <v>14.434038430486032</v>
      </c>
      <c r="I33" s="264">
        <f>('C-54'!I33/'C-53'!I33)*1000</f>
        <v>14.213716660893661</v>
      </c>
      <c r="J33" s="264">
        <f>('C-54'!J33/'C-53'!J33)*1000</f>
        <v>14.085420796539918</v>
      </c>
      <c r="K33" s="264">
        <f>('C-54'!K33/'C-53'!K33)*1000</f>
        <v>13.626006678452171</v>
      </c>
      <c r="L33" s="264">
        <f>('C-54'!L33/'C-53'!L33)*1000</f>
        <v>13.418165862220272</v>
      </c>
      <c r="M33" s="264">
        <f>('C-54'!M33/'C-53'!M33)*1000</f>
        <v>13.461703958691912</v>
      </c>
      <c r="N33" s="264">
        <f>('C-54'!N33/'C-53'!N33)*1000</f>
        <v>13.479616007979054</v>
      </c>
    </row>
    <row r="34" spans="1:14" ht="12.75" customHeight="1">
      <c r="A34" s="127" t="s">
        <v>102</v>
      </c>
      <c r="B34" s="642">
        <f>('C-54'!B34/'C-53'!B34)*1000</f>
        <v>11.224884080370943</v>
      </c>
      <c r="C34" s="264">
        <f>('C-54'!C34/'C-53'!C34)*1000</f>
        <v>10.609480812641085</v>
      </c>
      <c r="D34" s="264">
        <f>('C-54'!D34/'C-53'!D34)*1000</f>
        <v>11.76470588235294</v>
      </c>
      <c r="E34" s="264">
        <f>('C-54'!E34/'C-53'!E34)*1000</f>
        <v>12.860892388451445</v>
      </c>
      <c r="F34" s="264">
        <f>('C-54'!F34/'C-53'!F34)*1000</f>
        <v>12.531969309462916</v>
      </c>
      <c r="G34" s="264">
        <f>('C-54'!G34/'C-53'!G34)*1000</f>
        <v>11.780104712041885</v>
      </c>
      <c r="H34" s="264">
        <f>('C-54'!H34/'C-53'!H34)*1000</f>
        <v>12.276214833759589</v>
      </c>
      <c r="I34" s="264">
        <f>('C-54'!I34/'C-53'!I34)*1000</f>
        <v>11.192214111922141</v>
      </c>
      <c r="J34" s="264">
        <f>('C-54'!J34/'C-53'!J34)*1000</f>
        <v>11.061946902654867</v>
      </c>
      <c r="K34" s="264">
        <f>('C-54'!K34/'C-53'!K34)*1000</f>
        <v>10.381355932203391</v>
      </c>
      <c r="L34" s="264">
        <f>('C-54'!L34/'C-53'!L34)*1000</f>
        <v>10.48951048951049</v>
      </c>
      <c r="M34" s="264">
        <f>('C-54'!M34/'C-53'!M34)*1000</f>
        <v>10.176991150442477</v>
      </c>
      <c r="N34" s="264">
        <f>('C-54'!N34/'C-53'!N34)*1000</f>
        <v>10.460992907801419</v>
      </c>
    </row>
    <row r="35" spans="1:14" ht="12.75" customHeight="1">
      <c r="A35" s="127" t="s">
        <v>47</v>
      </c>
      <c r="B35" s="642">
        <f>('C-54'!B35/'C-53'!B35)*1000</f>
        <v>12.510974539069361</v>
      </c>
      <c r="C35" s="264">
        <f>('C-54'!C35/'C-53'!C35)*1000</f>
        <v>13.145539906103286</v>
      </c>
      <c r="D35" s="264">
        <f>('C-54'!D35/'C-53'!D35)*1000</f>
        <v>12.637362637362635</v>
      </c>
      <c r="E35" s="264">
        <f>('C-54'!E35/'C-53'!E35)*1000</f>
        <v>13.483146067415731</v>
      </c>
      <c r="F35" s="264">
        <f>('C-54'!F35/'C-53'!F35)*1000</f>
        <v>10.227272727272727</v>
      </c>
      <c r="G35" s="264">
        <f>('C-54'!G35/'C-53'!G35)*1000</f>
        <v>11.560693641618496</v>
      </c>
      <c r="H35" s="264">
        <f>('C-54'!H35/'C-53'!H35)*1000</f>
        <v>11.409395973154362</v>
      </c>
      <c r="I35" s="264">
        <f>('C-54'!I35/'C-53'!I35)*1000</f>
        <v>13.245033112582782</v>
      </c>
      <c r="J35" s="264">
        <f>('C-54'!J35/'C-53'!J35)*1000</f>
        <v>12.352941176470589</v>
      </c>
      <c r="K35" s="264">
        <f>('C-54'!K35/'C-53'!K35)*1000</f>
        <v>12.264150943396228</v>
      </c>
      <c r="L35" s="264">
        <f>('C-54'!L35/'C-53'!L35)*1000</f>
        <v>13.043478260869566</v>
      </c>
      <c r="M35" s="264">
        <f>('C-54'!M35/'C-53'!M35)*1000</f>
        <v>13.157894736842104</v>
      </c>
      <c r="N35" s="264">
        <f>('C-54'!N35/'C-53'!N35)*1000</f>
        <v>12.970711297071132</v>
      </c>
    </row>
    <row r="36" spans="1:14" ht="12.75" customHeight="1">
      <c r="A36" s="127" t="s">
        <v>48</v>
      </c>
      <c r="B36" s="642">
        <f>('C-54'!B36/'C-53'!B36)*1000</f>
        <v>11.993582029683113</v>
      </c>
      <c r="C36" s="264">
        <f>('C-54'!C36/'C-53'!C36)*1000</f>
        <v>11.920529801324504</v>
      </c>
      <c r="D36" s="264">
        <f>('C-54'!D36/'C-53'!D36)*1000</f>
        <v>15.000000000000002</v>
      </c>
      <c r="E36" s="264">
        <f>('C-54'!E36/'C-53'!E36)*1000</f>
        <v>13.103448275862068</v>
      </c>
      <c r="F36" s="264">
        <f>('C-54'!F36/'C-53'!F36)*1000</f>
        <v>13.385826771653543</v>
      </c>
      <c r="G36" s="264">
        <f>('C-54'!G36/'C-53'!G36)*1000</f>
        <v>11.931818181818182</v>
      </c>
      <c r="H36" s="264">
        <f>('C-54'!H36/'C-53'!H36)*1000</f>
        <v>11.16504854368932</v>
      </c>
      <c r="I36" s="264">
        <f>('C-54'!I36/'C-53'!I36)*1000</f>
        <v>11.415525114155251</v>
      </c>
      <c r="J36" s="264">
        <f>('C-54'!J36/'C-53'!J36)*1000</f>
        <v>11.483253588516746</v>
      </c>
      <c r="K36" s="264">
        <f>('C-54'!K36/'C-53'!K36)*1000</f>
        <v>11.507936507936506</v>
      </c>
      <c r="L36" s="264">
        <f>('C-54'!L36/'C-53'!L36)*1000</f>
        <v>11.068702290076336</v>
      </c>
      <c r="M36" s="264">
        <f>('C-54'!M36/'C-53'!M36)*1000</f>
        <v>12.167300380228138</v>
      </c>
      <c r="N36" s="264">
        <f>('C-54'!N36/'C-53'!N36)*1000</f>
        <v>12.121212121212123</v>
      </c>
    </row>
    <row r="37" spans="1:14" ht="12.75" customHeight="1" thickBot="1">
      <c r="A37" s="154" t="s">
        <v>49</v>
      </c>
      <c r="B37" s="643">
        <f>('C-54'!B37/'C-53'!B37)*1000</f>
        <v>17.51552795031056</v>
      </c>
      <c r="C37" s="265">
        <f>('C-54'!C37/'C-53'!C37)*1000</f>
        <v>18.75</v>
      </c>
      <c r="D37" s="265">
        <f>('C-54'!D37/'C-53'!D37)*1000</f>
        <v>19.327731092436974</v>
      </c>
      <c r="E37" s="265">
        <f>('C-54'!E37/'C-53'!E37)*1000</f>
        <v>17.687074829931973</v>
      </c>
      <c r="F37" s="265">
        <f>('C-54'!F37/'C-53'!F37)*1000</f>
        <v>17.96875</v>
      </c>
      <c r="G37" s="265">
        <f>('C-54'!G37/'C-53'!G37)*1000</f>
        <v>17.567567567567568</v>
      </c>
      <c r="H37" s="265">
        <f>('C-54'!H37/'C-53'!H37)*1000</f>
        <v>17.1875</v>
      </c>
      <c r="I37" s="265">
        <f>('C-54'!I37/'C-53'!I37)*1000</f>
        <v>17.037037037037035</v>
      </c>
      <c r="J37" s="265">
        <f>('C-54'!J37/'C-53'!J37)*1000</f>
        <v>16.901408450704224</v>
      </c>
      <c r="K37" s="265">
        <f>('C-54'!K37/'C-53'!K37)*1000</f>
        <v>17.948717948717952</v>
      </c>
      <c r="L37" s="265">
        <f>('C-54'!L37/'C-53'!L37)*1000</f>
        <v>17.886178861788618</v>
      </c>
      <c r="M37" s="265">
        <f>('C-54'!M37/'C-53'!M37)*1000</f>
        <v>17.460317460317462</v>
      </c>
      <c r="N37" s="265">
        <f>('C-54'!N37/'C-53'!N37)*1000</f>
        <v>15.384615384615385</v>
      </c>
    </row>
    <row r="38" spans="1:14" ht="9" customHeight="1">
      <c r="A38" s="778" t="s">
        <v>402</v>
      </c>
      <c r="B38" s="814"/>
      <c r="C38" s="814"/>
      <c r="D38" s="814"/>
      <c r="E38" s="814"/>
      <c r="F38" s="257"/>
      <c r="G38" s="134"/>
      <c r="H38" s="134"/>
      <c r="I38" s="134"/>
      <c r="J38" s="134"/>
      <c r="K38" s="134"/>
      <c r="L38" s="134"/>
      <c r="M38" s="134"/>
      <c r="N38" s="134"/>
    </row>
    <row r="39" spans="1:14" ht="9" customHeight="1">
      <c r="A39" s="778" t="s">
        <v>359</v>
      </c>
      <c r="B39" s="811"/>
      <c r="C39" s="811"/>
      <c r="D39" s="811"/>
      <c r="E39" s="811"/>
      <c r="F39" s="257"/>
      <c r="G39" s="134"/>
      <c r="H39" s="134"/>
      <c r="I39" s="134"/>
      <c r="J39" s="134"/>
      <c r="K39" s="134"/>
      <c r="L39" s="134"/>
      <c r="M39" s="134"/>
      <c r="N39" s="134"/>
    </row>
    <row r="40" spans="1:14" ht="9" customHeight="1">
      <c r="A40" s="780" t="s">
        <v>358</v>
      </c>
      <c r="B40" s="812"/>
      <c r="C40" s="812"/>
      <c r="D40" s="812"/>
      <c r="E40" s="811"/>
      <c r="F40" s="257"/>
      <c r="G40" s="134"/>
      <c r="H40" s="134"/>
      <c r="I40" s="134"/>
      <c r="J40" s="134"/>
      <c r="K40" s="134"/>
      <c r="L40" s="134"/>
      <c r="M40" s="134"/>
      <c r="N40" s="134"/>
    </row>
    <row r="41" spans="1:14" ht="13.25" customHeight="1">
      <c r="A41" s="11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</row>
    <row r="42" spans="1:14" ht="13.25" customHeight="1">
      <c r="A42" s="73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</row>
    <row r="43" spans="1:14" ht="13.25" customHeight="1">
      <c r="A43" s="73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</row>
    <row r="44" spans="1:14" ht="13.25" customHeight="1">
      <c r="A44" s="2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</row>
    <row r="45" spans="1:14" ht="13.25" customHeight="1">
      <c r="A45" s="33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</row>
    <row r="46" spans="1:14" ht="13.25" customHeight="1">
      <c r="A46" s="2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</row>
    <row r="47" spans="1:14" ht="13.25" customHeight="1">
      <c r="A47" s="73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</row>
    <row r="48" spans="1:14" ht="13.25" customHeight="1">
      <c r="A48" s="73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</row>
    <row r="49" spans="1:14" ht="13.25" customHeight="1">
      <c r="A49" s="73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</row>
    <row r="50" spans="1:14" ht="13.25" customHeight="1">
      <c r="A50" s="73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</row>
    <row r="51" spans="1:14" ht="13.25" customHeight="1">
      <c r="A51" s="73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</row>
    <row r="52" spans="1:14" ht="13.25" customHeight="1">
      <c r="A52" s="73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</row>
    <row r="53" spans="1:14" ht="13.25" customHeight="1">
      <c r="A53" s="73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</row>
    <row r="54" spans="1:14" ht="13.25" customHeight="1">
      <c r="A54" s="73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</row>
    <row r="55" spans="1:14" ht="13.25" customHeight="1"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</row>
    <row r="56" spans="1:14" ht="13.25" customHeight="1"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</row>
    <row r="57" spans="1:14" ht="13.25" customHeight="1"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</row>
    <row r="58" spans="1:14" ht="13.25" customHeight="1"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</row>
  </sheetData>
  <mergeCells count="1">
    <mergeCell ref="A6:N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7">
    <tabColor theme="9" tint="0.59999389629810485"/>
  </sheetPr>
  <dimension ref="A4:O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10" style="129" customWidth="1"/>
    <col min="3" max="14" width="9" style="129" customWidth="1"/>
    <col min="15" max="16384" width="7" style="129"/>
  </cols>
  <sheetData>
    <row r="4" spans="1:15" ht="13.25" customHeight="1">
      <c r="A4" s="249" t="s">
        <v>529</v>
      </c>
      <c r="B4" s="245"/>
    </row>
    <row r="5" spans="1:15" ht="13.25" customHeight="1">
      <c r="A5" s="252" t="s">
        <v>243</v>
      </c>
      <c r="B5" s="245"/>
    </row>
    <row r="6" spans="1:15" ht="4" customHeight="1" thickBot="1"/>
    <row r="7" spans="1:15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28"/>
    </row>
    <row r="8" spans="1:15" ht="15" customHeight="1">
      <c r="A8" s="604" t="s">
        <v>96</v>
      </c>
      <c r="B8" s="609">
        <f t="shared" ref="B8:B37" si="0">SUM(C8:N8)</f>
        <v>3458391.6204906497</v>
      </c>
      <c r="C8" s="609">
        <f t="shared" ref="C8:N8" si="1">(C9+C10+C11+C12+C13+C17+C18+C19+C20+C21+C22+C23+C24+C25+C26+C27+C28+C29+C32+C33+C34+C35+C36+C37)</f>
        <v>271415</v>
      </c>
      <c r="D8" s="609">
        <f t="shared" si="1"/>
        <v>271491.05283846997</v>
      </c>
      <c r="E8" s="609">
        <f t="shared" si="1"/>
        <v>270029.34759829997</v>
      </c>
      <c r="F8" s="609">
        <f t="shared" si="1"/>
        <v>282603.18235813</v>
      </c>
      <c r="G8" s="609">
        <f t="shared" si="1"/>
        <v>284151.36581796</v>
      </c>
      <c r="H8" s="609">
        <f t="shared" si="1"/>
        <v>291121.85187779</v>
      </c>
      <c r="I8" s="609">
        <f t="shared" si="1"/>
        <v>305107</v>
      </c>
      <c r="J8" s="609">
        <f t="shared" si="1"/>
        <v>294984</v>
      </c>
      <c r="K8" s="609">
        <f t="shared" si="1"/>
        <v>286859</v>
      </c>
      <c r="L8" s="609">
        <f t="shared" si="1"/>
        <v>287461</v>
      </c>
      <c r="M8" s="609">
        <f t="shared" si="1"/>
        <v>286011</v>
      </c>
      <c r="N8" s="609">
        <f t="shared" si="1"/>
        <v>327157.82</v>
      </c>
      <c r="O8" s="158"/>
    </row>
    <row r="9" spans="1:15" ht="12.75" customHeight="1">
      <c r="A9" s="152" t="s">
        <v>21</v>
      </c>
      <c r="B9" s="637">
        <f t="shared" si="0"/>
        <v>5942</v>
      </c>
      <c r="C9" s="258">
        <v>547</v>
      </c>
      <c r="D9" s="258">
        <v>569</v>
      </c>
      <c r="E9" s="258">
        <v>574</v>
      </c>
      <c r="F9" s="258">
        <v>446</v>
      </c>
      <c r="G9" s="258">
        <v>497</v>
      </c>
      <c r="H9" s="258">
        <v>504</v>
      </c>
      <c r="I9" s="258">
        <v>475</v>
      </c>
      <c r="J9" s="258">
        <v>461</v>
      </c>
      <c r="K9" s="258">
        <v>548</v>
      </c>
      <c r="L9" s="258">
        <v>444</v>
      </c>
      <c r="M9" s="258">
        <v>434</v>
      </c>
      <c r="N9" s="258">
        <v>443</v>
      </c>
      <c r="O9" s="158"/>
    </row>
    <row r="10" spans="1:15" ht="12.75" customHeight="1">
      <c r="A10" s="152" t="s">
        <v>22</v>
      </c>
      <c r="B10" s="637">
        <f t="shared" si="0"/>
        <v>114661.91179065</v>
      </c>
      <c r="C10" s="258">
        <v>9612</v>
      </c>
      <c r="D10" s="258">
        <v>7864.512838470001</v>
      </c>
      <c r="E10" s="258">
        <v>8738.3475982999989</v>
      </c>
      <c r="F10" s="258">
        <v>9612.1823581300014</v>
      </c>
      <c r="G10" s="258">
        <v>10486.01711796</v>
      </c>
      <c r="H10" s="258">
        <v>11359.851877790001</v>
      </c>
      <c r="I10" s="258">
        <v>11694</v>
      </c>
      <c r="J10" s="258">
        <v>9787</v>
      </c>
      <c r="K10" s="258">
        <v>8039</v>
      </c>
      <c r="L10" s="258">
        <v>8564</v>
      </c>
      <c r="M10" s="258">
        <v>8437</v>
      </c>
      <c r="N10" s="258">
        <v>10468</v>
      </c>
      <c r="O10" s="158"/>
    </row>
    <row r="11" spans="1:15" ht="12.75" customHeight="1">
      <c r="A11" s="152" t="s">
        <v>23</v>
      </c>
      <c r="B11" s="637">
        <f t="shared" si="0"/>
        <v>30240</v>
      </c>
      <c r="C11" s="258">
        <v>2840</v>
      </c>
      <c r="D11" s="258">
        <v>2583</v>
      </c>
      <c r="E11" s="258">
        <v>2416</v>
      </c>
      <c r="F11" s="258">
        <v>2564</v>
      </c>
      <c r="G11" s="258">
        <v>2348</v>
      </c>
      <c r="H11" s="258">
        <v>2139</v>
      </c>
      <c r="I11" s="258">
        <v>2387</v>
      </c>
      <c r="J11" s="258">
        <v>2130</v>
      </c>
      <c r="K11" s="258">
        <v>2029</v>
      </c>
      <c r="L11" s="258">
        <v>2156</v>
      </c>
      <c r="M11" s="258">
        <v>2267</v>
      </c>
      <c r="N11" s="258">
        <v>4381</v>
      </c>
      <c r="O11" s="158"/>
    </row>
    <row r="12" spans="1:15" ht="12.75" customHeight="1">
      <c r="A12" s="129" t="s">
        <v>24</v>
      </c>
      <c r="B12" s="637">
        <f t="shared" si="0"/>
        <v>346595</v>
      </c>
      <c r="C12" s="258">
        <v>28835</v>
      </c>
      <c r="D12" s="258">
        <v>27773</v>
      </c>
      <c r="E12" s="258">
        <v>27904</v>
      </c>
      <c r="F12" s="258">
        <v>28526</v>
      </c>
      <c r="G12" s="258">
        <v>29329</v>
      </c>
      <c r="H12" s="258">
        <v>29354</v>
      </c>
      <c r="I12" s="258">
        <v>30612</v>
      </c>
      <c r="J12" s="258">
        <v>30220</v>
      </c>
      <c r="K12" s="258">
        <v>29421</v>
      </c>
      <c r="L12" s="258">
        <v>29202</v>
      </c>
      <c r="M12" s="258">
        <v>27330</v>
      </c>
      <c r="N12" s="258">
        <v>28089</v>
      </c>
      <c r="O12" s="158"/>
    </row>
    <row r="13" spans="1:15" ht="12.75" customHeight="1">
      <c r="A13" s="129" t="s">
        <v>25</v>
      </c>
      <c r="B13" s="637">
        <f t="shared" si="0"/>
        <v>142637</v>
      </c>
      <c r="C13" s="258">
        <v>11195</v>
      </c>
      <c r="D13" s="258">
        <v>12259</v>
      </c>
      <c r="E13" s="258">
        <v>10719</v>
      </c>
      <c r="F13" s="258">
        <v>12102</v>
      </c>
      <c r="G13" s="258">
        <v>10476</v>
      </c>
      <c r="H13" s="258">
        <v>11993</v>
      </c>
      <c r="I13" s="258">
        <v>12613</v>
      </c>
      <c r="J13" s="258">
        <v>11864</v>
      </c>
      <c r="K13" s="258">
        <v>11787</v>
      </c>
      <c r="L13" s="258">
        <v>11760</v>
      </c>
      <c r="M13" s="258">
        <v>12892</v>
      </c>
      <c r="N13" s="258">
        <v>12977</v>
      </c>
      <c r="O13" s="158"/>
    </row>
    <row r="14" spans="1:15" ht="12.75" customHeight="1">
      <c r="A14" s="127" t="s">
        <v>97</v>
      </c>
      <c r="B14" s="637">
        <f t="shared" si="0"/>
        <v>56478</v>
      </c>
      <c r="C14" s="258">
        <v>4658</v>
      </c>
      <c r="D14" s="258">
        <v>5033</v>
      </c>
      <c r="E14" s="258">
        <v>4797</v>
      </c>
      <c r="F14" s="258">
        <v>4377</v>
      </c>
      <c r="G14" s="258">
        <v>4250</v>
      </c>
      <c r="H14" s="258">
        <v>4284</v>
      </c>
      <c r="I14" s="258">
        <v>4862</v>
      </c>
      <c r="J14" s="258">
        <v>4739</v>
      </c>
      <c r="K14" s="258">
        <v>4773</v>
      </c>
      <c r="L14" s="258">
        <v>4959</v>
      </c>
      <c r="M14" s="258">
        <v>4959</v>
      </c>
      <c r="N14" s="258">
        <v>4787</v>
      </c>
      <c r="O14" s="158"/>
    </row>
    <row r="15" spans="1:15" ht="12.75" customHeight="1">
      <c r="A15" s="127" t="s">
        <v>98</v>
      </c>
      <c r="B15" s="637">
        <f t="shared" si="0"/>
        <v>47364</v>
      </c>
      <c r="C15" s="258">
        <v>3561</v>
      </c>
      <c r="D15" s="258">
        <v>4229</v>
      </c>
      <c r="E15" s="258">
        <v>3297</v>
      </c>
      <c r="F15" s="258">
        <v>2681</v>
      </c>
      <c r="G15" s="258">
        <v>2547</v>
      </c>
      <c r="H15" s="258">
        <v>4033</v>
      </c>
      <c r="I15" s="258">
        <v>4422</v>
      </c>
      <c r="J15" s="258">
        <v>4178</v>
      </c>
      <c r="K15" s="258">
        <v>4017</v>
      </c>
      <c r="L15" s="258">
        <v>3937</v>
      </c>
      <c r="M15" s="258">
        <v>5145</v>
      </c>
      <c r="N15" s="258">
        <v>5317</v>
      </c>
      <c r="O15" s="158"/>
    </row>
    <row r="16" spans="1:15" ht="12.75" customHeight="1">
      <c r="A16" s="127" t="s">
        <v>99</v>
      </c>
      <c r="B16" s="637">
        <f t="shared" si="0"/>
        <v>38795</v>
      </c>
      <c r="C16" s="258">
        <v>2976</v>
      </c>
      <c r="D16" s="258">
        <v>2997</v>
      </c>
      <c r="E16" s="258">
        <v>2625</v>
      </c>
      <c r="F16" s="258">
        <v>5044</v>
      </c>
      <c r="G16" s="258">
        <v>3679</v>
      </c>
      <c r="H16" s="258">
        <v>3676</v>
      </c>
      <c r="I16" s="258">
        <v>3329</v>
      </c>
      <c r="J16" s="258">
        <v>2947</v>
      </c>
      <c r="K16" s="258">
        <v>2997</v>
      </c>
      <c r="L16" s="258">
        <v>2864</v>
      </c>
      <c r="M16" s="258">
        <v>2788</v>
      </c>
      <c r="N16" s="258">
        <v>2873</v>
      </c>
      <c r="O16" s="158"/>
    </row>
    <row r="17" spans="1:15" ht="12.75" customHeight="1">
      <c r="A17" s="152" t="s">
        <v>29</v>
      </c>
      <c r="B17" s="637">
        <f t="shared" si="0"/>
        <v>32121</v>
      </c>
      <c r="C17" s="258">
        <v>2724</v>
      </c>
      <c r="D17" s="258">
        <v>2695</v>
      </c>
      <c r="E17" s="258">
        <v>2579</v>
      </c>
      <c r="F17" s="258">
        <v>2166</v>
      </c>
      <c r="G17" s="258">
        <v>2387</v>
      </c>
      <c r="H17" s="258">
        <v>2525</v>
      </c>
      <c r="I17" s="258">
        <v>2662</v>
      </c>
      <c r="J17" s="258">
        <v>2682</v>
      </c>
      <c r="K17" s="258">
        <v>2732</v>
      </c>
      <c r="L17" s="258">
        <v>2760</v>
      </c>
      <c r="M17" s="258">
        <v>2846</v>
      </c>
      <c r="N17" s="258">
        <v>3363</v>
      </c>
      <c r="O17" s="158"/>
    </row>
    <row r="18" spans="1:15" ht="12.75" customHeight="1">
      <c r="A18" s="129" t="s">
        <v>30</v>
      </c>
      <c r="B18" s="637">
        <f t="shared" si="0"/>
        <v>61807</v>
      </c>
      <c r="C18" s="258">
        <v>5123</v>
      </c>
      <c r="D18" s="258">
        <v>4639</v>
      </c>
      <c r="E18" s="258">
        <v>4812</v>
      </c>
      <c r="F18" s="258">
        <v>5202</v>
      </c>
      <c r="G18" s="258">
        <v>5212</v>
      </c>
      <c r="H18" s="258">
        <v>5103</v>
      </c>
      <c r="I18" s="258">
        <v>6112</v>
      </c>
      <c r="J18" s="258">
        <v>5002</v>
      </c>
      <c r="K18" s="258">
        <v>5202</v>
      </c>
      <c r="L18" s="258">
        <v>5314</v>
      </c>
      <c r="M18" s="258">
        <v>4412</v>
      </c>
      <c r="N18" s="258">
        <v>5674</v>
      </c>
      <c r="O18" s="158"/>
    </row>
    <row r="19" spans="1:15" ht="12.75" customHeight="1">
      <c r="A19" s="129" t="s">
        <v>31</v>
      </c>
      <c r="B19" s="637">
        <f t="shared" si="0"/>
        <v>1241576.4887000001</v>
      </c>
      <c r="C19" s="258">
        <v>99945</v>
      </c>
      <c r="D19" s="258">
        <v>101638.14</v>
      </c>
      <c r="E19" s="258">
        <v>97694</v>
      </c>
      <c r="F19" s="258">
        <v>100737</v>
      </c>
      <c r="G19" s="258">
        <v>100262.3487</v>
      </c>
      <c r="H19" s="258">
        <v>101939</v>
      </c>
      <c r="I19" s="258">
        <v>105728</v>
      </c>
      <c r="J19" s="258">
        <v>105190</v>
      </c>
      <c r="K19" s="258">
        <v>102344</v>
      </c>
      <c r="L19" s="258">
        <v>102276</v>
      </c>
      <c r="M19" s="258">
        <v>103685</v>
      </c>
      <c r="N19" s="258">
        <v>120138</v>
      </c>
      <c r="O19" s="158"/>
    </row>
    <row r="20" spans="1:15" ht="12.75" customHeight="1">
      <c r="A20" s="152" t="s">
        <v>32</v>
      </c>
      <c r="B20" s="637">
        <f t="shared" si="0"/>
        <v>280296</v>
      </c>
      <c r="C20" s="258">
        <v>20345</v>
      </c>
      <c r="D20" s="258">
        <v>21297</v>
      </c>
      <c r="E20" s="258">
        <v>18156</v>
      </c>
      <c r="F20" s="258">
        <v>20377</v>
      </c>
      <c r="G20" s="258">
        <v>20104</v>
      </c>
      <c r="H20" s="258">
        <v>22486</v>
      </c>
      <c r="I20" s="258">
        <v>23745</v>
      </c>
      <c r="J20" s="258">
        <v>25836</v>
      </c>
      <c r="K20" s="258">
        <v>25543</v>
      </c>
      <c r="L20" s="258">
        <v>26621</v>
      </c>
      <c r="M20" s="258">
        <v>25886</v>
      </c>
      <c r="N20" s="258">
        <v>29900</v>
      </c>
      <c r="O20" s="158"/>
    </row>
    <row r="21" spans="1:15" ht="12.75" customHeight="1">
      <c r="A21" s="152" t="s">
        <v>33</v>
      </c>
      <c r="B21" s="637">
        <f t="shared" si="0"/>
        <v>211891</v>
      </c>
      <c r="C21" s="258">
        <v>12412</v>
      </c>
      <c r="D21" s="258">
        <v>11468</v>
      </c>
      <c r="E21" s="258">
        <v>15838</v>
      </c>
      <c r="F21" s="258">
        <v>17297</v>
      </c>
      <c r="G21" s="258">
        <v>18312</v>
      </c>
      <c r="H21" s="258">
        <v>17440</v>
      </c>
      <c r="I21" s="258">
        <v>23189</v>
      </c>
      <c r="J21" s="258">
        <v>19796</v>
      </c>
      <c r="K21" s="258">
        <v>18945</v>
      </c>
      <c r="L21" s="258">
        <v>19610</v>
      </c>
      <c r="M21" s="258">
        <v>17711</v>
      </c>
      <c r="N21" s="258">
        <v>19873</v>
      </c>
      <c r="O21" s="158"/>
    </row>
    <row r="22" spans="1:15" ht="12.75" customHeight="1">
      <c r="A22" s="152" t="s">
        <v>34</v>
      </c>
      <c r="B22" s="637">
        <f t="shared" si="0"/>
        <v>38987</v>
      </c>
      <c r="C22" s="258">
        <v>2015</v>
      </c>
      <c r="D22" s="258">
        <v>2201</v>
      </c>
      <c r="E22" s="258">
        <v>2839</v>
      </c>
      <c r="F22" s="258">
        <v>3474</v>
      </c>
      <c r="G22" s="258">
        <v>3857</v>
      </c>
      <c r="H22" s="258">
        <v>4436</v>
      </c>
      <c r="I22" s="258">
        <v>4811</v>
      </c>
      <c r="J22" s="258">
        <v>3932</v>
      </c>
      <c r="K22" s="258">
        <v>3335</v>
      </c>
      <c r="L22" s="258">
        <v>2425</v>
      </c>
      <c r="M22" s="258">
        <v>2401</v>
      </c>
      <c r="N22" s="258">
        <v>3261</v>
      </c>
      <c r="O22" s="158"/>
    </row>
    <row r="23" spans="1:15" ht="12.75" customHeight="1">
      <c r="A23" s="152" t="s">
        <v>35</v>
      </c>
      <c r="B23" s="637">
        <f t="shared" si="0"/>
        <v>122779</v>
      </c>
      <c r="C23" s="258">
        <v>10448</v>
      </c>
      <c r="D23" s="258">
        <v>9952</v>
      </c>
      <c r="E23" s="258">
        <v>10158</v>
      </c>
      <c r="F23" s="258">
        <v>9411</v>
      </c>
      <c r="G23" s="258">
        <v>9881</v>
      </c>
      <c r="H23" s="258">
        <v>10103</v>
      </c>
      <c r="I23" s="258">
        <v>10237</v>
      </c>
      <c r="J23" s="258">
        <v>10192</v>
      </c>
      <c r="K23" s="258">
        <v>10213</v>
      </c>
      <c r="L23" s="258">
        <v>10123</v>
      </c>
      <c r="M23" s="258">
        <v>10054</v>
      </c>
      <c r="N23" s="258">
        <v>12007</v>
      </c>
      <c r="O23" s="158"/>
    </row>
    <row r="24" spans="1:15" ht="12.75" customHeight="1">
      <c r="A24" s="152" t="s">
        <v>36</v>
      </c>
      <c r="B24" s="637">
        <f t="shared" si="0"/>
        <v>35892.300000000003</v>
      </c>
      <c r="C24" s="258">
        <v>2994</v>
      </c>
      <c r="D24" s="258">
        <v>2840.3</v>
      </c>
      <c r="E24" s="258">
        <v>2798</v>
      </c>
      <c r="F24" s="258">
        <v>3042</v>
      </c>
      <c r="G24" s="258">
        <v>3168</v>
      </c>
      <c r="H24" s="258">
        <v>3212</v>
      </c>
      <c r="I24" s="258">
        <v>2987</v>
      </c>
      <c r="J24" s="258">
        <v>2687</v>
      </c>
      <c r="K24" s="258">
        <v>2782</v>
      </c>
      <c r="L24" s="258">
        <v>2904</v>
      </c>
      <c r="M24" s="258">
        <v>2974</v>
      </c>
      <c r="N24" s="258">
        <v>3504</v>
      </c>
      <c r="O24" s="158"/>
    </row>
    <row r="25" spans="1:15" ht="12.75" customHeight="1">
      <c r="A25" s="129" t="s">
        <v>37</v>
      </c>
      <c r="B25" s="637">
        <f t="shared" si="0"/>
        <v>214046</v>
      </c>
      <c r="C25" s="258">
        <v>17266</v>
      </c>
      <c r="D25" s="258">
        <v>17573</v>
      </c>
      <c r="E25" s="258">
        <v>17640</v>
      </c>
      <c r="F25" s="258">
        <v>17068</v>
      </c>
      <c r="G25" s="258">
        <v>17274</v>
      </c>
      <c r="H25" s="258">
        <v>17451</v>
      </c>
      <c r="I25" s="258">
        <v>17798</v>
      </c>
      <c r="J25" s="258">
        <v>18117</v>
      </c>
      <c r="K25" s="258">
        <v>18167</v>
      </c>
      <c r="L25" s="258">
        <v>18260</v>
      </c>
      <c r="M25" s="258">
        <v>18327</v>
      </c>
      <c r="N25" s="258">
        <v>19105</v>
      </c>
      <c r="O25" s="158"/>
    </row>
    <row r="26" spans="1:15" ht="12.75" customHeight="1">
      <c r="A26" s="152" t="s">
        <v>38</v>
      </c>
      <c r="B26" s="637">
        <f t="shared" si="0"/>
        <v>26968</v>
      </c>
      <c r="C26" s="258">
        <v>2107</v>
      </c>
      <c r="D26" s="258">
        <v>2072</v>
      </c>
      <c r="E26" s="258">
        <v>2330</v>
      </c>
      <c r="F26" s="258">
        <v>2031</v>
      </c>
      <c r="G26" s="258">
        <v>2517</v>
      </c>
      <c r="H26" s="258">
        <v>2212</v>
      </c>
      <c r="I26" s="258">
        <v>2221</v>
      </c>
      <c r="J26" s="258">
        <v>2027</v>
      </c>
      <c r="K26" s="258">
        <v>2022</v>
      </c>
      <c r="L26" s="258">
        <v>2266</v>
      </c>
      <c r="M26" s="258">
        <v>2341</v>
      </c>
      <c r="N26" s="258">
        <v>2822</v>
      </c>
      <c r="O26" s="158"/>
    </row>
    <row r="27" spans="1:15" ht="12.75" customHeight="1">
      <c r="A27" s="152" t="s">
        <v>39</v>
      </c>
      <c r="B27" s="637">
        <f t="shared" si="0"/>
        <v>70732</v>
      </c>
      <c r="C27" s="258">
        <v>5737</v>
      </c>
      <c r="D27" s="258">
        <v>5792</v>
      </c>
      <c r="E27" s="258">
        <v>5754</v>
      </c>
      <c r="F27" s="258">
        <v>5781</v>
      </c>
      <c r="G27" s="258">
        <v>6111</v>
      </c>
      <c r="H27" s="258">
        <v>5855</v>
      </c>
      <c r="I27" s="258">
        <v>5796</v>
      </c>
      <c r="J27" s="258">
        <v>5856</v>
      </c>
      <c r="K27" s="258">
        <v>5827</v>
      </c>
      <c r="L27" s="258">
        <v>5851</v>
      </c>
      <c r="M27" s="258">
        <v>6047</v>
      </c>
      <c r="N27" s="258">
        <v>6325</v>
      </c>
      <c r="O27" s="158"/>
    </row>
    <row r="28" spans="1:15" ht="12.75" customHeight="1">
      <c r="A28" s="152" t="s">
        <v>40</v>
      </c>
      <c r="B28" s="637">
        <f t="shared" si="0"/>
        <v>61979.82</v>
      </c>
      <c r="C28" s="258">
        <v>4420</v>
      </c>
      <c r="D28" s="258">
        <v>4245</v>
      </c>
      <c r="E28" s="258">
        <v>5428</v>
      </c>
      <c r="F28" s="258">
        <v>5680</v>
      </c>
      <c r="G28" s="258">
        <v>6346</v>
      </c>
      <c r="H28" s="258">
        <v>5710</v>
      </c>
      <c r="I28" s="258">
        <v>6237</v>
      </c>
      <c r="J28" s="258">
        <v>5369</v>
      </c>
      <c r="K28" s="258">
        <v>4480</v>
      </c>
      <c r="L28" s="258">
        <v>4325</v>
      </c>
      <c r="M28" s="258">
        <v>4738</v>
      </c>
      <c r="N28" s="258">
        <v>5001.82</v>
      </c>
      <c r="O28" s="158"/>
    </row>
    <row r="29" spans="1:15" ht="12.75" customHeight="1">
      <c r="A29" s="129" t="s">
        <v>41</v>
      </c>
      <c r="B29" s="637">
        <f t="shared" si="0"/>
        <v>60118.1</v>
      </c>
      <c r="C29" s="258">
        <v>5451</v>
      </c>
      <c r="D29" s="258">
        <v>5244.1</v>
      </c>
      <c r="E29" s="258">
        <v>5296</v>
      </c>
      <c r="F29" s="258">
        <v>4990</v>
      </c>
      <c r="G29" s="258">
        <v>5028</v>
      </c>
      <c r="H29" s="258">
        <v>4839</v>
      </c>
      <c r="I29" s="258">
        <v>4919</v>
      </c>
      <c r="J29" s="258">
        <v>4688</v>
      </c>
      <c r="K29" s="258">
        <v>4811</v>
      </c>
      <c r="L29" s="258">
        <v>4705</v>
      </c>
      <c r="M29" s="258">
        <v>4862</v>
      </c>
      <c r="N29" s="258">
        <v>5285</v>
      </c>
      <c r="O29" s="158"/>
    </row>
    <row r="30" spans="1:15" ht="12.75" customHeight="1">
      <c r="A30" s="127" t="s">
        <v>100</v>
      </c>
      <c r="B30" s="637">
        <f t="shared" si="0"/>
        <v>21959</v>
      </c>
      <c r="C30" s="258">
        <v>2064</v>
      </c>
      <c r="D30" s="258">
        <v>2004</v>
      </c>
      <c r="E30" s="258">
        <v>1998</v>
      </c>
      <c r="F30" s="258">
        <v>1863</v>
      </c>
      <c r="G30" s="258">
        <v>1814</v>
      </c>
      <c r="H30" s="258">
        <v>1742</v>
      </c>
      <c r="I30" s="258">
        <v>1799</v>
      </c>
      <c r="J30" s="258">
        <v>1684</v>
      </c>
      <c r="K30" s="258">
        <v>1712</v>
      </c>
      <c r="L30" s="258">
        <v>1699</v>
      </c>
      <c r="M30" s="258">
        <v>1756</v>
      </c>
      <c r="N30" s="258">
        <v>1824</v>
      </c>
      <c r="O30" s="158"/>
    </row>
    <row r="31" spans="1:15" ht="12.75" customHeight="1">
      <c r="A31" s="127" t="s">
        <v>101</v>
      </c>
      <c r="B31" s="637">
        <f t="shared" si="0"/>
        <v>38159.1</v>
      </c>
      <c r="C31" s="258">
        <v>3387</v>
      </c>
      <c r="D31" s="258">
        <v>3240.1</v>
      </c>
      <c r="E31" s="258">
        <v>3298</v>
      </c>
      <c r="F31" s="258">
        <v>3127</v>
      </c>
      <c r="G31" s="258">
        <v>3214</v>
      </c>
      <c r="H31" s="258">
        <v>3097</v>
      </c>
      <c r="I31" s="258">
        <v>3120</v>
      </c>
      <c r="J31" s="258">
        <v>3004</v>
      </c>
      <c r="K31" s="258">
        <v>3099</v>
      </c>
      <c r="L31" s="258">
        <v>3006</v>
      </c>
      <c r="M31" s="258">
        <v>3106</v>
      </c>
      <c r="N31" s="258">
        <v>3461</v>
      </c>
      <c r="O31" s="158"/>
    </row>
    <row r="32" spans="1:15" ht="12.75" customHeight="1">
      <c r="A32" s="152" t="s">
        <v>44</v>
      </c>
      <c r="B32" s="637">
        <f t="shared" si="0"/>
        <v>128736</v>
      </c>
      <c r="C32" s="258">
        <v>9390</v>
      </c>
      <c r="D32" s="258">
        <v>9848</v>
      </c>
      <c r="E32" s="258">
        <v>10154</v>
      </c>
      <c r="F32" s="258">
        <v>12056</v>
      </c>
      <c r="G32" s="258">
        <v>10914</v>
      </c>
      <c r="H32" s="258">
        <v>11578</v>
      </c>
      <c r="I32" s="258">
        <v>11023</v>
      </c>
      <c r="J32" s="258">
        <v>10058</v>
      </c>
      <c r="K32" s="258">
        <v>10867</v>
      </c>
      <c r="L32" s="258">
        <v>10684</v>
      </c>
      <c r="M32" s="258">
        <v>10641</v>
      </c>
      <c r="N32" s="258">
        <v>11523</v>
      </c>
      <c r="O32" s="158"/>
    </row>
    <row r="33" spans="1:15" ht="12.75" customHeight="1">
      <c r="A33" s="152" t="s">
        <v>45</v>
      </c>
      <c r="B33" s="637">
        <f t="shared" si="0"/>
        <v>77210</v>
      </c>
      <c r="C33" s="258">
        <v>4605</v>
      </c>
      <c r="D33" s="258">
        <v>5925</v>
      </c>
      <c r="E33" s="258">
        <v>5880</v>
      </c>
      <c r="F33" s="258">
        <v>7985</v>
      </c>
      <c r="G33" s="258">
        <v>7980</v>
      </c>
      <c r="H33" s="258">
        <v>7665</v>
      </c>
      <c r="I33" s="258">
        <v>8070</v>
      </c>
      <c r="J33" s="258">
        <v>7085</v>
      </c>
      <c r="K33" s="258">
        <v>5995</v>
      </c>
      <c r="L33" s="258">
        <v>5530</v>
      </c>
      <c r="M33" s="258">
        <v>5545</v>
      </c>
      <c r="N33" s="258">
        <v>4945</v>
      </c>
      <c r="O33" s="158"/>
    </row>
    <row r="34" spans="1:15" ht="12.75" customHeight="1">
      <c r="A34" s="129" t="s">
        <v>46</v>
      </c>
      <c r="B34" s="637">
        <f t="shared" si="0"/>
        <v>74443</v>
      </c>
      <c r="C34" s="258">
        <v>6577</v>
      </c>
      <c r="D34" s="258">
        <v>6293</v>
      </c>
      <c r="E34" s="258">
        <v>6156</v>
      </c>
      <c r="F34" s="258">
        <v>5877</v>
      </c>
      <c r="G34" s="258">
        <v>5321</v>
      </c>
      <c r="H34" s="258">
        <v>6380</v>
      </c>
      <c r="I34" s="258">
        <v>5678</v>
      </c>
      <c r="J34" s="258">
        <v>5907</v>
      </c>
      <c r="K34" s="258">
        <v>5702</v>
      </c>
      <c r="L34" s="258">
        <v>5250</v>
      </c>
      <c r="M34" s="258">
        <v>6025</v>
      </c>
      <c r="N34" s="258">
        <v>9277</v>
      </c>
      <c r="O34" s="158"/>
    </row>
    <row r="35" spans="1:15" ht="12.75" customHeight="1">
      <c r="A35" s="129" t="s">
        <v>47</v>
      </c>
      <c r="B35" s="637">
        <f t="shared" si="0"/>
        <v>44014</v>
      </c>
      <c r="C35" s="258">
        <v>4000</v>
      </c>
      <c r="D35" s="258">
        <v>3810</v>
      </c>
      <c r="E35" s="258">
        <v>3555</v>
      </c>
      <c r="F35" s="258">
        <v>3563</v>
      </c>
      <c r="G35" s="258">
        <v>3449</v>
      </c>
      <c r="H35" s="258">
        <v>3790</v>
      </c>
      <c r="I35" s="258">
        <v>3269</v>
      </c>
      <c r="J35" s="258">
        <v>3290</v>
      </c>
      <c r="K35" s="258">
        <v>3382</v>
      </c>
      <c r="L35" s="258">
        <v>3510</v>
      </c>
      <c r="M35" s="258">
        <v>3566</v>
      </c>
      <c r="N35" s="258">
        <v>4830</v>
      </c>
      <c r="O35" s="158"/>
    </row>
    <row r="36" spans="1:15" ht="12.75" customHeight="1">
      <c r="A36" s="129" t="s">
        <v>48</v>
      </c>
      <c r="B36" s="637">
        <f t="shared" si="0"/>
        <v>15032</v>
      </c>
      <c r="C36" s="258">
        <v>1401</v>
      </c>
      <c r="D36" s="258">
        <v>1395</v>
      </c>
      <c r="E36" s="258">
        <v>1296</v>
      </c>
      <c r="F36" s="258">
        <v>1153</v>
      </c>
      <c r="G36" s="258">
        <v>1225</v>
      </c>
      <c r="H36" s="258">
        <v>1305</v>
      </c>
      <c r="I36" s="258">
        <v>1230</v>
      </c>
      <c r="J36" s="258">
        <v>1194</v>
      </c>
      <c r="K36" s="258">
        <v>1139</v>
      </c>
      <c r="L36" s="258">
        <v>1060</v>
      </c>
      <c r="M36" s="258">
        <v>968</v>
      </c>
      <c r="N36" s="258">
        <v>1666</v>
      </c>
      <c r="O36" s="158"/>
    </row>
    <row r="37" spans="1:15" ht="12.75" customHeight="1" thickBot="1">
      <c r="A37" s="154" t="s">
        <v>49</v>
      </c>
      <c r="B37" s="645">
        <f t="shared" si="0"/>
        <v>19687</v>
      </c>
      <c r="C37" s="259">
        <v>1426</v>
      </c>
      <c r="D37" s="259">
        <v>1515</v>
      </c>
      <c r="E37" s="259">
        <v>1315</v>
      </c>
      <c r="F37" s="259">
        <v>1463</v>
      </c>
      <c r="G37" s="259">
        <v>1667</v>
      </c>
      <c r="H37" s="259">
        <v>1743</v>
      </c>
      <c r="I37" s="259">
        <v>1614</v>
      </c>
      <c r="J37" s="259">
        <v>1614</v>
      </c>
      <c r="K37" s="259">
        <v>1547</v>
      </c>
      <c r="L37" s="259">
        <v>1861</v>
      </c>
      <c r="M37" s="259">
        <v>1622</v>
      </c>
      <c r="N37" s="259">
        <v>2300</v>
      </c>
      <c r="O37" s="158"/>
    </row>
    <row r="38" spans="1:15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5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5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5" ht="13.25" customHeight="1">
      <c r="A41" s="11"/>
    </row>
    <row r="42" spans="1:15" ht="13.25" customHeight="1">
      <c r="A42" s="73"/>
    </row>
    <row r="43" spans="1:15" ht="13.25" customHeight="1">
      <c r="A43" s="73"/>
    </row>
    <row r="44" spans="1:15" ht="13.25" customHeight="1">
      <c r="A44" s="24"/>
    </row>
    <row r="45" spans="1:15" ht="13.25" customHeight="1">
      <c r="A45" s="33"/>
    </row>
    <row r="46" spans="1:15" ht="13.25" customHeight="1">
      <c r="A46" s="24"/>
    </row>
    <row r="47" spans="1:15" ht="13.25" customHeight="1">
      <c r="A47" s="73"/>
    </row>
    <row r="48" spans="1:15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58">
    <tabColor theme="9" tint="0.59999389629810485"/>
  </sheetPr>
  <dimension ref="A2:Z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34" customWidth="1"/>
    <col min="3" max="14" width="9" style="134" customWidth="1"/>
    <col min="15" max="16384" width="7" style="129"/>
  </cols>
  <sheetData>
    <row r="2" spans="1:26" ht="13.25" customHeight="1"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</row>
    <row r="4" spans="1:26" ht="13.25" customHeight="1">
      <c r="A4" s="249" t="s">
        <v>530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Q4" s="128"/>
    </row>
    <row r="5" spans="1:26" ht="13.25" customHeight="1">
      <c r="A5" s="252" t="s">
        <v>236</v>
      </c>
      <c r="B5" s="245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Q5" s="128"/>
    </row>
    <row r="6" spans="1:26" ht="4" customHeight="1" thickBot="1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Q6" s="130"/>
    </row>
    <row r="7" spans="1:26" ht="15" customHeight="1">
      <c r="A7" s="595" t="s">
        <v>18</v>
      </c>
      <c r="B7" s="597" t="s">
        <v>106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  <c r="O7" s="128"/>
      <c r="Q7" s="128"/>
    </row>
    <row r="8" spans="1:26" ht="15" customHeight="1">
      <c r="A8" s="604" t="s">
        <v>96</v>
      </c>
      <c r="B8" s="614">
        <f t="shared" ref="B8:B37" si="0">SUM(C8:N8)</f>
        <v>181403.9</v>
      </c>
      <c r="C8" s="614">
        <f t="shared" ref="C8:N8" si="1">(C9+C10+C11+C12+C13+C17+C18+C19+C20+C21+C22+C23+C24+C25+C26+C27+C28+C29+C32+C33+C34+C35+C36+C37)</f>
        <v>14536.199999999999</v>
      </c>
      <c r="D8" s="614">
        <f t="shared" si="1"/>
        <v>14456.6</v>
      </c>
      <c r="E8" s="614">
        <f t="shared" si="1"/>
        <v>14261.199999999999</v>
      </c>
      <c r="F8" s="614">
        <f t="shared" si="1"/>
        <v>14770</v>
      </c>
      <c r="G8" s="614">
        <f t="shared" si="1"/>
        <v>14736.2</v>
      </c>
      <c r="H8" s="614">
        <f t="shared" si="1"/>
        <v>15190</v>
      </c>
      <c r="I8" s="614">
        <f t="shared" si="1"/>
        <v>16193.699999999997</v>
      </c>
      <c r="J8" s="614">
        <f t="shared" si="1"/>
        <v>15776.999999999998</v>
      </c>
      <c r="K8" s="614">
        <f t="shared" si="1"/>
        <v>15096.300000000001</v>
      </c>
      <c r="L8" s="614">
        <f t="shared" si="1"/>
        <v>14286.699999999999</v>
      </c>
      <c r="M8" s="614">
        <f t="shared" si="1"/>
        <v>14942.9</v>
      </c>
      <c r="N8" s="614">
        <f t="shared" si="1"/>
        <v>17157.099999999999</v>
      </c>
      <c r="O8" s="158"/>
      <c r="Q8" s="134"/>
    </row>
    <row r="9" spans="1:26" ht="12.75" customHeight="1">
      <c r="A9" s="152" t="s">
        <v>21</v>
      </c>
      <c r="B9" s="640">
        <f t="shared" si="0"/>
        <v>284.89999999999998</v>
      </c>
      <c r="C9" s="262">
        <v>23.1</v>
      </c>
      <c r="D9" s="262">
        <v>24.8</v>
      </c>
      <c r="E9" s="262">
        <v>25.6</v>
      </c>
      <c r="F9" s="262">
        <v>23.6</v>
      </c>
      <c r="G9" s="262">
        <v>25.6</v>
      </c>
      <c r="H9" s="262">
        <v>24.6</v>
      </c>
      <c r="I9" s="262">
        <v>20.9</v>
      </c>
      <c r="J9" s="262">
        <v>22.2</v>
      </c>
      <c r="K9" s="262">
        <v>26.4</v>
      </c>
      <c r="L9" s="262">
        <v>22.7</v>
      </c>
      <c r="M9" s="262">
        <v>22</v>
      </c>
      <c r="N9" s="262">
        <v>23.4</v>
      </c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</row>
    <row r="10" spans="1:26" ht="12.75" customHeight="1">
      <c r="A10" s="152" t="s">
        <v>22</v>
      </c>
      <c r="B10" s="640">
        <f t="shared" si="0"/>
        <v>6003.6</v>
      </c>
      <c r="C10" s="262">
        <v>504.6</v>
      </c>
      <c r="D10" s="262">
        <v>412.9</v>
      </c>
      <c r="E10" s="262">
        <v>445.7</v>
      </c>
      <c r="F10" s="262">
        <v>497.4</v>
      </c>
      <c r="G10" s="262">
        <v>534.79999999999995</v>
      </c>
      <c r="H10" s="262">
        <v>587.9</v>
      </c>
      <c r="I10" s="262">
        <v>590.6</v>
      </c>
      <c r="J10" s="262">
        <v>513.79999999999995</v>
      </c>
      <c r="K10" s="262">
        <v>434.1</v>
      </c>
      <c r="L10" s="262">
        <v>449.6</v>
      </c>
      <c r="M10" s="262">
        <v>442.4</v>
      </c>
      <c r="N10" s="262">
        <v>589.79999999999995</v>
      </c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spans="1:26" ht="12.75" customHeight="1">
      <c r="A11" s="152" t="s">
        <v>23</v>
      </c>
      <c r="B11" s="640">
        <f t="shared" si="0"/>
        <v>1521.2</v>
      </c>
      <c r="C11" s="262">
        <v>153.4</v>
      </c>
      <c r="D11" s="262">
        <v>129.6</v>
      </c>
      <c r="E11" s="262">
        <v>124.4</v>
      </c>
      <c r="F11" s="262">
        <v>126.4</v>
      </c>
      <c r="G11" s="262">
        <v>135.69999999999999</v>
      </c>
      <c r="H11" s="262">
        <v>114.7</v>
      </c>
      <c r="I11" s="262">
        <v>116.7</v>
      </c>
      <c r="J11" s="262">
        <v>110.3</v>
      </c>
      <c r="K11" s="262">
        <v>98.1</v>
      </c>
      <c r="L11" s="262">
        <v>101.5</v>
      </c>
      <c r="M11" s="262">
        <v>105.4</v>
      </c>
      <c r="N11" s="262">
        <v>205</v>
      </c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spans="1:26" ht="12.75" customHeight="1">
      <c r="A12" s="129" t="s">
        <v>24</v>
      </c>
      <c r="B12" s="640">
        <f t="shared" si="0"/>
        <v>20469.3</v>
      </c>
      <c r="C12" s="262">
        <v>1778</v>
      </c>
      <c r="D12" s="262">
        <v>1666.8</v>
      </c>
      <c r="E12" s="262">
        <v>1674</v>
      </c>
      <c r="F12" s="262">
        <v>1674.2</v>
      </c>
      <c r="G12" s="262">
        <v>1655.9</v>
      </c>
      <c r="H12" s="262">
        <v>1740.5</v>
      </c>
      <c r="I12" s="262">
        <v>1884.3</v>
      </c>
      <c r="J12" s="262">
        <v>1859.7</v>
      </c>
      <c r="K12" s="262">
        <v>1691.5</v>
      </c>
      <c r="L12" s="262">
        <v>1667.6</v>
      </c>
      <c r="M12" s="262">
        <v>1542.2</v>
      </c>
      <c r="N12" s="262">
        <v>1634.6</v>
      </c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spans="1:26" ht="12.75" customHeight="1">
      <c r="A13" s="129" t="s">
        <v>25</v>
      </c>
      <c r="B13" s="640">
        <f t="shared" si="0"/>
        <v>5891.4</v>
      </c>
      <c r="C13" s="262">
        <v>467.3</v>
      </c>
      <c r="D13" s="262">
        <v>491.6</v>
      </c>
      <c r="E13" s="262">
        <v>446.3</v>
      </c>
      <c r="F13" s="262">
        <v>437.3</v>
      </c>
      <c r="G13" s="262">
        <v>451.6</v>
      </c>
      <c r="H13" s="262">
        <v>499.1</v>
      </c>
      <c r="I13" s="262">
        <v>501.3</v>
      </c>
      <c r="J13" s="262">
        <v>491</v>
      </c>
      <c r="K13" s="262">
        <v>502.5</v>
      </c>
      <c r="L13" s="262">
        <v>494.4</v>
      </c>
      <c r="M13" s="262">
        <v>556.79999999999995</v>
      </c>
      <c r="N13" s="262">
        <v>552.20000000000005</v>
      </c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spans="1:26" ht="12.75" customHeight="1">
      <c r="A14" s="127" t="s">
        <v>97</v>
      </c>
      <c r="B14" s="640">
        <f t="shared" si="0"/>
        <v>2103.2000000000003</v>
      </c>
      <c r="C14" s="262">
        <v>166.4</v>
      </c>
      <c r="D14" s="262">
        <v>186.1</v>
      </c>
      <c r="E14" s="262">
        <v>175.2</v>
      </c>
      <c r="F14" s="262">
        <v>167.6</v>
      </c>
      <c r="G14" s="262">
        <v>158.80000000000001</v>
      </c>
      <c r="H14" s="262">
        <v>158</v>
      </c>
      <c r="I14" s="262">
        <v>176.9</v>
      </c>
      <c r="J14" s="262">
        <v>176</v>
      </c>
      <c r="K14" s="262">
        <v>185.8</v>
      </c>
      <c r="L14" s="262">
        <v>189.4</v>
      </c>
      <c r="M14" s="262">
        <v>189.7</v>
      </c>
      <c r="N14" s="262">
        <v>173.3</v>
      </c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spans="1:26" ht="12.75" customHeight="1">
      <c r="A15" s="127" t="s">
        <v>98</v>
      </c>
      <c r="B15" s="640">
        <f t="shared" si="0"/>
        <v>1996.1000000000001</v>
      </c>
      <c r="C15" s="262">
        <v>155.4</v>
      </c>
      <c r="D15" s="262">
        <v>166.4</v>
      </c>
      <c r="E15" s="262">
        <v>142.5</v>
      </c>
      <c r="F15" s="262">
        <v>110.3</v>
      </c>
      <c r="G15" s="262">
        <v>112.3</v>
      </c>
      <c r="H15" s="262">
        <v>160.4</v>
      </c>
      <c r="I15" s="262">
        <v>170.6</v>
      </c>
      <c r="J15" s="262">
        <v>171.5</v>
      </c>
      <c r="K15" s="262">
        <v>170.3</v>
      </c>
      <c r="L15" s="262">
        <v>169.3</v>
      </c>
      <c r="M15" s="262">
        <v>231.7</v>
      </c>
      <c r="N15" s="262">
        <v>235.4</v>
      </c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spans="1:26" ht="12.75" customHeight="1">
      <c r="A16" s="127" t="s">
        <v>99</v>
      </c>
      <c r="B16" s="640">
        <f t="shared" si="0"/>
        <v>1791.7</v>
      </c>
      <c r="C16" s="262">
        <v>145.5</v>
      </c>
      <c r="D16" s="262">
        <v>139.1</v>
      </c>
      <c r="E16" s="262">
        <v>128.5</v>
      </c>
      <c r="F16" s="262">
        <v>159.4</v>
      </c>
      <c r="G16" s="262">
        <v>180.4</v>
      </c>
      <c r="H16" s="262">
        <v>180.7</v>
      </c>
      <c r="I16" s="262">
        <v>153.69999999999999</v>
      </c>
      <c r="J16" s="262">
        <v>143.5</v>
      </c>
      <c r="K16" s="262">
        <v>146.4</v>
      </c>
      <c r="L16" s="262">
        <v>135.6</v>
      </c>
      <c r="M16" s="262">
        <v>135.4</v>
      </c>
      <c r="N16" s="262">
        <v>143.5</v>
      </c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spans="1:26" ht="12.75" customHeight="1">
      <c r="A17" s="152" t="s">
        <v>29</v>
      </c>
      <c r="B17" s="640">
        <f t="shared" si="0"/>
        <v>1688.1000000000001</v>
      </c>
      <c r="C17" s="262">
        <v>147</v>
      </c>
      <c r="D17" s="262">
        <v>144.1</v>
      </c>
      <c r="E17" s="262">
        <v>136.5</v>
      </c>
      <c r="F17" s="262">
        <v>112.7</v>
      </c>
      <c r="G17" s="262">
        <v>124.2</v>
      </c>
      <c r="H17" s="262">
        <v>132.4</v>
      </c>
      <c r="I17" s="262">
        <v>138.69999999999999</v>
      </c>
      <c r="J17" s="262">
        <v>140.30000000000001</v>
      </c>
      <c r="K17" s="262">
        <v>145.69999999999999</v>
      </c>
      <c r="L17" s="262">
        <v>144.6</v>
      </c>
      <c r="M17" s="262">
        <v>147.9</v>
      </c>
      <c r="N17" s="262">
        <v>174</v>
      </c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spans="1:26" ht="12.75" customHeight="1">
      <c r="A18" s="129" t="s">
        <v>30</v>
      </c>
      <c r="B18" s="640">
        <f t="shared" si="0"/>
        <v>1856.6999999999998</v>
      </c>
      <c r="C18" s="262">
        <v>158.9</v>
      </c>
      <c r="D18" s="262">
        <v>146</v>
      </c>
      <c r="E18" s="262">
        <v>154</v>
      </c>
      <c r="F18" s="262">
        <v>168.1</v>
      </c>
      <c r="G18" s="262">
        <v>167.8</v>
      </c>
      <c r="H18" s="262">
        <v>161</v>
      </c>
      <c r="I18" s="262">
        <v>176.9</v>
      </c>
      <c r="J18" s="262">
        <v>141.4</v>
      </c>
      <c r="K18" s="262">
        <v>145.1</v>
      </c>
      <c r="L18" s="262">
        <v>146.1</v>
      </c>
      <c r="M18" s="262">
        <v>137.80000000000001</v>
      </c>
      <c r="N18" s="262">
        <v>153.6</v>
      </c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spans="1:26" ht="12.75" customHeight="1">
      <c r="A19" s="129" t="s">
        <v>31</v>
      </c>
      <c r="B19" s="640">
        <f t="shared" si="0"/>
        <v>78327.099999999991</v>
      </c>
      <c r="C19" s="262">
        <v>6394.1</v>
      </c>
      <c r="D19" s="262">
        <v>6460.8</v>
      </c>
      <c r="E19" s="262">
        <v>6201.1</v>
      </c>
      <c r="F19" s="262">
        <v>6360.6</v>
      </c>
      <c r="G19" s="262">
        <v>6343.9</v>
      </c>
      <c r="H19" s="262">
        <v>6464.5</v>
      </c>
      <c r="I19" s="262">
        <v>6766.2</v>
      </c>
      <c r="J19" s="262">
        <v>6711.2</v>
      </c>
      <c r="K19" s="262">
        <v>6504.4</v>
      </c>
      <c r="L19" s="262">
        <v>5686.3</v>
      </c>
      <c r="M19" s="262">
        <v>6586.8</v>
      </c>
      <c r="N19" s="262">
        <v>7847.2</v>
      </c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spans="1:26" ht="12.75" customHeight="1">
      <c r="A20" s="152" t="s">
        <v>32</v>
      </c>
      <c r="B20" s="640">
        <f t="shared" si="0"/>
        <v>13365.8</v>
      </c>
      <c r="C20" s="262">
        <v>919.3</v>
      </c>
      <c r="D20" s="262">
        <v>1018.4</v>
      </c>
      <c r="E20" s="262">
        <v>943.5</v>
      </c>
      <c r="F20" s="262">
        <v>1011.6</v>
      </c>
      <c r="G20" s="262">
        <v>952.6</v>
      </c>
      <c r="H20" s="262">
        <v>1059.8</v>
      </c>
      <c r="I20" s="262">
        <v>1179.3</v>
      </c>
      <c r="J20" s="262">
        <v>1285.3</v>
      </c>
      <c r="K20" s="262">
        <v>1214.7</v>
      </c>
      <c r="L20" s="262">
        <v>1287.9000000000001</v>
      </c>
      <c r="M20" s="262">
        <v>1263.0999999999999</v>
      </c>
      <c r="N20" s="262">
        <v>1230.3</v>
      </c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spans="1:26" ht="12.75" customHeight="1">
      <c r="A21" s="152" t="s">
        <v>33</v>
      </c>
      <c r="B21" s="640">
        <f t="shared" si="0"/>
        <v>8016.9999999999991</v>
      </c>
      <c r="C21" s="262">
        <v>458.8</v>
      </c>
      <c r="D21" s="262">
        <v>411.6</v>
      </c>
      <c r="E21" s="262">
        <v>467.6</v>
      </c>
      <c r="F21" s="262">
        <v>651.20000000000005</v>
      </c>
      <c r="G21" s="262">
        <v>596.29999999999995</v>
      </c>
      <c r="H21" s="262">
        <v>590</v>
      </c>
      <c r="I21" s="262">
        <v>1015.9</v>
      </c>
      <c r="J21" s="262">
        <v>848.2</v>
      </c>
      <c r="K21" s="262">
        <v>773.2</v>
      </c>
      <c r="L21" s="262">
        <v>794.9</v>
      </c>
      <c r="M21" s="262">
        <v>683.1</v>
      </c>
      <c r="N21" s="262">
        <v>726.2</v>
      </c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spans="1:26" ht="12.75" customHeight="1">
      <c r="A22" s="152" t="s">
        <v>34</v>
      </c>
      <c r="B22" s="640">
        <f t="shared" si="0"/>
        <v>1451.1</v>
      </c>
      <c r="C22" s="262">
        <v>75.8</v>
      </c>
      <c r="D22" s="262">
        <v>82.7</v>
      </c>
      <c r="E22" s="262">
        <v>105.8</v>
      </c>
      <c r="F22" s="262">
        <v>130.19999999999999</v>
      </c>
      <c r="G22" s="262">
        <v>140.1</v>
      </c>
      <c r="H22" s="262">
        <v>164.9</v>
      </c>
      <c r="I22" s="262">
        <v>181.9</v>
      </c>
      <c r="J22" s="262">
        <v>142.1</v>
      </c>
      <c r="K22" s="262">
        <v>127.7</v>
      </c>
      <c r="L22" s="262">
        <v>91.3</v>
      </c>
      <c r="M22" s="262">
        <v>87.5</v>
      </c>
      <c r="N22" s="262">
        <v>121.1</v>
      </c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spans="1:26" ht="12.75" customHeight="1">
      <c r="A23" s="152" t="s">
        <v>35</v>
      </c>
      <c r="B23" s="640">
        <f t="shared" si="0"/>
        <v>5510.9</v>
      </c>
      <c r="C23" s="262">
        <v>475</v>
      </c>
      <c r="D23" s="262">
        <v>448.3</v>
      </c>
      <c r="E23" s="262">
        <v>455.6</v>
      </c>
      <c r="F23" s="262">
        <v>421.2</v>
      </c>
      <c r="G23" s="262">
        <v>441.1</v>
      </c>
      <c r="H23" s="262">
        <v>450.6</v>
      </c>
      <c r="I23" s="262">
        <v>457.2</v>
      </c>
      <c r="J23" s="262">
        <v>457.5</v>
      </c>
      <c r="K23" s="262">
        <v>459</v>
      </c>
      <c r="L23" s="262">
        <v>452.1</v>
      </c>
      <c r="M23" s="262">
        <v>449.9</v>
      </c>
      <c r="N23" s="262">
        <v>543.4</v>
      </c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spans="1:26" ht="12.75" customHeight="1">
      <c r="A24" s="152" t="s">
        <v>36</v>
      </c>
      <c r="B24" s="640">
        <f t="shared" si="0"/>
        <v>1466.4</v>
      </c>
      <c r="C24" s="262">
        <v>120.6</v>
      </c>
      <c r="D24" s="262">
        <v>119.1</v>
      </c>
      <c r="E24" s="262">
        <v>111.3</v>
      </c>
      <c r="F24" s="262">
        <v>126.4</v>
      </c>
      <c r="G24" s="262">
        <v>132.30000000000001</v>
      </c>
      <c r="H24" s="262">
        <v>133.69999999999999</v>
      </c>
      <c r="I24" s="262">
        <v>115.3</v>
      </c>
      <c r="J24" s="262">
        <v>110.4</v>
      </c>
      <c r="K24" s="262">
        <v>115.4</v>
      </c>
      <c r="L24" s="262">
        <v>120.8</v>
      </c>
      <c r="M24" s="262">
        <v>123.4</v>
      </c>
      <c r="N24" s="262">
        <v>137.69999999999999</v>
      </c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spans="1:26" ht="12.75" customHeight="1">
      <c r="A25" s="129" t="s">
        <v>37</v>
      </c>
      <c r="B25" s="640">
        <f t="shared" si="0"/>
        <v>11997.599999999999</v>
      </c>
      <c r="C25" s="262">
        <v>967.3</v>
      </c>
      <c r="D25" s="262">
        <v>984.8</v>
      </c>
      <c r="E25" s="262">
        <v>988.8</v>
      </c>
      <c r="F25" s="262">
        <v>957.3</v>
      </c>
      <c r="G25" s="262">
        <v>968.7</v>
      </c>
      <c r="H25" s="262">
        <v>978.4</v>
      </c>
      <c r="I25" s="262">
        <v>997.7</v>
      </c>
      <c r="J25" s="262">
        <v>1015.3</v>
      </c>
      <c r="K25" s="262">
        <v>1017.9</v>
      </c>
      <c r="L25" s="262">
        <v>1023.2</v>
      </c>
      <c r="M25" s="262">
        <v>1026.9000000000001</v>
      </c>
      <c r="N25" s="262">
        <v>1071.3</v>
      </c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 spans="1:26" ht="12.75" customHeight="1">
      <c r="A26" s="152" t="s">
        <v>38</v>
      </c>
      <c r="B26" s="640">
        <f t="shared" si="0"/>
        <v>1264.7</v>
      </c>
      <c r="C26" s="262">
        <v>102.2</v>
      </c>
      <c r="D26" s="262">
        <v>98.6</v>
      </c>
      <c r="E26" s="262">
        <v>111</v>
      </c>
      <c r="F26" s="262">
        <v>95.6</v>
      </c>
      <c r="G26" s="262">
        <v>112.6</v>
      </c>
      <c r="H26" s="262">
        <v>104.7</v>
      </c>
      <c r="I26" s="262">
        <v>111.4</v>
      </c>
      <c r="J26" s="262">
        <v>96.4</v>
      </c>
      <c r="K26" s="262">
        <v>84.7</v>
      </c>
      <c r="L26" s="262">
        <v>102.2</v>
      </c>
      <c r="M26" s="262">
        <v>108.5</v>
      </c>
      <c r="N26" s="262">
        <v>136.80000000000001</v>
      </c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spans="1:26" ht="12.75" customHeight="1">
      <c r="A27" s="152" t="s">
        <v>39</v>
      </c>
      <c r="B27" s="640">
        <f t="shared" si="0"/>
        <v>2888.6000000000004</v>
      </c>
      <c r="C27" s="262">
        <v>228.2</v>
      </c>
      <c r="D27" s="262">
        <v>237.6</v>
      </c>
      <c r="E27" s="262">
        <v>234.5</v>
      </c>
      <c r="F27" s="262">
        <v>235.1</v>
      </c>
      <c r="G27" s="262">
        <v>238.5</v>
      </c>
      <c r="H27" s="262">
        <v>243.9</v>
      </c>
      <c r="I27" s="262">
        <v>245.6</v>
      </c>
      <c r="J27" s="262">
        <v>247.9</v>
      </c>
      <c r="K27" s="262">
        <v>241.6</v>
      </c>
      <c r="L27" s="262">
        <v>236.3</v>
      </c>
      <c r="M27" s="262">
        <v>243.8</v>
      </c>
      <c r="N27" s="262">
        <v>255.6</v>
      </c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spans="1:26" ht="12.75" customHeight="1">
      <c r="A28" s="152" t="s">
        <v>40</v>
      </c>
      <c r="B28" s="640">
        <f t="shared" si="0"/>
        <v>2811.2000000000003</v>
      </c>
      <c r="C28" s="262">
        <v>198.1</v>
      </c>
      <c r="D28" s="262">
        <v>193.3</v>
      </c>
      <c r="E28" s="262">
        <v>256</v>
      </c>
      <c r="F28" s="262">
        <v>282.89999999999998</v>
      </c>
      <c r="G28" s="262">
        <v>296</v>
      </c>
      <c r="H28" s="262">
        <v>267.8</v>
      </c>
      <c r="I28" s="262">
        <v>292.39999999999998</v>
      </c>
      <c r="J28" s="262">
        <v>253.4</v>
      </c>
      <c r="K28" s="262">
        <v>205.1</v>
      </c>
      <c r="L28" s="262">
        <v>198.8</v>
      </c>
      <c r="M28" s="262">
        <v>168.9</v>
      </c>
      <c r="N28" s="262">
        <v>198.5</v>
      </c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spans="1:26" ht="12.75" customHeight="1">
      <c r="A29" s="129" t="s">
        <v>41</v>
      </c>
      <c r="B29" s="640">
        <f t="shared" si="0"/>
        <v>2536.2999999999997</v>
      </c>
      <c r="C29" s="262">
        <v>221.9</v>
      </c>
      <c r="D29" s="262">
        <v>218.8</v>
      </c>
      <c r="E29" s="262">
        <v>216</v>
      </c>
      <c r="F29" s="262">
        <v>210.9</v>
      </c>
      <c r="G29" s="262">
        <v>215</v>
      </c>
      <c r="H29" s="262">
        <v>211</v>
      </c>
      <c r="I29" s="262">
        <v>211.8</v>
      </c>
      <c r="J29" s="262">
        <v>200.8</v>
      </c>
      <c r="K29" s="262">
        <v>207.1</v>
      </c>
      <c r="L29" s="262">
        <v>204.7</v>
      </c>
      <c r="M29" s="262">
        <v>204.4</v>
      </c>
      <c r="N29" s="262">
        <v>213.9</v>
      </c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 spans="1:26" ht="12.75" customHeight="1">
      <c r="A30" s="127" t="s">
        <v>100</v>
      </c>
      <c r="B30" s="640">
        <f t="shared" si="0"/>
        <v>893.79999999999984</v>
      </c>
      <c r="C30" s="262">
        <v>78.599999999999994</v>
      </c>
      <c r="D30" s="262">
        <v>78.400000000000006</v>
      </c>
      <c r="E30" s="262">
        <v>74.599999999999994</v>
      </c>
      <c r="F30" s="262">
        <v>75</v>
      </c>
      <c r="G30" s="262">
        <v>76.3</v>
      </c>
      <c r="H30" s="262">
        <v>75.400000000000006</v>
      </c>
      <c r="I30" s="262">
        <v>75.8</v>
      </c>
      <c r="J30" s="262">
        <v>70.900000000000006</v>
      </c>
      <c r="K30" s="262">
        <v>71.8</v>
      </c>
      <c r="L30" s="262">
        <v>71.400000000000006</v>
      </c>
      <c r="M30" s="262">
        <v>72.3</v>
      </c>
      <c r="N30" s="262">
        <v>73.3</v>
      </c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spans="1:26" ht="12.75" customHeight="1">
      <c r="A31" s="127" t="s">
        <v>101</v>
      </c>
      <c r="B31" s="640">
        <f t="shared" si="0"/>
        <v>1642.1999999999998</v>
      </c>
      <c r="C31" s="262">
        <v>143.30000000000001</v>
      </c>
      <c r="D31" s="262">
        <v>140.30000000000001</v>
      </c>
      <c r="E31" s="262">
        <v>141.4</v>
      </c>
      <c r="F31" s="262">
        <v>135.80000000000001</v>
      </c>
      <c r="G31" s="262">
        <v>138.6</v>
      </c>
      <c r="H31" s="262">
        <v>135.6</v>
      </c>
      <c r="I31" s="262">
        <v>136</v>
      </c>
      <c r="J31" s="262">
        <v>129.9</v>
      </c>
      <c r="K31" s="262">
        <v>135.30000000000001</v>
      </c>
      <c r="L31" s="262">
        <v>133.30000000000001</v>
      </c>
      <c r="M31" s="262">
        <v>132.1</v>
      </c>
      <c r="N31" s="262">
        <v>140.6</v>
      </c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spans="1:26" ht="12.75" customHeight="1">
      <c r="A32" s="152" t="s">
        <v>44</v>
      </c>
      <c r="B32" s="640">
        <f t="shared" si="0"/>
        <v>4584</v>
      </c>
      <c r="C32" s="262">
        <v>401.3</v>
      </c>
      <c r="D32" s="262">
        <v>405</v>
      </c>
      <c r="E32" s="262">
        <v>403.5</v>
      </c>
      <c r="F32" s="262">
        <v>431.3</v>
      </c>
      <c r="G32" s="262">
        <v>368.7</v>
      </c>
      <c r="H32" s="262">
        <v>410.3</v>
      </c>
      <c r="I32" s="262">
        <v>382.5</v>
      </c>
      <c r="J32" s="262">
        <v>359.7</v>
      </c>
      <c r="K32" s="262">
        <v>376.2</v>
      </c>
      <c r="L32" s="262">
        <v>370.4</v>
      </c>
      <c r="M32" s="262">
        <v>336</v>
      </c>
      <c r="N32" s="262">
        <v>339.1</v>
      </c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spans="1:26" ht="12.75" customHeight="1">
      <c r="A33" s="152" t="s">
        <v>45</v>
      </c>
      <c r="B33" s="640">
        <f t="shared" si="0"/>
        <v>2636.1</v>
      </c>
      <c r="C33" s="262">
        <v>154.4</v>
      </c>
      <c r="D33" s="262">
        <v>200.6</v>
      </c>
      <c r="E33" s="262">
        <v>201.4</v>
      </c>
      <c r="F33" s="262">
        <v>276.5</v>
      </c>
      <c r="G33" s="262">
        <v>276.5</v>
      </c>
      <c r="H33" s="262">
        <v>269.60000000000002</v>
      </c>
      <c r="I33" s="262">
        <v>281.5</v>
      </c>
      <c r="J33" s="262">
        <v>244.7</v>
      </c>
      <c r="K33" s="262">
        <v>203.8</v>
      </c>
      <c r="L33" s="262">
        <v>181.5</v>
      </c>
      <c r="M33" s="262">
        <v>182.2</v>
      </c>
      <c r="N33" s="262">
        <v>163.4</v>
      </c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spans="1:26" ht="12.75" customHeight="1">
      <c r="A34" s="129" t="s">
        <v>46</v>
      </c>
      <c r="B34" s="640">
        <f t="shared" si="0"/>
        <v>3036.3</v>
      </c>
      <c r="C34" s="262">
        <v>270.60000000000002</v>
      </c>
      <c r="D34" s="262">
        <v>256.7</v>
      </c>
      <c r="E34" s="262">
        <v>259.2</v>
      </c>
      <c r="F34" s="262">
        <v>241.7</v>
      </c>
      <c r="G34" s="262">
        <v>241</v>
      </c>
      <c r="H34" s="262">
        <v>254.4</v>
      </c>
      <c r="I34" s="262">
        <v>210.1</v>
      </c>
      <c r="J34" s="262">
        <v>232.8</v>
      </c>
      <c r="K34" s="262">
        <v>234</v>
      </c>
      <c r="L34" s="262">
        <v>208.3</v>
      </c>
      <c r="M34" s="262">
        <v>241.8</v>
      </c>
      <c r="N34" s="262">
        <v>385.7</v>
      </c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spans="1:26" ht="12.75" customHeight="1">
      <c r="A35" s="129" t="s">
        <v>47</v>
      </c>
      <c r="B35" s="640">
        <f t="shared" si="0"/>
        <v>1824.1</v>
      </c>
      <c r="C35" s="262">
        <v>163.4</v>
      </c>
      <c r="D35" s="262">
        <v>153.6</v>
      </c>
      <c r="E35" s="262">
        <v>153.6</v>
      </c>
      <c r="F35" s="262">
        <v>153.80000000000001</v>
      </c>
      <c r="G35" s="262">
        <v>156.80000000000001</v>
      </c>
      <c r="H35" s="262">
        <v>155.30000000000001</v>
      </c>
      <c r="I35" s="262">
        <v>155.80000000000001</v>
      </c>
      <c r="J35" s="262">
        <v>134.5</v>
      </c>
      <c r="K35" s="262">
        <v>135.30000000000001</v>
      </c>
      <c r="L35" s="262">
        <v>131.19999999999999</v>
      </c>
      <c r="M35" s="262">
        <v>133.6</v>
      </c>
      <c r="N35" s="262">
        <v>197.2</v>
      </c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spans="1:26" ht="12.75" customHeight="1">
      <c r="A36" s="129" t="s">
        <v>48</v>
      </c>
      <c r="B36" s="640">
        <f t="shared" si="0"/>
        <v>712.40000000000009</v>
      </c>
      <c r="C36" s="262">
        <v>69</v>
      </c>
      <c r="D36" s="262">
        <v>60.8</v>
      </c>
      <c r="E36" s="262">
        <v>59.3</v>
      </c>
      <c r="F36" s="262">
        <v>52</v>
      </c>
      <c r="G36" s="262">
        <v>55.1</v>
      </c>
      <c r="H36" s="262">
        <v>57.7</v>
      </c>
      <c r="I36" s="262">
        <v>50.4</v>
      </c>
      <c r="J36" s="262">
        <v>52.1</v>
      </c>
      <c r="K36" s="262">
        <v>51.3</v>
      </c>
      <c r="L36" s="262">
        <v>47.7</v>
      </c>
      <c r="M36" s="262">
        <v>42</v>
      </c>
      <c r="N36" s="262">
        <v>115</v>
      </c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spans="1:26" ht="12.75" customHeight="1" thickBot="1">
      <c r="A37" s="154" t="s">
        <v>49</v>
      </c>
      <c r="B37" s="648">
        <f t="shared" si="0"/>
        <v>1259.0999999999999</v>
      </c>
      <c r="C37" s="263">
        <v>83.9</v>
      </c>
      <c r="D37" s="263">
        <v>90.1</v>
      </c>
      <c r="E37" s="263">
        <v>86.5</v>
      </c>
      <c r="F37" s="263">
        <v>92</v>
      </c>
      <c r="G37" s="263">
        <v>105.4</v>
      </c>
      <c r="H37" s="263">
        <v>113.2</v>
      </c>
      <c r="I37" s="263">
        <v>109.3</v>
      </c>
      <c r="J37" s="263">
        <v>106</v>
      </c>
      <c r="K37" s="263">
        <v>101.5</v>
      </c>
      <c r="L37" s="263">
        <v>122.6</v>
      </c>
      <c r="M37" s="263">
        <v>106.5</v>
      </c>
      <c r="N37" s="263">
        <v>142.1</v>
      </c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spans="1:26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26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26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26" ht="13.25" customHeight="1">
      <c r="A41" s="11"/>
    </row>
    <row r="42" spans="1:26" ht="13.25" customHeight="1">
      <c r="A42" s="73"/>
    </row>
    <row r="43" spans="1:26" ht="13.25" customHeight="1">
      <c r="A43" s="73"/>
    </row>
    <row r="44" spans="1:26" ht="13.25" customHeight="1">
      <c r="A44" s="24"/>
    </row>
    <row r="45" spans="1:26" ht="13.25" customHeight="1">
      <c r="A45" s="33"/>
    </row>
    <row r="46" spans="1:26" ht="13.25" customHeight="1">
      <c r="A46" s="24"/>
    </row>
    <row r="47" spans="1:26" ht="13.25" customHeight="1">
      <c r="A47" s="73"/>
    </row>
    <row r="48" spans="1:26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59">
    <tabColor theme="9" tint="0.59999389629810485"/>
  </sheetPr>
  <dimension ref="A4:Q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34" customWidth="1"/>
    <col min="3" max="14" width="9" style="134" customWidth="1"/>
    <col min="15" max="16384" width="7" style="129"/>
  </cols>
  <sheetData>
    <row r="4" spans="1:17" ht="13.25" customHeight="1">
      <c r="A4" s="249" t="s">
        <v>531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Q4" s="128"/>
    </row>
    <row r="5" spans="1:17" ht="13.25" customHeight="1">
      <c r="A5" s="252" t="s">
        <v>466</v>
      </c>
      <c r="B5" s="245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Q5" s="128"/>
    </row>
    <row r="6" spans="1:17" ht="4" customHeight="1" thickBot="1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Q6" s="130"/>
    </row>
    <row r="7" spans="1:17" ht="15" customHeight="1">
      <c r="A7" s="595" t="s">
        <v>18</v>
      </c>
      <c r="B7" s="597" t="s">
        <v>106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  <c r="O7" s="128"/>
      <c r="Q7" s="128"/>
    </row>
    <row r="8" spans="1:17" ht="15" customHeight="1">
      <c r="A8" s="604" t="s">
        <v>96</v>
      </c>
      <c r="B8" s="610">
        <f>('C-57'!B8/'C-56'!B8)*1000</f>
        <v>52.453255705686622</v>
      </c>
      <c r="C8" s="610">
        <f>('C-57'!C8/'C-56'!C8)*1000</f>
        <v>53.557098907576957</v>
      </c>
      <c r="D8" s="610">
        <f>('C-57'!D8/'C-56'!D8)*1000</f>
        <v>53.248900281812588</v>
      </c>
      <c r="E8" s="610">
        <f>('C-57'!E8/'C-56'!E8)*1000</f>
        <v>52.813518703956539</v>
      </c>
      <c r="F8" s="610">
        <f>('C-57'!F8/'C-56'!F8)*1000</f>
        <v>52.264096521328831</v>
      </c>
      <c r="G8" s="610">
        <f>('C-57'!G8/'C-56'!G8)*1000</f>
        <v>51.86038771124776</v>
      </c>
      <c r="H8" s="610">
        <f>('C-57'!H8/'C-56'!H8)*1000</f>
        <v>52.177464185603654</v>
      </c>
      <c r="I8" s="610">
        <f>('C-57'!I8/'C-56'!I8)*1000</f>
        <v>53.075478438711656</v>
      </c>
      <c r="J8" s="610">
        <f>('C-57'!J8/'C-56'!J8)*1000</f>
        <v>53.48425677324871</v>
      </c>
      <c r="K8" s="610">
        <f>('C-57'!K8/'C-56'!K8)*1000</f>
        <v>52.626203117210899</v>
      </c>
      <c r="L8" s="610">
        <f>('C-57'!L8/'C-56'!L8)*1000</f>
        <v>49.699611425549897</v>
      </c>
      <c r="M8" s="610">
        <f>('C-57'!M8/'C-56'!M8)*1000</f>
        <v>52.245892640492848</v>
      </c>
      <c r="N8" s="610">
        <f>('C-57'!N8/'C-56'!N8)*1000</f>
        <v>52.44288521056901</v>
      </c>
      <c r="O8" s="158"/>
      <c r="Q8" s="134"/>
    </row>
    <row r="9" spans="1:17" ht="12.75" customHeight="1">
      <c r="A9" s="152" t="s">
        <v>21</v>
      </c>
      <c r="B9" s="642">
        <f>('C-57'!B9/'C-56'!B9)*1000</f>
        <v>47.946819252776834</v>
      </c>
      <c r="C9" s="264">
        <f>('C-57'!C9/'C-56'!C9)*1000</f>
        <v>42.230347349177336</v>
      </c>
      <c r="D9" s="264">
        <f>('C-57'!D9/'C-56'!D9)*1000</f>
        <v>43.585237258347981</v>
      </c>
      <c r="E9" s="264">
        <f>('C-57'!E9/'C-56'!E9)*1000</f>
        <v>44.599303135888505</v>
      </c>
      <c r="F9" s="264">
        <f>('C-57'!F9/'C-56'!F9)*1000</f>
        <v>52.914798206278029</v>
      </c>
      <c r="G9" s="264">
        <f>('C-57'!G9/'C-56'!G9)*1000</f>
        <v>51.509054325955738</v>
      </c>
      <c r="H9" s="264">
        <f>('C-57'!H9/'C-56'!H9)*1000</f>
        <v>48.80952380952381</v>
      </c>
      <c r="I9" s="264">
        <f>('C-57'!I9/'C-56'!I9)*1000</f>
        <v>44</v>
      </c>
      <c r="J9" s="264">
        <f>('C-57'!J9/'C-56'!J9)*1000</f>
        <v>48.156182212581342</v>
      </c>
      <c r="K9" s="264">
        <f>('C-57'!K9/'C-56'!K9)*1000</f>
        <v>48.175182481751825</v>
      </c>
      <c r="L9" s="264">
        <f>('C-57'!L9/'C-56'!L9)*1000</f>
        <v>51.126126126126124</v>
      </c>
      <c r="M9" s="264">
        <f>('C-57'!M9/'C-56'!M9)*1000</f>
        <v>50.691244239631338</v>
      </c>
      <c r="N9" s="264">
        <f>('C-57'!N9/'C-56'!N9)*1000</f>
        <v>52.821670428893903</v>
      </c>
      <c r="O9" s="158"/>
      <c r="Q9" s="134"/>
    </row>
    <row r="10" spans="1:17" ht="12.75" customHeight="1">
      <c r="A10" s="152" t="s">
        <v>22</v>
      </c>
      <c r="B10" s="642">
        <f>('C-57'!B10/'C-56'!B10)*1000</f>
        <v>52.359147917936234</v>
      </c>
      <c r="C10" s="264">
        <f>('C-57'!C10/'C-56'!C10)*1000</f>
        <v>52.496878901373286</v>
      </c>
      <c r="D10" s="264">
        <f>('C-57'!D10/'C-56'!D10)*1000</f>
        <v>52.501662656110241</v>
      </c>
      <c r="E10" s="264">
        <f>('C-57'!E10/'C-56'!E10)*1000</f>
        <v>51.005066459785674</v>
      </c>
      <c r="F10" s="264">
        <f>('C-57'!F10/'C-56'!F10)*1000</f>
        <v>51.746833493987779</v>
      </c>
      <c r="G10" s="264">
        <f>('C-57'!G10/'C-56'!G10)*1000</f>
        <v>51.001251856056719</v>
      </c>
      <c r="H10" s="264">
        <f>('C-57'!H10/'C-56'!H10)*1000</f>
        <v>51.752435359603723</v>
      </c>
      <c r="I10" s="264">
        <f>('C-57'!I10/'C-56'!I10)*1000</f>
        <v>50.504532238754919</v>
      </c>
      <c r="J10" s="264">
        <f>('C-57'!J10/'C-56'!J10)*1000</f>
        <v>52.49821191376315</v>
      </c>
      <c r="K10" s="264">
        <f>('C-57'!K10/'C-56'!K10)*1000</f>
        <v>53.999253638512251</v>
      </c>
      <c r="L10" s="264">
        <f>('C-57'!L10/'C-56'!L10)*1000</f>
        <v>52.498832321345169</v>
      </c>
      <c r="M10" s="264">
        <f>('C-57'!M10/'C-56'!M10)*1000</f>
        <v>52.435699893327012</v>
      </c>
      <c r="N10" s="264">
        <f>('C-57'!N10/'C-56'!N10)*1000</f>
        <v>56.34314100114635</v>
      </c>
      <c r="O10" s="158"/>
      <c r="Q10" s="134"/>
    </row>
    <row r="11" spans="1:17" ht="12.75" customHeight="1">
      <c r="A11" s="152" t="s">
        <v>23</v>
      </c>
      <c r="B11" s="642">
        <f>('C-57'!B11/'C-56'!B11)*1000</f>
        <v>50.304232804232804</v>
      </c>
      <c r="C11" s="264">
        <f>('C-57'!C11/'C-56'!C11)*1000</f>
        <v>54.014084507042256</v>
      </c>
      <c r="D11" s="264">
        <f>('C-57'!D11/'C-56'!D11)*1000</f>
        <v>50.174216027874564</v>
      </c>
      <c r="E11" s="264">
        <f>('C-57'!E11/'C-56'!E11)*1000</f>
        <v>51.49006622516557</v>
      </c>
      <c r="F11" s="264">
        <f>('C-57'!F11/'C-56'!F11)*1000</f>
        <v>49.297971918876755</v>
      </c>
      <c r="G11" s="264">
        <f>('C-57'!G11/'C-56'!G11)*1000</f>
        <v>57.793867120953998</v>
      </c>
      <c r="H11" s="264">
        <f>('C-57'!H11/'C-56'!H11)*1000</f>
        <v>53.623188405797102</v>
      </c>
      <c r="I11" s="264">
        <f>('C-57'!I11/'C-56'!I11)*1000</f>
        <v>48.889819857561797</v>
      </c>
      <c r="J11" s="264">
        <f>('C-57'!J11/'C-56'!J11)*1000</f>
        <v>51.784037558685441</v>
      </c>
      <c r="K11" s="264">
        <f>('C-57'!K11/'C-56'!K11)*1000</f>
        <v>48.34894036471168</v>
      </c>
      <c r="L11" s="264">
        <f>('C-57'!L11/'C-56'!L11)*1000</f>
        <v>47.077922077922082</v>
      </c>
      <c r="M11" s="264">
        <f>('C-57'!M11/'C-56'!M11)*1000</f>
        <v>46.493162770180859</v>
      </c>
      <c r="N11" s="264">
        <f>('C-57'!N11/'C-56'!N11)*1000</f>
        <v>46.792969641634336</v>
      </c>
      <c r="O11" s="158"/>
      <c r="Q11" s="134"/>
    </row>
    <row r="12" spans="1:17" ht="12.75" customHeight="1">
      <c r="A12" s="129" t="s">
        <v>24</v>
      </c>
      <c r="B12" s="642">
        <f>('C-57'!B12/'C-56'!B12)*1000</f>
        <v>59.058266853243694</v>
      </c>
      <c r="C12" s="264">
        <f>('C-57'!C12/'C-56'!C12)*1000</f>
        <v>61.661175654586437</v>
      </c>
      <c r="D12" s="264">
        <f>('C-57'!D12/'C-56'!D12)*1000</f>
        <v>60.015122601087384</v>
      </c>
      <c r="E12" s="264">
        <f>('C-57'!E12/'C-56'!E12)*1000</f>
        <v>59.991399082568805</v>
      </c>
      <c r="F12" s="264">
        <f>('C-57'!F12/'C-56'!F12)*1000</f>
        <v>58.69031760499194</v>
      </c>
      <c r="G12" s="264">
        <f>('C-57'!G12/'C-56'!G12)*1000</f>
        <v>56.459476968188483</v>
      </c>
      <c r="H12" s="264">
        <f>('C-57'!H12/'C-56'!H12)*1000</f>
        <v>59.293452340396541</v>
      </c>
      <c r="I12" s="264">
        <f>('C-57'!I12/'C-56'!I12)*1000</f>
        <v>61.554292434339473</v>
      </c>
      <c r="J12" s="264">
        <f>('C-57'!J12/'C-56'!J12)*1000</f>
        <v>61.538716082064859</v>
      </c>
      <c r="K12" s="264">
        <f>('C-57'!K12/'C-56'!K12)*1000</f>
        <v>57.492947214574627</v>
      </c>
      <c r="L12" s="264">
        <f>('C-57'!L12/'C-56'!L12)*1000</f>
        <v>57.105677693308678</v>
      </c>
      <c r="M12" s="264">
        <f>('C-57'!M12/'C-56'!M12)*1000</f>
        <v>56.428832784485913</v>
      </c>
      <c r="N12" s="264">
        <f>('C-57'!N12/'C-56'!N12)*1000</f>
        <v>58.193598917725794</v>
      </c>
      <c r="O12" s="158"/>
      <c r="Q12" s="134"/>
    </row>
    <row r="13" spans="1:17" ht="12.75" customHeight="1">
      <c r="A13" s="129" t="s">
        <v>25</v>
      </c>
      <c r="B13" s="642">
        <f>('C-57'!B13/'C-56'!B13)*1000</f>
        <v>41.303448614314654</v>
      </c>
      <c r="C13" s="264">
        <f>('C-57'!C13/'C-56'!C13)*1000</f>
        <v>41.741849039749887</v>
      </c>
      <c r="D13" s="264">
        <f>('C-57'!D13/'C-56'!D13)*1000</f>
        <v>40.101150175381356</v>
      </c>
      <c r="E13" s="264">
        <f>('C-57'!E13/'C-56'!E13)*1000</f>
        <v>41.636346674130046</v>
      </c>
      <c r="F13" s="264">
        <f>('C-57'!F13/'C-56'!F13)*1000</f>
        <v>36.134523219302601</v>
      </c>
      <c r="G13" s="264">
        <f>('C-57'!G13/'C-56'!G13)*1000</f>
        <v>43.108056510118367</v>
      </c>
      <c r="H13" s="264">
        <f>('C-57'!H13/'C-56'!H13)*1000</f>
        <v>41.6159426332027</v>
      </c>
      <c r="I13" s="264">
        <f>('C-57'!I13/'C-56'!I13)*1000</f>
        <v>39.744707841116316</v>
      </c>
      <c r="J13" s="264">
        <f>('C-57'!J13/'C-56'!J13)*1000</f>
        <v>41.385704652730951</v>
      </c>
      <c r="K13" s="264">
        <f>('C-57'!K13/'C-56'!K13)*1000</f>
        <v>42.631712904046836</v>
      </c>
      <c r="L13" s="264">
        <f>('C-57'!L13/'C-56'!L13)*1000</f>
        <v>42.04081632653061</v>
      </c>
      <c r="M13" s="264">
        <f>('C-57'!M13/'C-56'!M13)*1000</f>
        <v>43.189574930189259</v>
      </c>
      <c r="N13" s="264">
        <f>('C-57'!N13/'C-56'!N13)*1000</f>
        <v>42.552207752176933</v>
      </c>
      <c r="O13" s="158"/>
      <c r="Q13" s="134"/>
    </row>
    <row r="14" spans="1:17" ht="12.75" customHeight="1">
      <c r="A14" s="127" t="s">
        <v>97</v>
      </c>
      <c r="B14" s="642">
        <f>('C-57'!B14/'C-56'!B14)*1000</f>
        <v>37.239279011296439</v>
      </c>
      <c r="C14" s="264">
        <f>('C-57'!C14/'C-56'!C14)*1000</f>
        <v>35.723486474881923</v>
      </c>
      <c r="D14" s="264">
        <f>('C-57'!D14/'C-56'!D14)*1000</f>
        <v>36.975958672759781</v>
      </c>
      <c r="E14" s="264">
        <f>('C-57'!E14/'C-56'!E14)*1000</f>
        <v>36.522826766729203</v>
      </c>
      <c r="F14" s="264">
        <f>('C-57'!F14/'C-56'!F14)*1000</f>
        <v>38.291066940827044</v>
      </c>
      <c r="G14" s="264">
        <f>('C-57'!G14/'C-56'!G14)*1000</f>
        <v>37.364705882352943</v>
      </c>
      <c r="H14" s="264">
        <f>('C-57'!H14/'C-56'!H14)*1000</f>
        <v>36.881419234360415</v>
      </c>
      <c r="I14" s="264">
        <f>('C-57'!I14/'C-56'!I14)*1000</f>
        <v>36.384204031262854</v>
      </c>
      <c r="J14" s="264">
        <f>('C-57'!J14/'C-56'!J14)*1000</f>
        <v>37.13863684321587</v>
      </c>
      <c r="K14" s="264">
        <f>('C-57'!K14/'C-56'!K14)*1000</f>
        <v>38.927299392415676</v>
      </c>
      <c r="L14" s="264">
        <f>('C-57'!L14/'C-56'!L14)*1000</f>
        <v>38.193184109699537</v>
      </c>
      <c r="M14" s="264">
        <f>('C-57'!M14/'C-56'!M14)*1000</f>
        <v>38.253680177455131</v>
      </c>
      <c r="N14" s="264">
        <f>('C-57'!N14/'C-56'!N14)*1000</f>
        <v>36.202214330478384</v>
      </c>
      <c r="O14" s="158"/>
      <c r="Q14" s="134"/>
    </row>
    <row r="15" spans="1:17" ht="12.75" customHeight="1">
      <c r="A15" s="127" t="s">
        <v>98</v>
      </c>
      <c r="B15" s="642">
        <f>('C-57'!B15/'C-56'!B15)*1000</f>
        <v>42.143822312304707</v>
      </c>
      <c r="C15" s="264">
        <f>('C-57'!C15/'C-56'!C15)*1000</f>
        <v>43.639427127211455</v>
      </c>
      <c r="D15" s="264">
        <f>('C-57'!D15/'C-56'!D15)*1000</f>
        <v>39.347363442894299</v>
      </c>
      <c r="E15" s="264">
        <f>('C-57'!E15/'C-56'!E15)*1000</f>
        <v>43.221110100090989</v>
      </c>
      <c r="F15" s="264">
        <f>('C-57'!F15/'C-56'!F15)*1000</f>
        <v>41.141365162252889</v>
      </c>
      <c r="G15" s="264">
        <f>('C-57'!G15/'C-56'!G15)*1000</f>
        <v>44.091087553985084</v>
      </c>
      <c r="H15" s="264">
        <f>('C-57'!H15/'C-56'!H15)*1000</f>
        <v>39.771881973716837</v>
      </c>
      <c r="I15" s="264">
        <f>('C-57'!I15/'C-56'!I15)*1000</f>
        <v>38.579828132066936</v>
      </c>
      <c r="J15" s="264">
        <f>('C-57'!J15/'C-56'!J15)*1000</f>
        <v>41.048348492101482</v>
      </c>
      <c r="K15" s="264">
        <f>('C-57'!K15/'C-56'!K15)*1000</f>
        <v>42.394822006472495</v>
      </c>
      <c r="L15" s="264">
        <f>('C-57'!L15/'C-56'!L15)*1000</f>
        <v>43.002286004572014</v>
      </c>
      <c r="M15" s="264">
        <f>('C-57'!M15/'C-56'!M15)*1000</f>
        <v>45.034013605442176</v>
      </c>
      <c r="N15" s="264">
        <f>('C-57'!N15/'C-56'!N15)*1000</f>
        <v>44.273086326876054</v>
      </c>
      <c r="O15" s="158"/>
      <c r="Q15" s="134"/>
    </row>
    <row r="16" spans="1:17" ht="12.75" customHeight="1">
      <c r="A16" s="127" t="s">
        <v>99</v>
      </c>
      <c r="B16" s="642">
        <f>('C-57'!B16/'C-56'!B16)*1000</f>
        <v>46.183786570434336</v>
      </c>
      <c r="C16" s="264">
        <f>('C-57'!C16/'C-56'!C16)*1000</f>
        <v>48.891129032258064</v>
      </c>
      <c r="D16" s="264">
        <f>('C-57'!D16/'C-56'!D16)*1000</f>
        <v>46.413079746413082</v>
      </c>
      <c r="E16" s="264">
        <f>('C-57'!E16/'C-56'!E16)*1000</f>
        <v>48.952380952380956</v>
      </c>
      <c r="F16" s="264">
        <f>('C-57'!F16/'C-56'!F16)*1000</f>
        <v>31.601903251387785</v>
      </c>
      <c r="G16" s="264">
        <f>('C-57'!G16/'C-56'!G16)*1000</f>
        <v>49.035063876053272</v>
      </c>
      <c r="H16" s="264">
        <f>('C-57'!H16/'C-56'!H16)*1000</f>
        <v>49.156692056583239</v>
      </c>
      <c r="I16" s="264">
        <f>('C-57'!I16/'C-56'!I16)*1000</f>
        <v>46.170021027335537</v>
      </c>
      <c r="J16" s="264">
        <f>('C-57'!J16/'C-56'!J16)*1000</f>
        <v>48.693586698337292</v>
      </c>
      <c r="K16" s="264">
        <f>('C-57'!K16/'C-56'!K16)*1000</f>
        <v>48.848848848848853</v>
      </c>
      <c r="L16" s="264">
        <f>('C-57'!L16/'C-56'!L16)*1000</f>
        <v>47.346368715083798</v>
      </c>
      <c r="M16" s="264">
        <f>('C-57'!M16/'C-56'!M16)*1000</f>
        <v>48.565279770444768</v>
      </c>
      <c r="N16" s="264">
        <f>('C-57'!N16/'C-56'!N16)*1000</f>
        <v>49.947789766794294</v>
      </c>
      <c r="O16" s="158"/>
      <c r="Q16" s="134"/>
    </row>
    <row r="17" spans="1:17" ht="12.75" customHeight="1">
      <c r="A17" s="152" t="s">
        <v>29</v>
      </c>
      <c r="B17" s="642">
        <f>('C-57'!B17/'C-56'!B17)*1000</f>
        <v>52.554403661156257</v>
      </c>
      <c r="C17" s="264">
        <f>('C-57'!C17/'C-56'!C17)*1000</f>
        <v>53.964757709251103</v>
      </c>
      <c r="D17" s="264">
        <f>('C-57'!D17/'C-56'!D17)*1000</f>
        <v>53.469387755102034</v>
      </c>
      <c r="E17" s="264">
        <f>('C-57'!E17/'C-56'!E17)*1000</f>
        <v>52.927491275688247</v>
      </c>
      <c r="F17" s="264">
        <f>('C-57'!F17/'C-56'!F17)*1000</f>
        <v>52.031394275161588</v>
      </c>
      <c r="G17" s="264">
        <f>('C-57'!G17/'C-56'!G17)*1000</f>
        <v>52.031839128613328</v>
      </c>
      <c r="H17" s="264">
        <f>('C-57'!H17/'C-56'!H17)*1000</f>
        <v>52.43564356435644</v>
      </c>
      <c r="I17" s="264">
        <f>('C-57'!I17/'C-56'!I17)*1000</f>
        <v>52.103681442524412</v>
      </c>
      <c r="J17" s="264">
        <f>('C-57'!J17/'C-56'!J17)*1000</f>
        <v>52.311707680835198</v>
      </c>
      <c r="K17" s="264">
        <f>('C-57'!K17/'C-56'!K17)*1000</f>
        <v>53.330893118594432</v>
      </c>
      <c r="L17" s="264">
        <f>('C-57'!L17/'C-56'!L17)*1000</f>
        <v>52.391304347826086</v>
      </c>
      <c r="M17" s="264">
        <f>('C-57'!M17/'C-56'!M17)*1000</f>
        <v>51.967673928320451</v>
      </c>
      <c r="N17" s="264">
        <f>('C-57'!N17/'C-56'!N17)*1000</f>
        <v>51.739518287243534</v>
      </c>
      <c r="O17" s="158"/>
      <c r="Q17" s="134"/>
    </row>
    <row r="18" spans="1:17" ht="12.75" customHeight="1">
      <c r="A18" s="129" t="s">
        <v>30</v>
      </c>
      <c r="B18" s="642">
        <f>('C-57'!B18/'C-56'!B18)*1000</f>
        <v>30.040286698917598</v>
      </c>
      <c r="C18" s="264">
        <f>('C-57'!C18/'C-56'!C18)*1000</f>
        <v>31.016982236970524</v>
      </c>
      <c r="D18" s="264">
        <f>('C-57'!D18/'C-56'!D18)*1000</f>
        <v>31.472300064669113</v>
      </c>
      <c r="E18" s="264">
        <f>('C-57'!E18/'C-56'!E18)*1000</f>
        <v>32.003325020781382</v>
      </c>
      <c r="F18" s="264">
        <f>('C-57'!F18/'C-56'!F18)*1000</f>
        <v>32.314494425221064</v>
      </c>
      <c r="G18" s="264">
        <f>('C-57'!G18/'C-56'!G18)*1000</f>
        <v>32.194934765924792</v>
      </c>
      <c r="H18" s="264">
        <f>('C-57'!H18/'C-56'!H18)*1000</f>
        <v>31.550068587105621</v>
      </c>
      <c r="I18" s="264">
        <f>('C-57'!I18/'C-56'!I18)*1000</f>
        <v>28.94306282722513</v>
      </c>
      <c r="J18" s="264">
        <f>('C-57'!J18/'C-56'!J18)*1000</f>
        <v>28.268692522990804</v>
      </c>
      <c r="K18" s="264">
        <f>('C-57'!K18/'C-56'!K18)*1000</f>
        <v>27.893118031526335</v>
      </c>
      <c r="L18" s="264">
        <f>('C-57'!L18/'C-56'!L18)*1000</f>
        <v>27.493413624388406</v>
      </c>
      <c r="M18" s="264">
        <f>('C-57'!M18/'C-56'!M18)*1000</f>
        <v>31.233000906618315</v>
      </c>
      <c r="N18" s="264">
        <f>('C-57'!N18/'C-56'!N18)*1000</f>
        <v>27.070849488896719</v>
      </c>
      <c r="O18" s="158"/>
      <c r="Q18" s="134"/>
    </row>
    <row r="19" spans="1:17" ht="12.75" customHeight="1">
      <c r="A19" s="129" t="s">
        <v>31</v>
      </c>
      <c r="B19" s="642">
        <f>('C-57'!B19/'C-56'!B19)*1000</f>
        <v>63.086809965298905</v>
      </c>
      <c r="C19" s="264">
        <f>('C-57'!C19/'C-56'!C19)*1000</f>
        <v>63.976186902796535</v>
      </c>
      <c r="D19" s="264">
        <f>('C-57'!D19/'C-56'!D19)*1000</f>
        <v>63.566688646604518</v>
      </c>
      <c r="E19" s="264">
        <f>('C-57'!E19/'C-56'!E19)*1000</f>
        <v>63.474727209449924</v>
      </c>
      <c r="F19" s="264">
        <f>('C-57'!F19/'C-56'!F19)*1000</f>
        <v>63.140653384555826</v>
      </c>
      <c r="G19" s="264">
        <f>('C-57'!G19/'C-56'!G19)*1000</f>
        <v>63.273004096302401</v>
      </c>
      <c r="H19" s="264">
        <f>('C-57'!H19/'C-56'!H19)*1000</f>
        <v>63.415375862035134</v>
      </c>
      <c r="I19" s="264">
        <f>('C-57'!I19/'C-56'!I19)*1000</f>
        <v>63.996292372881364</v>
      </c>
      <c r="J19" s="264">
        <f>('C-57'!J19/'C-56'!J19)*1000</f>
        <v>63.800741515353174</v>
      </c>
      <c r="K19" s="264">
        <f>('C-57'!K19/'C-56'!K19)*1000</f>
        <v>63.554287500977097</v>
      </c>
      <c r="L19" s="264">
        <f>('C-57'!L19/'C-56'!L19)*1000</f>
        <v>55.597598654620832</v>
      </c>
      <c r="M19" s="264">
        <f>('C-57'!M19/'C-56'!M19)*1000</f>
        <v>63.52702898201283</v>
      </c>
      <c r="N19" s="264">
        <f>('C-57'!N19/'C-56'!N19)*1000</f>
        <v>65.3182173833425</v>
      </c>
      <c r="O19" s="158"/>
      <c r="Q19" s="134"/>
    </row>
    <row r="20" spans="1:17" ht="12.75" customHeight="1">
      <c r="A20" s="152" t="s">
        <v>32</v>
      </c>
      <c r="B20" s="642">
        <f>('C-57'!B20/'C-56'!B20)*1000</f>
        <v>47.684590575677134</v>
      </c>
      <c r="C20" s="264">
        <f>('C-57'!C20/'C-56'!C20)*1000</f>
        <v>45.185549275006139</v>
      </c>
      <c r="D20" s="264">
        <f>('C-57'!D20/'C-56'!D20)*1000</f>
        <v>47.818941634972056</v>
      </c>
      <c r="E20" s="264">
        <f>('C-57'!E20/'C-56'!E20)*1000</f>
        <v>51.966292134831463</v>
      </c>
      <c r="F20" s="264">
        <f>('C-57'!F20/'C-56'!F20)*1000</f>
        <v>49.644206703636449</v>
      </c>
      <c r="G20" s="264">
        <f>('C-57'!G20/'C-56'!G20)*1000</f>
        <v>47.383605252686031</v>
      </c>
      <c r="H20" s="264">
        <f>('C-57'!H20/'C-56'!H20)*1000</f>
        <v>47.131548519078535</v>
      </c>
      <c r="I20" s="264">
        <f>('C-57'!I20/'C-56'!I20)*1000</f>
        <v>49.665192672141501</v>
      </c>
      <c r="J20" s="264">
        <f>('C-57'!J20/'C-56'!J20)*1000</f>
        <v>49.748413067038243</v>
      </c>
      <c r="K20" s="264">
        <f>('C-57'!K20/'C-56'!K20)*1000</f>
        <v>47.555103159378305</v>
      </c>
      <c r="L20" s="264">
        <f>('C-57'!L20/'C-56'!L20)*1000</f>
        <v>48.379099207392663</v>
      </c>
      <c r="M20" s="264">
        <f>('C-57'!M20/'C-56'!M20)*1000</f>
        <v>48.794715290118212</v>
      </c>
      <c r="N20" s="264">
        <f>('C-57'!N20/'C-56'!N20)*1000</f>
        <v>41.147157190635447</v>
      </c>
      <c r="O20" s="158"/>
      <c r="Q20" s="134"/>
    </row>
    <row r="21" spans="1:17" ht="12.75" customHeight="1">
      <c r="A21" s="152" t="s">
        <v>33</v>
      </c>
      <c r="B21" s="642">
        <f>('C-57'!B21/'C-56'!B21)*1000</f>
        <v>37.835490889183589</v>
      </c>
      <c r="C21" s="264">
        <f>('C-57'!C21/'C-56'!C21)*1000</f>
        <v>36.964228166290681</v>
      </c>
      <c r="D21" s="264">
        <f>('C-57'!D21/'C-56'!D21)*1000</f>
        <v>35.891175444715735</v>
      </c>
      <c r="E21" s="264">
        <f>('C-57'!E21/'C-56'!E21)*1000</f>
        <v>29.523929789114788</v>
      </c>
      <c r="F21" s="264">
        <f>('C-57'!F21/'C-56'!F21)*1000</f>
        <v>37.648147077527902</v>
      </c>
      <c r="G21" s="264">
        <f>('C-57'!G21/'C-56'!G21)*1000</f>
        <v>32.563346439493223</v>
      </c>
      <c r="H21" s="264">
        <f>('C-57'!H21/'C-56'!H21)*1000</f>
        <v>33.830275229357795</v>
      </c>
      <c r="I21" s="264">
        <f>('C-57'!I21/'C-56'!I21)*1000</f>
        <v>43.809564879899952</v>
      </c>
      <c r="J21" s="264">
        <f>('C-57'!J21/'C-56'!J21)*1000</f>
        <v>42.847039806021421</v>
      </c>
      <c r="K21" s="264">
        <f>('C-57'!K21/'C-56'!K21)*1000</f>
        <v>40.812879387701244</v>
      </c>
      <c r="L21" s="264">
        <f>('C-57'!L21/'C-56'!L21)*1000</f>
        <v>40.535441101478838</v>
      </c>
      <c r="M21" s="264">
        <f>('C-57'!M21/'C-56'!M21)*1000</f>
        <v>38.569250748122641</v>
      </c>
      <c r="N21" s="264">
        <f>('C-57'!N21/'C-56'!N21)*1000</f>
        <v>36.54204196648719</v>
      </c>
      <c r="O21" s="158"/>
      <c r="Q21" s="134"/>
    </row>
    <row r="22" spans="1:17" ht="12.75" customHeight="1">
      <c r="A22" s="152" t="s">
        <v>34</v>
      </c>
      <c r="B22" s="642">
        <f>('C-57'!B22/'C-56'!B22)*1000</f>
        <v>37.220099007361426</v>
      </c>
      <c r="C22" s="264">
        <f>('C-57'!C22/'C-56'!C22)*1000</f>
        <v>37.617866004962778</v>
      </c>
      <c r="D22" s="264">
        <f>('C-57'!D22/'C-56'!D22)*1000</f>
        <v>37.573830077237623</v>
      </c>
      <c r="E22" s="264">
        <f>('C-57'!E22/'C-56'!E22)*1000</f>
        <v>37.266643184219795</v>
      </c>
      <c r="F22" s="264">
        <f>('C-57'!F22/'C-56'!F22)*1000</f>
        <v>37.478411053540583</v>
      </c>
      <c r="G22" s="264">
        <f>('C-57'!G22/'C-56'!G22)*1000</f>
        <v>36.323567539538502</v>
      </c>
      <c r="H22" s="264">
        <f>('C-57'!H22/'C-56'!H22)*1000</f>
        <v>37.17312894499549</v>
      </c>
      <c r="I22" s="264">
        <f>('C-57'!I22/'C-56'!I22)*1000</f>
        <v>37.809187279151942</v>
      </c>
      <c r="J22" s="264">
        <f>('C-57'!J22/'C-56'!J22)*1000</f>
        <v>36.139369277721258</v>
      </c>
      <c r="K22" s="264">
        <f>('C-57'!K22/'C-56'!K22)*1000</f>
        <v>38.290854572713648</v>
      </c>
      <c r="L22" s="264">
        <f>('C-57'!L22/'C-56'!L22)*1000</f>
        <v>37.649484536082475</v>
      </c>
      <c r="M22" s="264">
        <f>('C-57'!M22/'C-56'!M22)*1000</f>
        <v>36.443148688046648</v>
      </c>
      <c r="N22" s="264">
        <f>('C-57'!N22/'C-56'!N22)*1000</f>
        <v>37.13584789941735</v>
      </c>
      <c r="O22" s="158"/>
      <c r="Q22" s="134"/>
    </row>
    <row r="23" spans="1:17" ht="12.75" customHeight="1">
      <c r="A23" s="152" t="s">
        <v>35</v>
      </c>
      <c r="B23" s="642">
        <f>('C-57'!B23/'C-56'!B23)*1000</f>
        <v>44.884711554907589</v>
      </c>
      <c r="C23" s="264">
        <f>('C-57'!C23/'C-56'!C23)*1000</f>
        <v>45.463246554364467</v>
      </c>
      <c r="D23" s="264">
        <f>('C-57'!D23/'C-56'!D23)*1000</f>
        <v>45.046221864951768</v>
      </c>
      <c r="E23" s="264">
        <f>('C-57'!E23/'C-56'!E23)*1000</f>
        <v>44.851348690687146</v>
      </c>
      <c r="F23" s="264">
        <f>('C-57'!F23/'C-56'!F23)*1000</f>
        <v>44.756136436085434</v>
      </c>
      <c r="G23" s="264">
        <f>('C-57'!G23/'C-56'!G23)*1000</f>
        <v>44.641230644671587</v>
      </c>
      <c r="H23" s="264">
        <f>('C-57'!H23/'C-56'!H23)*1000</f>
        <v>44.600613679105223</v>
      </c>
      <c r="I23" s="264">
        <f>('C-57'!I23/'C-56'!I23)*1000</f>
        <v>44.661521930253002</v>
      </c>
      <c r="J23" s="264">
        <f>('C-57'!J23/'C-56'!J23)*1000</f>
        <v>44.888147566718992</v>
      </c>
      <c r="K23" s="264">
        <f>('C-57'!K23/'C-56'!K23)*1000</f>
        <v>44.942720062665231</v>
      </c>
      <c r="L23" s="264">
        <f>('C-57'!L23/'C-56'!L23)*1000</f>
        <v>44.660673713326091</v>
      </c>
      <c r="M23" s="264">
        <f>('C-57'!M23/'C-56'!M23)*1000</f>
        <v>44.748358862144421</v>
      </c>
      <c r="N23" s="264">
        <f>('C-57'!N23/'C-56'!N23)*1000</f>
        <v>45.256933455484301</v>
      </c>
      <c r="O23" s="158"/>
      <c r="Q23" s="134"/>
    </row>
    <row r="24" spans="1:17" ht="12.75" customHeight="1">
      <c r="A24" s="152" t="s">
        <v>36</v>
      </c>
      <c r="B24" s="642">
        <f>('C-57'!B24/'C-56'!B24)*1000</f>
        <v>40.855559548984047</v>
      </c>
      <c r="C24" s="264">
        <f>('C-57'!C24/'C-56'!C24)*1000</f>
        <v>40.280561122244485</v>
      </c>
      <c r="D24" s="264">
        <f>('C-57'!D24/'C-56'!D24)*1000</f>
        <v>41.932190261592083</v>
      </c>
      <c r="E24" s="264">
        <f>('C-57'!E24/'C-56'!E24)*1000</f>
        <v>39.778413152251609</v>
      </c>
      <c r="F24" s="264">
        <f>('C-57'!F24/'C-56'!F24)*1000</f>
        <v>41.551610782380017</v>
      </c>
      <c r="G24" s="264">
        <f>('C-57'!G24/'C-56'!G24)*1000</f>
        <v>41.76136363636364</v>
      </c>
      <c r="H24" s="264">
        <f>('C-57'!H24/'C-56'!H24)*1000</f>
        <v>41.625155666251551</v>
      </c>
      <c r="I24" s="264">
        <f>('C-57'!I24/'C-56'!I24)*1000</f>
        <v>38.600602611315701</v>
      </c>
      <c r="J24" s="264">
        <f>('C-57'!J24/'C-56'!J24)*1000</f>
        <v>41.086713807219951</v>
      </c>
      <c r="K24" s="264">
        <f>('C-57'!K24/'C-56'!K24)*1000</f>
        <v>41.480948957584474</v>
      </c>
      <c r="L24" s="264">
        <f>('C-57'!L24/'C-56'!L24)*1000</f>
        <v>41.59779614325069</v>
      </c>
      <c r="M24" s="264">
        <f>('C-57'!M24/'C-56'!M24)*1000</f>
        <v>41.492938802958975</v>
      </c>
      <c r="N24" s="264">
        <f>('C-57'!N24/'C-56'!N24)*1000</f>
        <v>39.297945205479444</v>
      </c>
      <c r="O24" s="158"/>
      <c r="Q24" s="134"/>
    </row>
    <row r="25" spans="1:17" ht="12.75" customHeight="1">
      <c r="A25" s="129" t="s">
        <v>37</v>
      </c>
      <c r="B25" s="642">
        <f>('C-57'!B25/'C-56'!B25)*1000</f>
        <v>56.051502947964444</v>
      </c>
      <c r="C25" s="264">
        <f>('C-57'!C25/'C-56'!C25)*1000</f>
        <v>56.023398586818018</v>
      </c>
      <c r="D25" s="264">
        <f>('C-57'!D25/'C-56'!D25)*1000</f>
        <v>56.040516701758378</v>
      </c>
      <c r="E25" s="264">
        <f>('C-57'!E25/'C-56'!E25)*1000</f>
        <v>56.054421768707478</v>
      </c>
      <c r="F25" s="264">
        <f>('C-57'!F25/'C-56'!F25)*1000</f>
        <v>56.087415045699551</v>
      </c>
      <c r="G25" s="264">
        <f>('C-57'!G25/'C-56'!G25)*1000</f>
        <v>56.078499478985762</v>
      </c>
      <c r="H25" s="264">
        <f>('C-57'!H25/'C-56'!H25)*1000</f>
        <v>56.065554982522492</v>
      </c>
      <c r="I25" s="264">
        <f>('C-57'!I25/'C-56'!I25)*1000</f>
        <v>56.056860321384427</v>
      </c>
      <c r="J25" s="264">
        <f>('C-57'!J25/'C-56'!J25)*1000</f>
        <v>56.041287188828171</v>
      </c>
      <c r="K25" s="264">
        <f>('C-57'!K25/'C-56'!K25)*1000</f>
        <v>56.030164584136067</v>
      </c>
      <c r="L25" s="264">
        <f>('C-57'!L25/'C-56'!L25)*1000</f>
        <v>56.035049288061344</v>
      </c>
      <c r="M25" s="264">
        <f>('C-57'!M25/'C-56'!M25)*1000</f>
        <v>56.032083810770999</v>
      </c>
      <c r="N25" s="264">
        <f>('C-57'!N25/'C-56'!N25)*1000</f>
        <v>56.074326092645897</v>
      </c>
      <c r="O25" s="158"/>
      <c r="Q25" s="134"/>
    </row>
    <row r="26" spans="1:17" ht="12.75" customHeight="1">
      <c r="A26" s="152" t="s">
        <v>38</v>
      </c>
      <c r="B26" s="642">
        <f>('C-57'!B26/'C-56'!B26)*1000</f>
        <v>46.896321566300806</v>
      </c>
      <c r="C26" s="264">
        <f>('C-57'!C26/'C-56'!C26)*1000</f>
        <v>48.504983388704318</v>
      </c>
      <c r="D26" s="264">
        <f>('C-57'!D26/'C-56'!D26)*1000</f>
        <v>47.586872586872587</v>
      </c>
      <c r="E26" s="264">
        <f>('C-57'!E26/'C-56'!E26)*1000</f>
        <v>47.639484978540771</v>
      </c>
      <c r="F26" s="264">
        <f>('C-57'!F26/'C-56'!F26)*1000</f>
        <v>47.070408665681924</v>
      </c>
      <c r="G26" s="264">
        <f>('C-57'!G26/'C-56'!G26)*1000</f>
        <v>44.735796583234006</v>
      </c>
      <c r="H26" s="264">
        <f>('C-57'!H26/'C-56'!H26)*1000</f>
        <v>47.332730560578661</v>
      </c>
      <c r="I26" s="264">
        <f>('C-57'!I26/'C-56'!I26)*1000</f>
        <v>50.157586672669972</v>
      </c>
      <c r="J26" s="264">
        <f>('C-57'!J26/'C-56'!J26)*1000</f>
        <v>47.557967439565864</v>
      </c>
      <c r="K26" s="264">
        <f>('C-57'!K26/'C-56'!K26)*1000</f>
        <v>41.889218595450046</v>
      </c>
      <c r="L26" s="264">
        <f>('C-57'!L26/'C-56'!L26)*1000</f>
        <v>45.101500441306264</v>
      </c>
      <c r="M26" s="264">
        <f>('C-57'!M26/'C-56'!M26)*1000</f>
        <v>46.347714651858183</v>
      </c>
      <c r="N26" s="264">
        <f>('C-57'!N26/'C-56'!N26)*1000</f>
        <v>48.476257973068755</v>
      </c>
      <c r="O26" s="158"/>
      <c r="Q26" s="134"/>
    </row>
    <row r="27" spans="1:17" ht="12.75" customHeight="1">
      <c r="A27" s="152" t="s">
        <v>39</v>
      </c>
      <c r="B27" s="642">
        <f>('C-57'!B27/'C-56'!B27)*1000</f>
        <v>40.838658598654078</v>
      </c>
      <c r="C27" s="264">
        <f>('C-57'!C27/'C-56'!C27)*1000</f>
        <v>39.776886874673174</v>
      </c>
      <c r="D27" s="264">
        <f>('C-57'!D27/'C-56'!D27)*1000</f>
        <v>41.02209944751381</v>
      </c>
      <c r="E27" s="264">
        <f>('C-57'!E27/'C-56'!E27)*1000</f>
        <v>40.754257907542581</v>
      </c>
      <c r="F27" s="264">
        <f>('C-57'!F27/'C-56'!F27)*1000</f>
        <v>40.667704549385917</v>
      </c>
      <c r="G27" s="264">
        <f>('C-57'!G27/'C-56'!G27)*1000</f>
        <v>39.027982326951403</v>
      </c>
      <c r="H27" s="264">
        <f>('C-57'!H27/'C-56'!H27)*1000</f>
        <v>41.656703672075146</v>
      </c>
      <c r="I27" s="264">
        <f>('C-57'!I27/'C-56'!I27)*1000</f>
        <v>42.374051069703249</v>
      </c>
      <c r="J27" s="264">
        <f>('C-57'!J27/'C-56'!J27)*1000</f>
        <v>42.332650273224047</v>
      </c>
      <c r="K27" s="264">
        <f>('C-57'!K27/'C-56'!K27)*1000</f>
        <v>41.462158915393857</v>
      </c>
      <c r="L27" s="264">
        <f>('C-57'!L27/'C-56'!L27)*1000</f>
        <v>40.386258759186468</v>
      </c>
      <c r="M27" s="264">
        <f>('C-57'!M27/'C-56'!M27)*1000</f>
        <v>40.317512816272533</v>
      </c>
      <c r="N27" s="264">
        <f>('C-57'!N27/'C-56'!N27)*1000</f>
        <v>40.411067193675891</v>
      </c>
      <c r="O27" s="158"/>
      <c r="Q27" s="134"/>
    </row>
    <row r="28" spans="1:17" ht="12.75" customHeight="1">
      <c r="A28" s="152" t="s">
        <v>40</v>
      </c>
      <c r="B28" s="642">
        <f>('C-57'!B28/'C-56'!B28)*1000</f>
        <v>45.356698357626726</v>
      </c>
      <c r="C28" s="264">
        <f>('C-57'!C28/'C-56'!C28)*1000</f>
        <v>44.819004524886878</v>
      </c>
      <c r="D28" s="264">
        <f>('C-57'!D28/'C-56'!D28)*1000</f>
        <v>45.535924617196699</v>
      </c>
      <c r="E28" s="264">
        <f>('C-57'!E28/'C-56'!E28)*1000</f>
        <v>47.162859248341931</v>
      </c>
      <c r="F28" s="264">
        <f>('C-57'!F28/'C-56'!F28)*1000</f>
        <v>49.806338028169009</v>
      </c>
      <c r="G28" s="264">
        <f>('C-57'!G28/'C-56'!G28)*1000</f>
        <v>46.643554995272609</v>
      </c>
      <c r="H28" s="264">
        <f>('C-57'!H28/'C-56'!H28)*1000</f>
        <v>46.900175131348512</v>
      </c>
      <c r="I28" s="264">
        <f>('C-57'!I28/'C-56'!I28)*1000</f>
        <v>46.881513548180209</v>
      </c>
      <c r="J28" s="264">
        <f>('C-57'!J28/'C-56'!J28)*1000</f>
        <v>47.196870925684486</v>
      </c>
      <c r="K28" s="264">
        <f>('C-57'!K28/'C-56'!K28)*1000</f>
        <v>45.781249999999993</v>
      </c>
      <c r="L28" s="264">
        <f>('C-57'!L28/'C-56'!L28)*1000</f>
        <v>45.965317919075147</v>
      </c>
      <c r="M28" s="264">
        <f>('C-57'!M28/'C-56'!M28)*1000</f>
        <v>35.647952722667789</v>
      </c>
      <c r="N28" s="264">
        <f>('C-57'!N28/'C-56'!N28)*1000</f>
        <v>39.685554458177222</v>
      </c>
      <c r="O28" s="158"/>
      <c r="Q28" s="134"/>
    </row>
    <row r="29" spans="1:17" ht="12.75" customHeight="1">
      <c r="A29" s="129" t="s">
        <v>41</v>
      </c>
      <c r="B29" s="642">
        <f>('C-57'!B29/'C-56'!B29)*1000</f>
        <v>42.18862538902593</v>
      </c>
      <c r="C29" s="264">
        <f>('C-57'!C29/'C-56'!C29)*1000</f>
        <v>40.708126949183637</v>
      </c>
      <c r="D29" s="264">
        <f>('C-57'!D29/'C-56'!D29)*1000</f>
        <v>41.723079270036799</v>
      </c>
      <c r="E29" s="264">
        <f>('C-57'!E29/'C-56'!E29)*1000</f>
        <v>40.785498489425983</v>
      </c>
      <c r="F29" s="264">
        <f>('C-57'!F29/'C-56'!F29)*1000</f>
        <v>42.264529058116239</v>
      </c>
      <c r="G29" s="264">
        <f>('C-57'!G29/'C-56'!G29)*1000</f>
        <v>42.76054097056484</v>
      </c>
      <c r="H29" s="264">
        <f>('C-57'!H29/'C-56'!H29)*1000</f>
        <v>43.604050423641247</v>
      </c>
      <c r="I29" s="264">
        <f>('C-57'!I29/'C-56'!I29)*1000</f>
        <v>43.057532018702993</v>
      </c>
      <c r="J29" s="264">
        <f>('C-57'!J29/'C-56'!J29)*1000</f>
        <v>42.832764505119457</v>
      </c>
      <c r="K29" s="264">
        <f>('C-57'!K29/'C-56'!K29)*1000</f>
        <v>43.047183537726042</v>
      </c>
      <c r="L29" s="264">
        <f>('C-57'!L29/'C-56'!L29)*1000</f>
        <v>43.506907545164715</v>
      </c>
      <c r="M29" s="264">
        <f>('C-57'!M29/'C-56'!M29)*1000</f>
        <v>42.040312628547923</v>
      </c>
      <c r="N29" s="264">
        <f>('C-57'!N29/'C-56'!N29)*1000</f>
        <v>40.473036896877957</v>
      </c>
      <c r="O29" s="158"/>
      <c r="Q29" s="134"/>
    </row>
    <row r="30" spans="1:17" ht="12.75" customHeight="1">
      <c r="A30" s="127" t="s">
        <v>100</v>
      </c>
      <c r="B30" s="642">
        <f>('C-57'!B30/'C-56'!B30)*1000</f>
        <v>40.703128557766739</v>
      </c>
      <c r="C30" s="264">
        <f>('C-57'!C30/'C-56'!C30)*1000</f>
        <v>38.081395348837205</v>
      </c>
      <c r="D30" s="264">
        <f>('C-57'!D30/'C-56'!D30)*1000</f>
        <v>39.121756487025948</v>
      </c>
      <c r="E30" s="264">
        <f>('C-57'!E30/'C-56'!E30)*1000</f>
        <v>37.337337337337338</v>
      </c>
      <c r="F30" s="264">
        <f>('C-57'!F30/'C-56'!F30)*1000</f>
        <v>40.257648953301128</v>
      </c>
      <c r="G30" s="264">
        <f>('C-57'!G30/'C-56'!G30)*1000</f>
        <v>42.061742006615212</v>
      </c>
      <c r="H30" s="264">
        <f>('C-57'!H30/'C-56'!H30)*1000</f>
        <v>43.28358208955224</v>
      </c>
      <c r="I30" s="264">
        <f>('C-57'!I30/'C-56'!I30)*1000</f>
        <v>42.134519177320733</v>
      </c>
      <c r="J30" s="264">
        <f>('C-57'!J30/'C-56'!J30)*1000</f>
        <v>42.102137767220903</v>
      </c>
      <c r="K30" s="264">
        <f>('C-57'!K30/'C-56'!K30)*1000</f>
        <v>41.939252336448597</v>
      </c>
      <c r="L30" s="264">
        <f>('C-57'!L30/'C-56'!L30)*1000</f>
        <v>42.024720423778696</v>
      </c>
      <c r="M30" s="264">
        <f>('C-57'!M30/'C-56'!M30)*1000</f>
        <v>41.173120728929383</v>
      </c>
      <c r="N30" s="264">
        <f>('C-57'!N30/'C-56'!N30)*1000</f>
        <v>40.186403508771932</v>
      </c>
      <c r="O30" s="158"/>
      <c r="Q30" s="134"/>
    </row>
    <row r="31" spans="1:17" ht="12.75" customHeight="1">
      <c r="A31" s="127" t="s">
        <v>101</v>
      </c>
      <c r="B31" s="642">
        <f>('C-57'!B31/'C-56'!B31)*1000</f>
        <v>43.035606185680479</v>
      </c>
      <c r="C31" s="264">
        <f>('C-57'!C31/'C-56'!C31)*1000</f>
        <v>42.308827871272513</v>
      </c>
      <c r="D31" s="264">
        <f>('C-57'!D31/'C-56'!D31)*1000</f>
        <v>43.301132681090095</v>
      </c>
      <c r="E31" s="264">
        <f>('C-57'!E31/'C-56'!E31)*1000</f>
        <v>42.874469375379014</v>
      </c>
      <c r="F31" s="264">
        <f>('C-57'!F31/'C-56'!F31)*1000</f>
        <v>43.42820594819316</v>
      </c>
      <c r="G31" s="264">
        <f>('C-57'!G31/'C-56'!G31)*1000</f>
        <v>43.123833229620409</v>
      </c>
      <c r="H31" s="264">
        <f>('C-57'!H31/'C-56'!H31)*1000</f>
        <v>43.784307394252501</v>
      </c>
      <c r="I31" s="264">
        <f>('C-57'!I31/'C-56'!I31)*1000</f>
        <v>43.589743589743584</v>
      </c>
      <c r="J31" s="264">
        <f>('C-57'!J31/'C-56'!J31)*1000</f>
        <v>43.242343541944074</v>
      </c>
      <c r="K31" s="264">
        <f>('C-57'!K31/'C-56'!K31)*1000</f>
        <v>43.659244917715398</v>
      </c>
      <c r="L31" s="264">
        <f>('C-57'!L31/'C-56'!L31)*1000</f>
        <v>44.344644045242852</v>
      </c>
      <c r="M31" s="264">
        <f>('C-57'!M31/'C-56'!M31)*1000</f>
        <v>42.530585962652928</v>
      </c>
      <c r="N31" s="264">
        <f>('C-57'!N31/'C-56'!N31)*1000</f>
        <v>40.624097081768269</v>
      </c>
      <c r="O31" s="158"/>
      <c r="Q31" s="134"/>
    </row>
    <row r="32" spans="1:17" ht="12.75" customHeight="1">
      <c r="A32" s="152" t="s">
        <v>44</v>
      </c>
      <c r="B32" s="642">
        <f>('C-57'!B32/'C-56'!B32)*1000</f>
        <v>35.607755406413126</v>
      </c>
      <c r="C32" s="264">
        <f>('C-57'!C32/'C-56'!C32)*1000</f>
        <v>42.736954206602768</v>
      </c>
      <c r="D32" s="264">
        <f>('C-57'!D32/'C-56'!D32)*1000</f>
        <v>41.125101543460602</v>
      </c>
      <c r="E32" s="264">
        <f>('C-57'!E32/'C-56'!E32)*1000</f>
        <v>39.738034272207997</v>
      </c>
      <c r="F32" s="264">
        <f>('C-57'!F32/'C-56'!F32)*1000</f>
        <v>35.774717982747177</v>
      </c>
      <c r="G32" s="264">
        <f>('C-57'!G32/'C-56'!G32)*1000</f>
        <v>33.782297965915333</v>
      </c>
      <c r="H32" s="264">
        <f>('C-57'!H32/'C-56'!H32)*1000</f>
        <v>35.437899464501641</v>
      </c>
      <c r="I32" s="264">
        <f>('C-57'!I32/'C-56'!I32)*1000</f>
        <v>34.700172366869275</v>
      </c>
      <c r="J32" s="264">
        <f>('C-57'!J32/'C-56'!J32)*1000</f>
        <v>35.762577053092059</v>
      </c>
      <c r="K32" s="264">
        <f>('C-57'!K32/'C-56'!K32)*1000</f>
        <v>34.618569982515879</v>
      </c>
      <c r="L32" s="264">
        <f>('C-57'!L32/'C-56'!L32)*1000</f>
        <v>34.66866342193935</v>
      </c>
      <c r="M32" s="264">
        <f>('C-57'!M32/'C-56'!M32)*1000</f>
        <v>31.575979701155909</v>
      </c>
      <c r="N32" s="264">
        <f>('C-57'!N32/'C-56'!N32)*1000</f>
        <v>29.428100321096938</v>
      </c>
      <c r="O32" s="158"/>
      <c r="Q32" s="134"/>
    </row>
    <row r="33" spans="1:17" ht="12.75" customHeight="1">
      <c r="A33" s="152" t="s">
        <v>45</v>
      </c>
      <c r="B33" s="642">
        <f>('C-57'!B33/'C-56'!B33)*1000</f>
        <v>34.141950524543454</v>
      </c>
      <c r="C33" s="264">
        <f>('C-57'!C33/'C-56'!C33)*1000</f>
        <v>33.528773072747015</v>
      </c>
      <c r="D33" s="264">
        <f>('C-57'!D33/'C-56'!D33)*1000</f>
        <v>33.856540084388179</v>
      </c>
      <c r="E33" s="264">
        <f>('C-57'!E33/'C-56'!E33)*1000</f>
        <v>34.251700680272116</v>
      </c>
      <c r="F33" s="264">
        <f>('C-57'!F33/'C-56'!F33)*1000</f>
        <v>34.627426424546023</v>
      </c>
      <c r="G33" s="264">
        <f>('C-57'!G33/'C-56'!G33)*1000</f>
        <v>34.649122807017541</v>
      </c>
      <c r="H33" s="264">
        <f>('C-57'!H33/'C-56'!H33)*1000</f>
        <v>35.172863666014351</v>
      </c>
      <c r="I33" s="264">
        <f>('C-57'!I33/'C-56'!I33)*1000</f>
        <v>34.882280049566297</v>
      </c>
      <c r="J33" s="264">
        <f>('C-57'!J33/'C-56'!J33)*1000</f>
        <v>34.53775582215949</v>
      </c>
      <c r="K33" s="264">
        <f>('C-57'!K33/'C-56'!K33)*1000</f>
        <v>33.994995829858219</v>
      </c>
      <c r="L33" s="264">
        <f>('C-57'!L33/'C-56'!L33)*1000</f>
        <v>32.820976491862567</v>
      </c>
      <c r="M33" s="264">
        <f>('C-57'!M33/'C-56'!M33)*1000</f>
        <v>32.858431018935981</v>
      </c>
      <c r="N33" s="264">
        <f>('C-57'!N33/'C-56'!N33)*1000</f>
        <v>33.043478260869563</v>
      </c>
      <c r="O33" s="158"/>
      <c r="Q33" s="134"/>
    </row>
    <row r="34" spans="1:17" ht="12.75" customHeight="1">
      <c r="A34" s="129" t="s">
        <v>46</v>
      </c>
      <c r="B34" s="642">
        <f>('C-57'!B34/'C-56'!B34)*1000</f>
        <v>40.786910790806388</v>
      </c>
      <c r="C34" s="264">
        <f>('C-57'!C34/'C-56'!C34)*1000</f>
        <v>41.143378440018253</v>
      </c>
      <c r="D34" s="264">
        <f>('C-57'!D34/'C-56'!D34)*1000</f>
        <v>40.791355474336562</v>
      </c>
      <c r="E34" s="264">
        <f>('C-57'!E34/'C-56'!E34)*1000</f>
        <v>42.105263157894733</v>
      </c>
      <c r="F34" s="264">
        <f>('C-57'!F34/'C-56'!F34)*1000</f>
        <v>41.126425046792576</v>
      </c>
      <c r="G34" s="264">
        <f>('C-57'!G34/'C-56'!G34)*1000</f>
        <v>45.29223830107123</v>
      </c>
      <c r="H34" s="264">
        <f>('C-57'!H34/'C-56'!H34)*1000</f>
        <v>39.874608150470216</v>
      </c>
      <c r="I34" s="264">
        <f>('C-57'!I34/'C-56'!I34)*1000</f>
        <v>37.002465656921451</v>
      </c>
      <c r="J34" s="264">
        <f>('C-57'!J34/'C-56'!J34)*1000</f>
        <v>39.410868461147793</v>
      </c>
      <c r="K34" s="264">
        <f>('C-57'!K34/'C-56'!K34)*1000</f>
        <v>41.038232199228347</v>
      </c>
      <c r="L34" s="264">
        <f>('C-57'!L34/'C-56'!L34)*1000</f>
        <v>39.676190476190477</v>
      </c>
      <c r="M34" s="264">
        <f>('C-57'!M34/'C-56'!M34)*1000</f>
        <v>40.132780082987551</v>
      </c>
      <c r="N34" s="264">
        <f>('C-57'!N34/'C-56'!N34)*1000</f>
        <v>41.575940498005821</v>
      </c>
      <c r="O34" s="158"/>
      <c r="Q34" s="134"/>
    </row>
    <row r="35" spans="1:17" ht="12.75" customHeight="1">
      <c r="A35" s="129" t="s">
        <v>47</v>
      </c>
      <c r="B35" s="642">
        <f>('C-57'!B35/'C-56'!B35)*1000</f>
        <v>41.44363157177262</v>
      </c>
      <c r="C35" s="264">
        <f>('C-57'!C35/'C-56'!C35)*1000</f>
        <v>40.85</v>
      </c>
      <c r="D35" s="264">
        <f>('C-57'!D35/'C-56'!D35)*1000</f>
        <v>40.314960629921259</v>
      </c>
      <c r="E35" s="264">
        <f>('C-57'!E35/'C-56'!E35)*1000</f>
        <v>43.206751054852319</v>
      </c>
      <c r="F35" s="264">
        <f>('C-57'!F35/'C-56'!F35)*1000</f>
        <v>43.165871456637667</v>
      </c>
      <c r="G35" s="264">
        <f>('C-57'!G35/'C-56'!G35)*1000</f>
        <v>45.462452884894169</v>
      </c>
      <c r="H35" s="264">
        <f>('C-57'!H35/'C-56'!H35)*1000</f>
        <v>40.976253298153033</v>
      </c>
      <c r="I35" s="264">
        <f>('C-57'!I35/'C-56'!I35)*1000</f>
        <v>47.659834811869075</v>
      </c>
      <c r="J35" s="264">
        <f>('C-57'!J35/'C-56'!J35)*1000</f>
        <v>40.881458966565354</v>
      </c>
      <c r="K35" s="264">
        <f>('C-57'!K35/'C-56'!K35)*1000</f>
        <v>40.005913660555883</v>
      </c>
      <c r="L35" s="264">
        <f>('C-57'!L35/'C-56'!L35)*1000</f>
        <v>37.378917378917372</v>
      </c>
      <c r="M35" s="264">
        <f>('C-57'!M35/'C-56'!M35)*1000</f>
        <v>37.4649467190129</v>
      </c>
      <c r="N35" s="264">
        <f>('C-57'!N35/'C-56'!N35)*1000</f>
        <v>40.828157349896479</v>
      </c>
      <c r="O35" s="158"/>
      <c r="Q35" s="134"/>
    </row>
    <row r="36" spans="1:17" ht="12.75" customHeight="1">
      <c r="A36" s="129" t="s">
        <v>48</v>
      </c>
      <c r="B36" s="642">
        <f>('C-57'!B36/'C-56'!B36)*1000</f>
        <v>47.39222990952635</v>
      </c>
      <c r="C36" s="264">
        <f>('C-57'!C36/'C-56'!C36)*1000</f>
        <v>49.25053533190578</v>
      </c>
      <c r="D36" s="264">
        <f>('C-57'!D36/'C-56'!D36)*1000</f>
        <v>43.584229390681003</v>
      </c>
      <c r="E36" s="264">
        <f>('C-57'!E36/'C-56'!E36)*1000</f>
        <v>45.756172839506171</v>
      </c>
      <c r="F36" s="264">
        <f>('C-57'!F36/'C-56'!F36)*1000</f>
        <v>45.099739809193409</v>
      </c>
      <c r="G36" s="264">
        <f>('C-57'!G36/'C-56'!G36)*1000</f>
        <v>44.979591836734691</v>
      </c>
      <c r="H36" s="264">
        <f>('C-57'!H36/'C-56'!H36)*1000</f>
        <v>44.214559386973185</v>
      </c>
      <c r="I36" s="264">
        <f>('C-57'!I36/'C-56'!I36)*1000</f>
        <v>40.975609756097562</v>
      </c>
      <c r="J36" s="264">
        <f>('C-57'!J36/'C-56'!J36)*1000</f>
        <v>43.63484087102178</v>
      </c>
      <c r="K36" s="264">
        <f>('C-57'!K36/'C-56'!K36)*1000</f>
        <v>45.039508340649689</v>
      </c>
      <c r="L36" s="264">
        <f>('C-57'!L36/'C-56'!L36)*1000</f>
        <v>45.000000000000007</v>
      </c>
      <c r="M36" s="264">
        <f>('C-57'!M36/'C-56'!M36)*1000</f>
        <v>43.388429752066116</v>
      </c>
      <c r="N36" s="264">
        <f>('C-57'!N36/'C-56'!N36)*1000</f>
        <v>69.027611044417768</v>
      </c>
      <c r="O36" s="158"/>
      <c r="Q36" s="134"/>
    </row>
    <row r="37" spans="1:17" ht="12.75" customHeight="1" thickBot="1">
      <c r="A37" s="154" t="s">
        <v>49</v>
      </c>
      <c r="B37" s="643">
        <f>('C-57'!B37/'C-56'!B37)*1000</f>
        <v>63.955909991364855</v>
      </c>
      <c r="C37" s="265">
        <f>('C-57'!C37/'C-56'!C37)*1000</f>
        <v>58.835904628331001</v>
      </c>
      <c r="D37" s="265">
        <f>('C-57'!D37/'C-56'!D37)*1000</f>
        <v>59.471947194719469</v>
      </c>
      <c r="E37" s="265">
        <f>('C-57'!E37/'C-56'!E37)*1000</f>
        <v>65.779467680608363</v>
      </c>
      <c r="F37" s="265">
        <f>('C-57'!F37/'C-56'!F37)*1000</f>
        <v>62.884483937115512</v>
      </c>
      <c r="G37" s="265">
        <f>('C-57'!G37/'C-56'!G37)*1000</f>
        <v>63.227354529094185</v>
      </c>
      <c r="H37" s="265">
        <f>('C-57'!H37/'C-56'!H37)*1000</f>
        <v>64.945496270797477</v>
      </c>
      <c r="I37" s="265">
        <f>('C-57'!I37/'C-56'!I37)*1000</f>
        <v>67.71995043370508</v>
      </c>
      <c r="J37" s="265">
        <f>('C-57'!J37/'C-56'!J37)*1000</f>
        <v>65.675340768277565</v>
      </c>
      <c r="K37" s="265">
        <f>('C-57'!K37/'C-56'!K37)*1000</f>
        <v>65.610859728506796</v>
      </c>
      <c r="L37" s="265">
        <f>('C-57'!L37/'C-56'!L37)*1000</f>
        <v>65.87855991402472</v>
      </c>
      <c r="M37" s="265">
        <f>('C-57'!M37/'C-56'!M37)*1000</f>
        <v>65.659679408138103</v>
      </c>
      <c r="N37" s="265">
        <f>('C-57'!N37/'C-56'!N37)*1000</f>
        <v>61.782608695652172</v>
      </c>
      <c r="O37" s="158"/>
      <c r="Q37" s="134"/>
    </row>
    <row r="38" spans="1:17" ht="9" customHeight="1">
      <c r="A38" s="778" t="s">
        <v>402</v>
      </c>
      <c r="B38" s="811"/>
      <c r="C38" s="811"/>
      <c r="D38" s="813"/>
      <c r="E38" s="813"/>
      <c r="F38" s="257"/>
    </row>
    <row r="39" spans="1:17" ht="9" customHeight="1">
      <c r="A39" s="778" t="s">
        <v>359</v>
      </c>
      <c r="B39" s="811"/>
      <c r="C39" s="811"/>
      <c r="D39" s="813"/>
      <c r="E39" s="813"/>
      <c r="F39" s="257"/>
    </row>
    <row r="40" spans="1:17" ht="9" customHeight="1">
      <c r="A40" s="780" t="s">
        <v>358</v>
      </c>
      <c r="B40" s="813"/>
      <c r="C40" s="813"/>
      <c r="D40" s="813"/>
      <c r="E40" s="813"/>
      <c r="F40" s="257"/>
    </row>
    <row r="41" spans="1:17" ht="13.25" customHeight="1">
      <c r="A41" s="11"/>
    </row>
    <row r="42" spans="1:17" ht="13.25" customHeight="1">
      <c r="A42" s="73"/>
    </row>
    <row r="43" spans="1:17" ht="13.25" customHeight="1">
      <c r="A43" s="73"/>
    </row>
    <row r="44" spans="1:17" ht="13.25" customHeight="1">
      <c r="A44" s="24"/>
    </row>
    <row r="45" spans="1:17" ht="13.25" customHeight="1">
      <c r="A45" s="33"/>
    </row>
    <row r="46" spans="1:17" ht="13.25" customHeight="1">
      <c r="A46" s="24"/>
    </row>
    <row r="47" spans="1:17" ht="13.25" customHeight="1">
      <c r="A47" s="73"/>
    </row>
    <row r="48" spans="1:17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60">
    <tabColor theme="9" tint="0.59999389629810485"/>
  </sheetPr>
  <dimension ref="A4:O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5" ht="13.25" customHeight="1">
      <c r="A4" s="249" t="s">
        <v>532</v>
      </c>
      <c r="B4" s="245"/>
    </row>
    <row r="5" spans="1:15" ht="13.25" customHeight="1">
      <c r="A5" s="254" t="s">
        <v>238</v>
      </c>
      <c r="B5" s="247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</row>
    <row r="6" spans="1:15" ht="4" customHeight="1" thickBot="1"/>
    <row r="7" spans="1:15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30"/>
    </row>
    <row r="8" spans="1:15" ht="15" customHeight="1">
      <c r="A8" s="604" t="s">
        <v>90</v>
      </c>
      <c r="B8" s="609">
        <f t="shared" ref="B8:B37" si="0">SUM(C8:N8)</f>
        <v>1316220.0574654136</v>
      </c>
      <c r="C8" s="609">
        <f t="shared" ref="C8:N8" si="1">SUM(C9:C13,C17:C29,C32:C37)</f>
        <v>100113.88655837759</v>
      </c>
      <c r="D8" s="609">
        <f t="shared" si="1"/>
        <v>104087.95659432985</v>
      </c>
      <c r="E8" s="609">
        <f t="shared" si="1"/>
        <v>106590.41077162063</v>
      </c>
      <c r="F8" s="609">
        <f t="shared" si="1"/>
        <v>114899.5368524918</v>
      </c>
      <c r="G8" s="609">
        <f t="shared" si="1"/>
        <v>117706.3345136952</v>
      </c>
      <c r="H8" s="609">
        <f t="shared" si="1"/>
        <v>117508.13217489861</v>
      </c>
      <c r="I8" s="609">
        <f t="shared" si="1"/>
        <v>117146</v>
      </c>
      <c r="J8" s="609">
        <f t="shared" si="1"/>
        <v>111251.8</v>
      </c>
      <c r="K8" s="609">
        <f t="shared" si="1"/>
        <v>108055</v>
      </c>
      <c r="L8" s="609">
        <f t="shared" si="1"/>
        <v>104504</v>
      </c>
      <c r="M8" s="609">
        <f t="shared" si="1"/>
        <v>106854</v>
      </c>
      <c r="N8" s="609">
        <f t="shared" si="1"/>
        <v>107503</v>
      </c>
      <c r="O8" s="130"/>
    </row>
    <row r="9" spans="1:15" ht="12.75" customHeight="1">
      <c r="A9" s="152" t="s">
        <v>21</v>
      </c>
      <c r="B9" s="637">
        <f t="shared" si="0"/>
        <v>3329</v>
      </c>
      <c r="C9" s="258">
        <v>274</v>
      </c>
      <c r="D9" s="258">
        <v>286</v>
      </c>
      <c r="E9" s="258">
        <v>296</v>
      </c>
      <c r="F9" s="258">
        <v>265</v>
      </c>
      <c r="G9" s="258">
        <v>284</v>
      </c>
      <c r="H9" s="258">
        <v>267</v>
      </c>
      <c r="I9" s="258">
        <v>251</v>
      </c>
      <c r="J9" s="258">
        <v>249</v>
      </c>
      <c r="K9" s="258">
        <v>285</v>
      </c>
      <c r="L9" s="258">
        <v>281</v>
      </c>
      <c r="M9" s="258">
        <v>313</v>
      </c>
      <c r="N9" s="258">
        <v>278</v>
      </c>
      <c r="O9" s="130"/>
    </row>
    <row r="10" spans="1:15" ht="12.75" customHeight="1">
      <c r="A10" s="152" t="s">
        <v>22</v>
      </c>
      <c r="B10" s="637">
        <f t="shared" si="0"/>
        <v>47003.857465413683</v>
      </c>
      <c r="C10" s="258">
        <v>3571.8865583776001</v>
      </c>
      <c r="D10" s="258">
        <v>3894.5565943298402</v>
      </c>
      <c r="E10" s="258">
        <v>3904.4107716206399</v>
      </c>
      <c r="F10" s="258">
        <v>4017.5368524918008</v>
      </c>
      <c r="G10" s="258">
        <v>4166.3345136952003</v>
      </c>
      <c r="H10" s="258">
        <v>3915.1321748986002</v>
      </c>
      <c r="I10" s="258">
        <v>4087</v>
      </c>
      <c r="J10" s="258">
        <v>3928</v>
      </c>
      <c r="K10" s="258">
        <v>3809</v>
      </c>
      <c r="L10" s="258">
        <v>3958</v>
      </c>
      <c r="M10" s="258">
        <v>4219</v>
      </c>
      <c r="N10" s="258">
        <v>3533</v>
      </c>
      <c r="O10" s="130"/>
    </row>
    <row r="11" spans="1:15" ht="12.75" customHeight="1">
      <c r="A11" s="152" t="s">
        <v>23</v>
      </c>
      <c r="B11" s="637">
        <f t="shared" si="0"/>
        <v>20895</v>
      </c>
      <c r="C11" s="258">
        <v>1996</v>
      </c>
      <c r="D11" s="258">
        <v>2194</v>
      </c>
      <c r="E11" s="258">
        <v>1879</v>
      </c>
      <c r="F11" s="258">
        <v>1822</v>
      </c>
      <c r="G11" s="258">
        <v>1943</v>
      </c>
      <c r="H11" s="258">
        <v>1899</v>
      </c>
      <c r="I11" s="258">
        <v>1484</v>
      </c>
      <c r="J11" s="258">
        <v>1496</v>
      </c>
      <c r="K11" s="258">
        <v>1542</v>
      </c>
      <c r="L11" s="258">
        <v>1584</v>
      </c>
      <c r="M11" s="258">
        <v>1426</v>
      </c>
      <c r="N11" s="258">
        <v>1630</v>
      </c>
      <c r="O11" s="130"/>
    </row>
    <row r="12" spans="1:15" ht="12.75" customHeight="1">
      <c r="A12" s="129" t="s">
        <v>24</v>
      </c>
      <c r="B12" s="637">
        <f t="shared" si="0"/>
        <v>63890</v>
      </c>
      <c r="C12" s="258">
        <v>5112</v>
      </c>
      <c r="D12" s="258">
        <v>5125</v>
      </c>
      <c r="E12" s="258">
        <v>5150</v>
      </c>
      <c r="F12" s="258">
        <v>5197</v>
      </c>
      <c r="G12" s="258">
        <v>5168</v>
      </c>
      <c r="H12" s="258">
        <v>5248</v>
      </c>
      <c r="I12" s="258">
        <v>5644</v>
      </c>
      <c r="J12" s="258">
        <v>5820</v>
      </c>
      <c r="K12" s="258">
        <v>5458</v>
      </c>
      <c r="L12" s="258">
        <v>5486</v>
      </c>
      <c r="M12" s="258">
        <v>5280</v>
      </c>
      <c r="N12" s="258">
        <v>5202</v>
      </c>
      <c r="O12" s="130"/>
    </row>
    <row r="13" spans="1:15" ht="12.75" customHeight="1">
      <c r="A13" s="152" t="s">
        <v>25</v>
      </c>
      <c r="B13" s="637">
        <f t="shared" si="0"/>
        <v>179786</v>
      </c>
      <c r="C13" s="258">
        <v>14214</v>
      </c>
      <c r="D13" s="258">
        <v>15040</v>
      </c>
      <c r="E13" s="258">
        <v>14211</v>
      </c>
      <c r="F13" s="258">
        <v>14651</v>
      </c>
      <c r="G13" s="258">
        <v>15413</v>
      </c>
      <c r="H13" s="258">
        <v>15850</v>
      </c>
      <c r="I13" s="258">
        <v>15968</v>
      </c>
      <c r="J13" s="258">
        <v>14974</v>
      </c>
      <c r="K13" s="258">
        <v>15266</v>
      </c>
      <c r="L13" s="258">
        <v>14714</v>
      </c>
      <c r="M13" s="258">
        <v>15028</v>
      </c>
      <c r="N13" s="258">
        <v>14457</v>
      </c>
      <c r="O13" s="130"/>
    </row>
    <row r="14" spans="1:15" ht="12.75" customHeight="1">
      <c r="A14" s="127" t="s">
        <v>97</v>
      </c>
      <c r="B14" s="637">
        <f t="shared" si="0"/>
        <v>98733</v>
      </c>
      <c r="C14" s="258">
        <v>7416</v>
      </c>
      <c r="D14" s="258">
        <v>8167</v>
      </c>
      <c r="E14" s="258">
        <v>8007</v>
      </c>
      <c r="F14" s="258">
        <v>7805</v>
      </c>
      <c r="G14" s="258">
        <v>7853</v>
      </c>
      <c r="H14" s="258">
        <v>8181</v>
      </c>
      <c r="I14" s="258">
        <v>8942</v>
      </c>
      <c r="J14" s="258">
        <v>8431</v>
      </c>
      <c r="K14" s="258">
        <v>8501</v>
      </c>
      <c r="L14" s="258">
        <v>8688</v>
      </c>
      <c r="M14" s="258">
        <v>8502</v>
      </c>
      <c r="N14" s="258">
        <v>8240</v>
      </c>
      <c r="O14" s="130"/>
    </row>
    <row r="15" spans="1:15" ht="12.75" customHeight="1">
      <c r="A15" s="127" t="s">
        <v>98</v>
      </c>
      <c r="B15" s="637">
        <f t="shared" si="0"/>
        <v>50966</v>
      </c>
      <c r="C15" s="258">
        <v>4583</v>
      </c>
      <c r="D15" s="258">
        <v>4638</v>
      </c>
      <c r="E15" s="258">
        <v>4128</v>
      </c>
      <c r="F15" s="258">
        <v>4012</v>
      </c>
      <c r="G15" s="258">
        <v>4210</v>
      </c>
      <c r="H15" s="258">
        <v>4133</v>
      </c>
      <c r="I15" s="258">
        <v>4303</v>
      </c>
      <c r="J15" s="258">
        <v>4296</v>
      </c>
      <c r="K15" s="258">
        <v>4394</v>
      </c>
      <c r="L15" s="258">
        <v>3812</v>
      </c>
      <c r="M15" s="258">
        <v>4419</v>
      </c>
      <c r="N15" s="258">
        <v>4038</v>
      </c>
      <c r="O15" s="130"/>
    </row>
    <row r="16" spans="1:15" ht="12.75" customHeight="1">
      <c r="A16" s="127" t="s">
        <v>99</v>
      </c>
      <c r="B16" s="637">
        <f t="shared" si="0"/>
        <v>30087</v>
      </c>
      <c r="C16" s="258">
        <v>2215</v>
      </c>
      <c r="D16" s="258">
        <v>2235</v>
      </c>
      <c r="E16" s="258">
        <v>2076</v>
      </c>
      <c r="F16" s="258">
        <v>2834</v>
      </c>
      <c r="G16" s="258">
        <v>3350</v>
      </c>
      <c r="H16" s="258">
        <v>3536</v>
      </c>
      <c r="I16" s="258">
        <v>2723</v>
      </c>
      <c r="J16" s="258">
        <v>2247</v>
      </c>
      <c r="K16" s="258">
        <v>2371</v>
      </c>
      <c r="L16" s="258">
        <v>2214</v>
      </c>
      <c r="M16" s="258">
        <v>2107</v>
      </c>
      <c r="N16" s="258">
        <v>2179</v>
      </c>
      <c r="O16" s="130"/>
    </row>
    <row r="17" spans="1:15" ht="12.75" customHeight="1">
      <c r="A17" s="152" t="s">
        <v>29</v>
      </c>
      <c r="B17" s="637">
        <f t="shared" si="0"/>
        <v>56392</v>
      </c>
      <c r="C17" s="258">
        <v>4807</v>
      </c>
      <c r="D17" s="258">
        <v>4765</v>
      </c>
      <c r="E17" s="258">
        <v>4524</v>
      </c>
      <c r="F17" s="258">
        <v>4036</v>
      </c>
      <c r="G17" s="258">
        <v>4340</v>
      </c>
      <c r="H17" s="258">
        <v>4572</v>
      </c>
      <c r="I17" s="258">
        <v>4801</v>
      </c>
      <c r="J17" s="258">
        <v>4700</v>
      </c>
      <c r="K17" s="258">
        <v>4905</v>
      </c>
      <c r="L17" s="258">
        <v>4856</v>
      </c>
      <c r="M17" s="258">
        <v>4778</v>
      </c>
      <c r="N17" s="258">
        <v>5308</v>
      </c>
      <c r="O17" s="130"/>
    </row>
    <row r="18" spans="1:15" ht="12.75" customHeight="1">
      <c r="A18" s="129" t="s">
        <v>30</v>
      </c>
      <c r="B18" s="637">
        <f t="shared" si="0"/>
        <v>62463</v>
      </c>
      <c r="C18" s="258">
        <v>5578</v>
      </c>
      <c r="D18" s="258">
        <v>6001</v>
      </c>
      <c r="E18" s="258">
        <v>5245</v>
      </c>
      <c r="F18" s="258">
        <v>5769</v>
      </c>
      <c r="G18" s="258">
        <v>5498</v>
      </c>
      <c r="H18" s="258">
        <v>5803</v>
      </c>
      <c r="I18" s="258">
        <v>4768</v>
      </c>
      <c r="J18" s="258">
        <v>4798</v>
      </c>
      <c r="K18" s="258">
        <v>4808</v>
      </c>
      <c r="L18" s="258">
        <v>4705</v>
      </c>
      <c r="M18" s="258">
        <v>4756</v>
      </c>
      <c r="N18" s="258">
        <v>4734</v>
      </c>
      <c r="O18" s="130"/>
    </row>
    <row r="19" spans="1:15" ht="12.75" customHeight="1">
      <c r="A19" s="129" t="s">
        <v>31</v>
      </c>
      <c r="B19" s="637">
        <f t="shared" si="0"/>
        <v>109623.8</v>
      </c>
      <c r="C19" s="258">
        <v>8395</v>
      </c>
      <c r="D19" s="258">
        <v>8302</v>
      </c>
      <c r="E19" s="258">
        <v>8852</v>
      </c>
      <c r="F19" s="258">
        <v>9192</v>
      </c>
      <c r="G19" s="258">
        <v>9741</v>
      </c>
      <c r="H19" s="258">
        <v>9359</v>
      </c>
      <c r="I19" s="258">
        <v>9810</v>
      </c>
      <c r="J19" s="258">
        <v>8994.7999999999993</v>
      </c>
      <c r="K19" s="258">
        <v>8975</v>
      </c>
      <c r="L19" s="258">
        <v>8937</v>
      </c>
      <c r="M19" s="258">
        <v>9588</v>
      </c>
      <c r="N19" s="258">
        <v>9478</v>
      </c>
      <c r="O19" s="130"/>
    </row>
    <row r="20" spans="1:15" ht="12.75" customHeight="1">
      <c r="A20" s="152" t="s">
        <v>32</v>
      </c>
      <c r="B20" s="637">
        <f t="shared" si="0"/>
        <v>21179</v>
      </c>
      <c r="C20" s="258">
        <v>1480</v>
      </c>
      <c r="D20" s="258">
        <v>1551</v>
      </c>
      <c r="E20" s="258">
        <v>1590</v>
      </c>
      <c r="F20" s="258">
        <v>1665</v>
      </c>
      <c r="G20" s="258">
        <v>1853</v>
      </c>
      <c r="H20" s="258">
        <v>1874</v>
      </c>
      <c r="I20" s="258">
        <v>1921</v>
      </c>
      <c r="J20" s="258">
        <v>2050</v>
      </c>
      <c r="K20" s="258">
        <v>2035</v>
      </c>
      <c r="L20" s="258">
        <v>1657</v>
      </c>
      <c r="M20" s="258">
        <v>1670</v>
      </c>
      <c r="N20" s="258">
        <v>1833</v>
      </c>
      <c r="O20" s="130"/>
    </row>
    <row r="21" spans="1:15" ht="12.75" customHeight="1">
      <c r="A21" s="152" t="s">
        <v>33</v>
      </c>
      <c r="B21" s="637">
        <f t="shared" si="0"/>
        <v>151838</v>
      </c>
      <c r="C21" s="258">
        <v>11653</v>
      </c>
      <c r="D21" s="258">
        <v>11345</v>
      </c>
      <c r="E21" s="258">
        <v>11378</v>
      </c>
      <c r="F21" s="258">
        <v>13310</v>
      </c>
      <c r="G21" s="258">
        <v>13198</v>
      </c>
      <c r="H21" s="258">
        <v>11773</v>
      </c>
      <c r="I21" s="258">
        <v>13756</v>
      </c>
      <c r="J21" s="258">
        <v>12793</v>
      </c>
      <c r="K21" s="258">
        <v>13572</v>
      </c>
      <c r="L21" s="258">
        <v>12599</v>
      </c>
      <c r="M21" s="258">
        <v>13001</v>
      </c>
      <c r="N21" s="258">
        <v>13460</v>
      </c>
      <c r="O21" s="130"/>
    </row>
    <row r="22" spans="1:15" ht="12.75" customHeight="1">
      <c r="A22" s="152" t="s">
        <v>34</v>
      </c>
      <c r="B22" s="637">
        <f t="shared" si="0"/>
        <v>23734</v>
      </c>
      <c r="C22" s="258">
        <v>1212</v>
      </c>
      <c r="D22" s="258">
        <v>1259</v>
      </c>
      <c r="E22" s="258">
        <v>1703</v>
      </c>
      <c r="F22" s="258">
        <v>2050</v>
      </c>
      <c r="G22" s="258">
        <v>2402</v>
      </c>
      <c r="H22" s="258">
        <v>2753</v>
      </c>
      <c r="I22" s="258">
        <v>2876</v>
      </c>
      <c r="J22" s="258">
        <v>2301</v>
      </c>
      <c r="K22" s="258">
        <v>1488</v>
      </c>
      <c r="L22" s="258">
        <v>1322</v>
      </c>
      <c r="M22" s="258">
        <v>1841</v>
      </c>
      <c r="N22" s="258">
        <v>2527</v>
      </c>
      <c r="O22" s="130"/>
    </row>
    <row r="23" spans="1:15" ht="12.75" customHeight="1">
      <c r="A23" s="152" t="s">
        <v>35</v>
      </c>
      <c r="B23" s="637">
        <f t="shared" si="0"/>
        <v>59365</v>
      </c>
      <c r="C23" s="258">
        <v>4997</v>
      </c>
      <c r="D23" s="258">
        <v>4742</v>
      </c>
      <c r="E23" s="258">
        <v>5045</v>
      </c>
      <c r="F23" s="258">
        <v>4722</v>
      </c>
      <c r="G23" s="258">
        <v>4876</v>
      </c>
      <c r="H23" s="258">
        <v>4938</v>
      </c>
      <c r="I23" s="258">
        <v>5035</v>
      </c>
      <c r="J23" s="258">
        <v>4955</v>
      </c>
      <c r="K23" s="258">
        <v>4947</v>
      </c>
      <c r="L23" s="258">
        <v>4967</v>
      </c>
      <c r="M23" s="258">
        <v>4821</v>
      </c>
      <c r="N23" s="258">
        <v>5320</v>
      </c>
      <c r="O23" s="130"/>
    </row>
    <row r="24" spans="1:15" ht="12.75" customHeight="1">
      <c r="A24" s="152" t="s">
        <v>36</v>
      </c>
      <c r="B24" s="637">
        <f t="shared" si="0"/>
        <v>25999.599999999999</v>
      </c>
      <c r="C24" s="258">
        <v>2098</v>
      </c>
      <c r="D24" s="258">
        <v>2147.6</v>
      </c>
      <c r="E24" s="258">
        <v>1890</v>
      </c>
      <c r="F24" s="258">
        <v>2086</v>
      </c>
      <c r="G24" s="258">
        <v>2314</v>
      </c>
      <c r="H24" s="258">
        <v>2293</v>
      </c>
      <c r="I24" s="258">
        <v>2287</v>
      </c>
      <c r="J24" s="258">
        <v>2112</v>
      </c>
      <c r="K24" s="258">
        <v>2057</v>
      </c>
      <c r="L24" s="258">
        <v>2243</v>
      </c>
      <c r="M24" s="258">
        <v>2194</v>
      </c>
      <c r="N24" s="258">
        <v>2278</v>
      </c>
      <c r="O24" s="130"/>
    </row>
    <row r="25" spans="1:15" ht="12.75" customHeight="1">
      <c r="A25" s="129" t="s">
        <v>37</v>
      </c>
      <c r="B25" s="637">
        <f t="shared" si="0"/>
        <v>32484</v>
      </c>
      <c r="C25" s="258">
        <v>2742</v>
      </c>
      <c r="D25" s="258">
        <v>2774</v>
      </c>
      <c r="E25" s="258">
        <v>2782</v>
      </c>
      <c r="F25" s="258">
        <v>2545</v>
      </c>
      <c r="G25" s="258">
        <v>2569</v>
      </c>
      <c r="H25" s="258">
        <v>2599</v>
      </c>
      <c r="I25" s="258">
        <v>2691</v>
      </c>
      <c r="J25" s="258">
        <v>2706</v>
      </c>
      <c r="K25" s="258">
        <v>2745</v>
      </c>
      <c r="L25" s="258">
        <v>2763</v>
      </c>
      <c r="M25" s="258">
        <v>2725</v>
      </c>
      <c r="N25" s="258">
        <v>2843</v>
      </c>
      <c r="O25" s="130"/>
    </row>
    <row r="26" spans="1:15" ht="12.75" customHeight="1">
      <c r="A26" s="152" t="s">
        <v>38</v>
      </c>
      <c r="B26" s="637">
        <f t="shared" si="0"/>
        <v>3570</v>
      </c>
      <c r="C26" s="258">
        <v>301</v>
      </c>
      <c r="D26" s="258">
        <v>243</v>
      </c>
      <c r="E26" s="258">
        <v>268</v>
      </c>
      <c r="F26" s="258">
        <v>263</v>
      </c>
      <c r="G26" s="258">
        <v>281</v>
      </c>
      <c r="H26" s="258">
        <v>272</v>
      </c>
      <c r="I26" s="258">
        <v>263</v>
      </c>
      <c r="J26" s="258">
        <v>282</v>
      </c>
      <c r="K26" s="258">
        <v>321</v>
      </c>
      <c r="L26" s="258">
        <v>334</v>
      </c>
      <c r="M26" s="258">
        <v>341</v>
      </c>
      <c r="N26" s="258">
        <v>401</v>
      </c>
      <c r="O26" s="130"/>
    </row>
    <row r="27" spans="1:15" ht="12.75" customHeight="1">
      <c r="A27" s="152" t="s">
        <v>39</v>
      </c>
      <c r="B27" s="637">
        <f t="shared" si="0"/>
        <v>5276</v>
      </c>
      <c r="C27" s="258">
        <v>374</v>
      </c>
      <c r="D27" s="258">
        <v>425</v>
      </c>
      <c r="E27" s="258">
        <v>414</v>
      </c>
      <c r="F27" s="258">
        <v>425</v>
      </c>
      <c r="G27" s="258">
        <v>431</v>
      </c>
      <c r="H27" s="258">
        <v>456</v>
      </c>
      <c r="I27" s="258">
        <v>460</v>
      </c>
      <c r="J27" s="258">
        <v>443</v>
      </c>
      <c r="K27" s="258">
        <v>456</v>
      </c>
      <c r="L27" s="258">
        <v>447</v>
      </c>
      <c r="M27" s="258">
        <v>452</v>
      </c>
      <c r="N27" s="258">
        <v>493</v>
      </c>
      <c r="O27" s="130"/>
    </row>
    <row r="28" spans="1:15" ht="12.75" customHeight="1">
      <c r="A28" s="152" t="s">
        <v>40</v>
      </c>
      <c r="B28" s="637">
        <f t="shared" si="0"/>
        <v>93214</v>
      </c>
      <c r="C28" s="258">
        <v>6070</v>
      </c>
      <c r="D28" s="258">
        <v>6228</v>
      </c>
      <c r="E28" s="258">
        <v>8048</v>
      </c>
      <c r="F28" s="258">
        <v>9068</v>
      </c>
      <c r="G28" s="258">
        <v>9079</v>
      </c>
      <c r="H28" s="258">
        <v>8881</v>
      </c>
      <c r="I28" s="258">
        <v>8731</v>
      </c>
      <c r="J28" s="258">
        <v>8044</v>
      </c>
      <c r="K28" s="258">
        <v>6824</v>
      </c>
      <c r="L28" s="258">
        <v>6797</v>
      </c>
      <c r="M28" s="258">
        <v>7527</v>
      </c>
      <c r="N28" s="258">
        <v>7917</v>
      </c>
      <c r="O28" s="130"/>
    </row>
    <row r="29" spans="1:15" ht="12.75" customHeight="1">
      <c r="A29" s="152" t="s">
        <v>41</v>
      </c>
      <c r="B29" s="637">
        <f t="shared" si="0"/>
        <v>37934.800000000003</v>
      </c>
      <c r="C29" s="258">
        <v>3336</v>
      </c>
      <c r="D29" s="258">
        <v>3359.8</v>
      </c>
      <c r="E29" s="258">
        <v>3431</v>
      </c>
      <c r="F29" s="258">
        <v>3344</v>
      </c>
      <c r="G29" s="258">
        <v>3286</v>
      </c>
      <c r="H29" s="258">
        <v>3150</v>
      </c>
      <c r="I29" s="258">
        <v>3185</v>
      </c>
      <c r="J29" s="258">
        <v>2987</v>
      </c>
      <c r="K29" s="258">
        <v>2942</v>
      </c>
      <c r="L29" s="258">
        <v>2975</v>
      </c>
      <c r="M29" s="258">
        <v>2933</v>
      </c>
      <c r="N29" s="258">
        <v>3006</v>
      </c>
      <c r="O29" s="130"/>
    </row>
    <row r="30" spans="1:15" ht="12.75" customHeight="1">
      <c r="A30" s="127" t="s">
        <v>100</v>
      </c>
      <c r="B30" s="637">
        <f t="shared" si="0"/>
        <v>18955.8</v>
      </c>
      <c r="C30" s="258">
        <v>1634</v>
      </c>
      <c r="D30" s="258">
        <v>1670.8</v>
      </c>
      <c r="E30" s="258">
        <v>1701</v>
      </c>
      <c r="F30" s="258">
        <v>1684</v>
      </c>
      <c r="G30" s="258">
        <v>1598</v>
      </c>
      <c r="H30" s="258">
        <v>1546</v>
      </c>
      <c r="I30" s="258">
        <v>1589</v>
      </c>
      <c r="J30" s="258">
        <v>1504</v>
      </c>
      <c r="K30" s="258">
        <v>1483</v>
      </c>
      <c r="L30" s="258">
        <v>1504</v>
      </c>
      <c r="M30" s="258">
        <v>1500</v>
      </c>
      <c r="N30" s="258">
        <v>1542</v>
      </c>
      <c r="O30" s="130"/>
    </row>
    <row r="31" spans="1:15" ht="12.75" customHeight="1">
      <c r="A31" s="127" t="s">
        <v>101</v>
      </c>
      <c r="B31" s="637">
        <f t="shared" si="0"/>
        <v>18979</v>
      </c>
      <c r="C31" s="258">
        <v>1702</v>
      </c>
      <c r="D31" s="258">
        <v>1689</v>
      </c>
      <c r="E31" s="258">
        <v>1730</v>
      </c>
      <c r="F31" s="258">
        <v>1660</v>
      </c>
      <c r="G31" s="258">
        <v>1688</v>
      </c>
      <c r="H31" s="258">
        <v>1604</v>
      </c>
      <c r="I31" s="258">
        <v>1596</v>
      </c>
      <c r="J31" s="258">
        <v>1483</v>
      </c>
      <c r="K31" s="258">
        <v>1459</v>
      </c>
      <c r="L31" s="258">
        <v>1471</v>
      </c>
      <c r="M31" s="258">
        <v>1433</v>
      </c>
      <c r="N31" s="258">
        <v>1464</v>
      </c>
      <c r="O31" s="130"/>
    </row>
    <row r="32" spans="1:15" ht="12.75" customHeight="1">
      <c r="A32" s="152" t="s">
        <v>44</v>
      </c>
      <c r="B32" s="637">
        <f t="shared" si="0"/>
        <v>76083</v>
      </c>
      <c r="C32" s="258">
        <v>5274</v>
      </c>
      <c r="D32" s="258">
        <v>5923</v>
      </c>
      <c r="E32" s="258">
        <v>6387</v>
      </c>
      <c r="F32" s="258">
        <v>6940</v>
      </c>
      <c r="G32" s="258">
        <v>7488</v>
      </c>
      <c r="H32" s="258">
        <v>7863</v>
      </c>
      <c r="I32" s="258">
        <v>7316</v>
      </c>
      <c r="J32" s="258">
        <v>6813</v>
      </c>
      <c r="K32" s="258">
        <v>6309</v>
      </c>
      <c r="L32" s="258">
        <v>5750</v>
      </c>
      <c r="M32" s="258">
        <v>5238</v>
      </c>
      <c r="N32" s="258">
        <v>4782</v>
      </c>
      <c r="O32" s="130"/>
    </row>
    <row r="33" spans="1:15" ht="12.75" customHeight="1">
      <c r="A33" s="152" t="s">
        <v>45</v>
      </c>
      <c r="B33" s="637">
        <f t="shared" si="0"/>
        <v>148880</v>
      </c>
      <c r="C33" s="258">
        <v>9105</v>
      </c>
      <c r="D33" s="258">
        <v>10790</v>
      </c>
      <c r="E33" s="258">
        <v>11775</v>
      </c>
      <c r="F33" s="258">
        <v>15730</v>
      </c>
      <c r="G33" s="258">
        <v>15830</v>
      </c>
      <c r="H33" s="258">
        <v>15840</v>
      </c>
      <c r="I33" s="258">
        <v>14350</v>
      </c>
      <c r="J33" s="258">
        <v>12930</v>
      </c>
      <c r="K33" s="258">
        <v>11450</v>
      </c>
      <c r="L33" s="258">
        <v>10500</v>
      </c>
      <c r="M33" s="258">
        <v>10660</v>
      </c>
      <c r="N33" s="258">
        <v>9920</v>
      </c>
      <c r="O33" s="130"/>
    </row>
    <row r="34" spans="1:15" ht="12.75" customHeight="1">
      <c r="A34" s="129" t="s">
        <v>46</v>
      </c>
      <c r="B34" s="637">
        <f t="shared" si="0"/>
        <v>52158</v>
      </c>
      <c r="C34" s="258">
        <v>4572</v>
      </c>
      <c r="D34" s="258">
        <v>4439</v>
      </c>
      <c r="E34" s="258">
        <v>4571</v>
      </c>
      <c r="F34" s="258">
        <v>4309</v>
      </c>
      <c r="G34" s="258">
        <v>4101</v>
      </c>
      <c r="H34" s="258">
        <v>4287</v>
      </c>
      <c r="I34" s="258">
        <v>4001</v>
      </c>
      <c r="J34" s="258">
        <v>4369</v>
      </c>
      <c r="K34" s="258">
        <v>4365</v>
      </c>
      <c r="L34" s="258">
        <v>4089</v>
      </c>
      <c r="M34" s="258">
        <v>4573</v>
      </c>
      <c r="N34" s="258">
        <v>4482</v>
      </c>
      <c r="O34" s="130"/>
    </row>
    <row r="35" spans="1:15" ht="12.75" customHeight="1">
      <c r="A35" s="129" t="s">
        <v>47</v>
      </c>
      <c r="B35" s="637">
        <f t="shared" si="0"/>
        <v>9982</v>
      </c>
      <c r="C35" s="258">
        <v>976</v>
      </c>
      <c r="D35" s="258">
        <v>847</v>
      </c>
      <c r="E35" s="258">
        <v>794</v>
      </c>
      <c r="F35" s="258">
        <v>775</v>
      </c>
      <c r="G35" s="258">
        <v>791</v>
      </c>
      <c r="H35" s="258">
        <v>759</v>
      </c>
      <c r="I35" s="258">
        <v>714</v>
      </c>
      <c r="J35" s="258">
        <v>753</v>
      </c>
      <c r="K35" s="258">
        <v>780</v>
      </c>
      <c r="L35" s="258">
        <v>851</v>
      </c>
      <c r="M35" s="258">
        <v>884</v>
      </c>
      <c r="N35" s="258">
        <v>1058</v>
      </c>
      <c r="O35" s="130"/>
    </row>
    <row r="36" spans="1:15" ht="12.75" customHeight="1">
      <c r="A36" s="129" t="s">
        <v>48</v>
      </c>
      <c r="B36" s="637">
        <f t="shared" si="0"/>
        <v>17518</v>
      </c>
      <c r="C36" s="258">
        <v>1023</v>
      </c>
      <c r="D36" s="258">
        <v>1181</v>
      </c>
      <c r="E36" s="258">
        <v>1263</v>
      </c>
      <c r="F36" s="258">
        <v>1521</v>
      </c>
      <c r="G36" s="258">
        <v>1316</v>
      </c>
      <c r="H36" s="258">
        <v>1688</v>
      </c>
      <c r="I36" s="258">
        <v>1628</v>
      </c>
      <c r="J36" s="258">
        <v>1582</v>
      </c>
      <c r="K36" s="258">
        <v>1658</v>
      </c>
      <c r="L36" s="258">
        <v>1565</v>
      </c>
      <c r="M36" s="258">
        <v>1497</v>
      </c>
      <c r="N36" s="258">
        <v>1596</v>
      </c>
      <c r="O36" s="130"/>
    </row>
    <row r="37" spans="1:15" ht="12.75" customHeight="1" thickBot="1">
      <c r="A37" s="154" t="s">
        <v>49</v>
      </c>
      <c r="B37" s="645">
        <f t="shared" si="0"/>
        <v>13622</v>
      </c>
      <c r="C37" s="259">
        <v>953</v>
      </c>
      <c r="D37" s="259">
        <v>1226</v>
      </c>
      <c r="E37" s="259">
        <v>1190</v>
      </c>
      <c r="F37" s="259">
        <v>1197</v>
      </c>
      <c r="G37" s="259">
        <v>1338</v>
      </c>
      <c r="H37" s="259">
        <v>1169</v>
      </c>
      <c r="I37" s="259">
        <v>1119</v>
      </c>
      <c r="J37" s="259">
        <v>1172</v>
      </c>
      <c r="K37" s="259">
        <v>1058</v>
      </c>
      <c r="L37" s="259">
        <v>1124</v>
      </c>
      <c r="M37" s="259">
        <v>1109</v>
      </c>
      <c r="N37" s="259">
        <v>967</v>
      </c>
      <c r="O37" s="130"/>
    </row>
    <row r="38" spans="1:15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5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5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5" ht="13.25" customHeight="1">
      <c r="A41" s="11"/>
    </row>
    <row r="42" spans="1:15" ht="13.25" customHeight="1">
      <c r="A42" s="73"/>
    </row>
    <row r="43" spans="1:15" ht="13.25" customHeight="1">
      <c r="A43" s="73"/>
    </row>
    <row r="44" spans="1:15" ht="13.25" customHeight="1">
      <c r="A44" s="24"/>
    </row>
    <row r="45" spans="1:15" ht="13.25" customHeight="1">
      <c r="A45" s="33"/>
    </row>
    <row r="46" spans="1:15" ht="13.25" customHeight="1">
      <c r="A46" s="24"/>
    </row>
    <row r="47" spans="1:15" ht="13.25" customHeight="1">
      <c r="A47" s="73"/>
    </row>
    <row r="48" spans="1:15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1">
    <tabColor theme="9" tint="0.59999389629810485"/>
  </sheetPr>
  <dimension ref="A4:Z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34" customWidth="1"/>
    <col min="3" max="14" width="9" style="134" customWidth="1"/>
    <col min="15" max="16384" width="7" style="129"/>
  </cols>
  <sheetData>
    <row r="4" spans="1:26" ht="13.25" customHeight="1">
      <c r="A4" s="249" t="s">
        <v>533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26" ht="13.25" customHeight="1">
      <c r="A5" s="254" t="s">
        <v>236</v>
      </c>
      <c r="B5" s="247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</row>
    <row r="6" spans="1:26" ht="4" customHeight="1" thickBot="1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</row>
    <row r="7" spans="1:26" ht="15" customHeight="1">
      <c r="A7" s="595" t="s">
        <v>18</v>
      </c>
      <c r="B7" s="597" t="s">
        <v>106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  <c r="O7" s="130"/>
      <c r="P7" s="130"/>
      <c r="Q7" s="130"/>
      <c r="R7" s="128"/>
      <c r="S7" s="130"/>
    </row>
    <row r="8" spans="1:26" ht="15" customHeight="1">
      <c r="A8" s="604" t="s">
        <v>90</v>
      </c>
      <c r="B8" s="609">
        <f t="shared" ref="B8:B37" si="0">SUM(C8:N8)</f>
        <v>192718.40000000002</v>
      </c>
      <c r="C8" s="609">
        <f t="shared" ref="C8:N8" si="1">SUM(C9:C13,C17:C29,C32:C37)</f>
        <v>14509.6</v>
      </c>
      <c r="D8" s="609">
        <f t="shared" si="1"/>
        <v>15190.3</v>
      </c>
      <c r="E8" s="609">
        <f t="shared" si="1"/>
        <v>15477.299999999996</v>
      </c>
      <c r="F8" s="609">
        <f t="shared" si="1"/>
        <v>16865.099999999999</v>
      </c>
      <c r="G8" s="609">
        <f t="shared" si="1"/>
        <v>17391.700000000004</v>
      </c>
      <c r="H8" s="609">
        <f t="shared" si="1"/>
        <v>17247.399999999998</v>
      </c>
      <c r="I8" s="609">
        <f t="shared" si="1"/>
        <v>17012.100000000002</v>
      </c>
      <c r="J8" s="609">
        <f t="shared" si="1"/>
        <v>16407.3</v>
      </c>
      <c r="K8" s="609">
        <f t="shared" si="1"/>
        <v>15977.8</v>
      </c>
      <c r="L8" s="609">
        <f t="shared" si="1"/>
        <v>15305.600000000002</v>
      </c>
      <c r="M8" s="609">
        <f t="shared" si="1"/>
        <v>15672.600000000002</v>
      </c>
      <c r="N8" s="609">
        <f t="shared" si="1"/>
        <v>15661.6</v>
      </c>
      <c r="O8" s="130"/>
      <c r="P8" s="130"/>
      <c r="Q8" s="130"/>
      <c r="R8" s="128"/>
      <c r="S8" s="130"/>
    </row>
    <row r="9" spans="1:26" ht="12.75" customHeight="1">
      <c r="A9" s="152" t="s">
        <v>21</v>
      </c>
      <c r="B9" s="637">
        <f t="shared" si="0"/>
        <v>494.40000000000003</v>
      </c>
      <c r="C9" s="258">
        <v>39.799999999999997</v>
      </c>
      <c r="D9" s="258">
        <v>42.8</v>
      </c>
      <c r="E9" s="258">
        <v>43.9</v>
      </c>
      <c r="F9" s="258">
        <v>39.6</v>
      </c>
      <c r="G9" s="258">
        <v>41.3</v>
      </c>
      <c r="H9" s="258">
        <v>38.5</v>
      </c>
      <c r="I9" s="258">
        <v>36</v>
      </c>
      <c r="J9" s="258">
        <v>35.5</v>
      </c>
      <c r="K9" s="258">
        <v>43.3</v>
      </c>
      <c r="L9" s="258">
        <v>42.6</v>
      </c>
      <c r="M9" s="258">
        <v>47.8</v>
      </c>
      <c r="N9" s="258">
        <v>43.3</v>
      </c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spans="1:26" ht="12.75" customHeight="1">
      <c r="A10" s="152" t="s">
        <v>22</v>
      </c>
      <c r="B10" s="637">
        <f t="shared" si="0"/>
        <v>7206.8000000000011</v>
      </c>
      <c r="C10" s="258">
        <v>498.9</v>
      </c>
      <c r="D10" s="258">
        <v>581</v>
      </c>
      <c r="E10" s="258">
        <v>597</v>
      </c>
      <c r="F10" s="258">
        <v>610.20000000000005</v>
      </c>
      <c r="G10" s="258">
        <v>624.79999999999995</v>
      </c>
      <c r="H10" s="258">
        <v>577.20000000000005</v>
      </c>
      <c r="I10" s="258">
        <v>584.4</v>
      </c>
      <c r="J10" s="258">
        <v>665.4</v>
      </c>
      <c r="K10" s="258">
        <v>638.79999999999995</v>
      </c>
      <c r="L10" s="258">
        <v>599.5</v>
      </c>
      <c r="M10" s="258">
        <v>664.5</v>
      </c>
      <c r="N10" s="258">
        <v>565.1</v>
      </c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spans="1:26" ht="12.75" customHeight="1">
      <c r="A11" s="152" t="s">
        <v>23</v>
      </c>
      <c r="B11" s="637">
        <f t="shared" si="0"/>
        <v>2995.1000000000004</v>
      </c>
      <c r="C11" s="258">
        <v>275.39999999999998</v>
      </c>
      <c r="D11" s="258">
        <v>306.5</v>
      </c>
      <c r="E11" s="258">
        <v>267.39999999999998</v>
      </c>
      <c r="F11" s="258">
        <v>265.3</v>
      </c>
      <c r="G11" s="258">
        <v>278</v>
      </c>
      <c r="H11" s="258">
        <v>274.3</v>
      </c>
      <c r="I11" s="258">
        <v>216.2</v>
      </c>
      <c r="J11" s="258">
        <v>217</v>
      </c>
      <c r="K11" s="258">
        <v>222</v>
      </c>
      <c r="L11" s="258">
        <v>227.3</v>
      </c>
      <c r="M11" s="258">
        <v>208.4</v>
      </c>
      <c r="N11" s="258">
        <v>237.3</v>
      </c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spans="1:26" ht="12.75" customHeight="1">
      <c r="A12" s="129" t="s">
        <v>24</v>
      </c>
      <c r="B12" s="637">
        <f t="shared" si="0"/>
        <v>9165.9</v>
      </c>
      <c r="C12" s="258">
        <v>734.4</v>
      </c>
      <c r="D12" s="258">
        <v>740.9</v>
      </c>
      <c r="E12" s="258">
        <v>735.2</v>
      </c>
      <c r="F12" s="258">
        <v>740.1</v>
      </c>
      <c r="G12" s="258">
        <v>724.2</v>
      </c>
      <c r="H12" s="258">
        <v>739.3</v>
      </c>
      <c r="I12" s="258">
        <v>819.2</v>
      </c>
      <c r="J12" s="258">
        <v>835.7</v>
      </c>
      <c r="K12" s="258">
        <v>777.7</v>
      </c>
      <c r="L12" s="258">
        <v>799.4</v>
      </c>
      <c r="M12" s="258">
        <v>758.6</v>
      </c>
      <c r="N12" s="258">
        <v>761.2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spans="1:26" ht="12.75" customHeight="1">
      <c r="A13" s="152" t="s">
        <v>25</v>
      </c>
      <c r="B13" s="637">
        <f t="shared" si="0"/>
        <v>23679.199999999997</v>
      </c>
      <c r="C13" s="258">
        <v>1792</v>
      </c>
      <c r="D13" s="258">
        <v>1950.6</v>
      </c>
      <c r="E13" s="258">
        <v>1769.7</v>
      </c>
      <c r="F13" s="258">
        <v>1884.7</v>
      </c>
      <c r="G13" s="258">
        <v>2029.9</v>
      </c>
      <c r="H13" s="258">
        <v>2065.1999999999998</v>
      </c>
      <c r="I13" s="258">
        <v>1992</v>
      </c>
      <c r="J13" s="258">
        <v>2048.4</v>
      </c>
      <c r="K13" s="258">
        <v>2113.6999999999998</v>
      </c>
      <c r="L13" s="258">
        <v>2026.7</v>
      </c>
      <c r="M13" s="258">
        <v>2098.6</v>
      </c>
      <c r="N13" s="258">
        <v>1907.7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spans="1:26" ht="12.75" customHeight="1">
      <c r="A14" s="127" t="s">
        <v>97</v>
      </c>
      <c r="B14" s="637">
        <f t="shared" si="0"/>
        <v>11952.7</v>
      </c>
      <c r="C14" s="258">
        <v>870.2</v>
      </c>
      <c r="D14" s="258">
        <v>981.2</v>
      </c>
      <c r="E14" s="258">
        <v>890.1</v>
      </c>
      <c r="F14" s="258">
        <v>920.6</v>
      </c>
      <c r="G14" s="258">
        <v>935.6</v>
      </c>
      <c r="H14" s="258">
        <v>966.1</v>
      </c>
      <c r="I14" s="258">
        <v>1019.8</v>
      </c>
      <c r="J14" s="258">
        <v>1095.8</v>
      </c>
      <c r="K14" s="258">
        <v>1108.5</v>
      </c>
      <c r="L14" s="258">
        <v>1115.5</v>
      </c>
      <c r="M14" s="258">
        <v>1085.9000000000001</v>
      </c>
      <c r="N14" s="258">
        <v>963.4</v>
      </c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spans="1:26" ht="12.75" customHeight="1">
      <c r="A15" s="127" t="s">
        <v>98</v>
      </c>
      <c r="B15" s="637">
        <f t="shared" si="0"/>
        <v>7093.7000000000016</v>
      </c>
      <c r="C15" s="258">
        <v>585.29999999999995</v>
      </c>
      <c r="D15" s="258">
        <v>630.20000000000005</v>
      </c>
      <c r="E15" s="258">
        <v>564.4</v>
      </c>
      <c r="F15" s="258">
        <v>533.4</v>
      </c>
      <c r="G15" s="258">
        <v>578.29999999999995</v>
      </c>
      <c r="H15" s="258">
        <v>562.29999999999995</v>
      </c>
      <c r="I15" s="258">
        <v>558.79999999999995</v>
      </c>
      <c r="J15" s="258">
        <v>605.29999999999995</v>
      </c>
      <c r="K15" s="258">
        <v>645.29999999999995</v>
      </c>
      <c r="L15" s="258">
        <v>560.29999999999995</v>
      </c>
      <c r="M15" s="258">
        <v>670.6</v>
      </c>
      <c r="N15" s="258">
        <v>599.5</v>
      </c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spans="1:26" ht="12.75" customHeight="1">
      <c r="A16" s="127" t="s">
        <v>99</v>
      </c>
      <c r="B16" s="637">
        <f t="shared" si="0"/>
        <v>4633.0000000000009</v>
      </c>
      <c r="C16" s="258">
        <v>336.5</v>
      </c>
      <c r="D16" s="258">
        <v>339.3</v>
      </c>
      <c r="E16" s="258">
        <v>315.2</v>
      </c>
      <c r="F16" s="258">
        <v>430.7</v>
      </c>
      <c r="G16" s="258">
        <v>516</v>
      </c>
      <c r="H16" s="258">
        <v>536.79999999999995</v>
      </c>
      <c r="I16" s="258">
        <v>413.4</v>
      </c>
      <c r="J16" s="258">
        <v>347.3</v>
      </c>
      <c r="K16" s="258">
        <v>359.9</v>
      </c>
      <c r="L16" s="258">
        <v>350.9</v>
      </c>
      <c r="M16" s="258">
        <v>342.2</v>
      </c>
      <c r="N16" s="258">
        <v>344.8</v>
      </c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spans="1:26" ht="12.75" customHeight="1">
      <c r="A17" s="152" t="s">
        <v>29</v>
      </c>
      <c r="B17" s="637">
        <f t="shared" si="0"/>
        <v>8002.0999999999995</v>
      </c>
      <c r="C17" s="258">
        <v>699.9</v>
      </c>
      <c r="D17" s="258">
        <v>709.3</v>
      </c>
      <c r="E17" s="258">
        <v>662.3</v>
      </c>
      <c r="F17" s="258">
        <v>582.70000000000005</v>
      </c>
      <c r="G17" s="258">
        <v>607.5</v>
      </c>
      <c r="H17" s="258">
        <v>601</v>
      </c>
      <c r="I17" s="258">
        <v>645</v>
      </c>
      <c r="J17" s="258">
        <v>636.9</v>
      </c>
      <c r="K17" s="258">
        <v>707.2</v>
      </c>
      <c r="L17" s="258">
        <v>696.3</v>
      </c>
      <c r="M17" s="258">
        <v>684.2</v>
      </c>
      <c r="N17" s="258">
        <v>769.8</v>
      </c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12.75" customHeight="1">
      <c r="A18" s="129" t="s">
        <v>30</v>
      </c>
      <c r="B18" s="637">
        <f t="shared" si="0"/>
        <v>8641.1999999999989</v>
      </c>
      <c r="C18" s="258">
        <v>819.5</v>
      </c>
      <c r="D18" s="258">
        <v>869.9</v>
      </c>
      <c r="E18" s="258">
        <v>743.4</v>
      </c>
      <c r="F18" s="258">
        <v>820</v>
      </c>
      <c r="G18" s="258">
        <v>772.7</v>
      </c>
      <c r="H18" s="258">
        <v>829.1</v>
      </c>
      <c r="I18" s="258">
        <v>629.4</v>
      </c>
      <c r="J18" s="258">
        <v>633.9</v>
      </c>
      <c r="K18" s="258">
        <v>642.20000000000005</v>
      </c>
      <c r="L18" s="258">
        <v>628.6</v>
      </c>
      <c r="M18" s="258">
        <v>627.70000000000005</v>
      </c>
      <c r="N18" s="258">
        <v>624.79999999999995</v>
      </c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spans="1:26" ht="12.75" customHeight="1">
      <c r="A19" s="129" t="s">
        <v>31</v>
      </c>
      <c r="B19" s="637">
        <f t="shared" si="0"/>
        <v>21447.4</v>
      </c>
      <c r="C19" s="258">
        <v>1661.1</v>
      </c>
      <c r="D19" s="258">
        <v>1631.8</v>
      </c>
      <c r="E19" s="258">
        <v>1726.6</v>
      </c>
      <c r="F19" s="258">
        <v>1811.3</v>
      </c>
      <c r="G19" s="258">
        <v>1890.2</v>
      </c>
      <c r="H19" s="258">
        <v>1830.5</v>
      </c>
      <c r="I19" s="258">
        <v>1892.9</v>
      </c>
      <c r="J19" s="258">
        <v>1782.2</v>
      </c>
      <c r="K19" s="258">
        <v>1765.7</v>
      </c>
      <c r="L19" s="258">
        <v>1746</v>
      </c>
      <c r="M19" s="258">
        <v>1866.1</v>
      </c>
      <c r="N19" s="258">
        <v>1843</v>
      </c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spans="1:26" ht="12.75" customHeight="1">
      <c r="A20" s="152" t="s">
        <v>32</v>
      </c>
      <c r="B20" s="637">
        <f t="shared" si="0"/>
        <v>2796.4999999999995</v>
      </c>
      <c r="C20" s="258">
        <v>202.7</v>
      </c>
      <c r="D20" s="258">
        <v>205.4</v>
      </c>
      <c r="E20" s="258">
        <v>212.9</v>
      </c>
      <c r="F20" s="258">
        <v>227.3</v>
      </c>
      <c r="G20" s="258">
        <v>243.2</v>
      </c>
      <c r="H20" s="258">
        <v>247</v>
      </c>
      <c r="I20" s="258">
        <v>266</v>
      </c>
      <c r="J20" s="258">
        <v>269.60000000000002</v>
      </c>
      <c r="K20" s="258">
        <v>270.2</v>
      </c>
      <c r="L20" s="258">
        <v>203.9</v>
      </c>
      <c r="M20" s="258">
        <v>213.6</v>
      </c>
      <c r="N20" s="258">
        <v>234.7</v>
      </c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spans="1:26" ht="12.75" customHeight="1">
      <c r="A21" s="152" t="s">
        <v>33</v>
      </c>
      <c r="B21" s="637">
        <f t="shared" si="0"/>
        <v>25252.5</v>
      </c>
      <c r="C21" s="258">
        <v>1938.5</v>
      </c>
      <c r="D21" s="258">
        <v>1894</v>
      </c>
      <c r="E21" s="258">
        <v>1877.5</v>
      </c>
      <c r="F21" s="258">
        <v>2240.3000000000002</v>
      </c>
      <c r="G21" s="258">
        <v>2219.1</v>
      </c>
      <c r="H21" s="258">
        <v>1941.9</v>
      </c>
      <c r="I21" s="258">
        <v>2261.8000000000002</v>
      </c>
      <c r="J21" s="258">
        <v>2124</v>
      </c>
      <c r="K21" s="258">
        <v>2262.8000000000002</v>
      </c>
      <c r="L21" s="258">
        <v>2093.4</v>
      </c>
      <c r="M21" s="258">
        <v>2162.1999999999998</v>
      </c>
      <c r="N21" s="258">
        <v>2237</v>
      </c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spans="1:26" ht="12.75" customHeight="1">
      <c r="A22" s="152" t="s">
        <v>34</v>
      </c>
      <c r="B22" s="637">
        <f t="shared" si="0"/>
        <v>3802.8999999999996</v>
      </c>
      <c r="C22" s="258">
        <v>195.4</v>
      </c>
      <c r="D22" s="258">
        <v>202.8</v>
      </c>
      <c r="E22" s="258">
        <v>274.3</v>
      </c>
      <c r="F22" s="258">
        <v>332</v>
      </c>
      <c r="G22" s="258">
        <v>377</v>
      </c>
      <c r="H22" s="258">
        <v>446.3</v>
      </c>
      <c r="I22" s="258">
        <v>467.6</v>
      </c>
      <c r="J22" s="258">
        <v>364.1</v>
      </c>
      <c r="K22" s="258">
        <v>241.2</v>
      </c>
      <c r="L22" s="258">
        <v>214.1</v>
      </c>
      <c r="M22" s="258">
        <v>297.7</v>
      </c>
      <c r="N22" s="258">
        <v>390.4</v>
      </c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spans="1:26" ht="12.75" customHeight="1">
      <c r="A23" s="152" t="s">
        <v>35</v>
      </c>
      <c r="B23" s="637">
        <f t="shared" si="0"/>
        <v>7787.0999999999985</v>
      </c>
      <c r="C23" s="258">
        <v>649.9</v>
      </c>
      <c r="D23" s="258">
        <v>631.4</v>
      </c>
      <c r="E23" s="258">
        <v>644.20000000000005</v>
      </c>
      <c r="F23" s="258">
        <v>622.4</v>
      </c>
      <c r="G23" s="258">
        <v>643.5</v>
      </c>
      <c r="H23" s="258">
        <v>648.79999999999995</v>
      </c>
      <c r="I23" s="258">
        <v>655.4</v>
      </c>
      <c r="J23" s="258">
        <v>647.5</v>
      </c>
      <c r="K23" s="258">
        <v>648.9</v>
      </c>
      <c r="L23" s="258">
        <v>652.70000000000005</v>
      </c>
      <c r="M23" s="258">
        <v>645.20000000000005</v>
      </c>
      <c r="N23" s="258">
        <v>697.2</v>
      </c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spans="1:26" ht="12.75" customHeight="1">
      <c r="A24" s="152" t="s">
        <v>36</v>
      </c>
      <c r="B24" s="637">
        <f t="shared" si="0"/>
        <v>3104.3</v>
      </c>
      <c r="C24" s="258">
        <v>253.4</v>
      </c>
      <c r="D24" s="258">
        <v>260.60000000000002</v>
      </c>
      <c r="E24" s="258">
        <v>225.4</v>
      </c>
      <c r="F24" s="258">
        <v>243.3</v>
      </c>
      <c r="G24" s="258">
        <v>278.89999999999998</v>
      </c>
      <c r="H24" s="258">
        <v>275.8</v>
      </c>
      <c r="I24" s="258">
        <v>273.60000000000002</v>
      </c>
      <c r="J24" s="258">
        <v>245.4</v>
      </c>
      <c r="K24" s="258">
        <v>240.4</v>
      </c>
      <c r="L24" s="258">
        <v>266.60000000000002</v>
      </c>
      <c r="M24" s="258">
        <v>260.39999999999998</v>
      </c>
      <c r="N24" s="258">
        <v>280.5</v>
      </c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spans="1:26" ht="12.75" customHeight="1">
      <c r="A25" s="129" t="s">
        <v>37</v>
      </c>
      <c r="B25" s="637">
        <f t="shared" si="0"/>
        <v>5347.9000000000005</v>
      </c>
      <c r="C25" s="258">
        <v>453.4</v>
      </c>
      <c r="D25" s="258">
        <v>448.6</v>
      </c>
      <c r="E25" s="258">
        <v>454</v>
      </c>
      <c r="F25" s="258">
        <v>419.5</v>
      </c>
      <c r="G25" s="258">
        <v>427.3</v>
      </c>
      <c r="H25" s="258">
        <v>432</v>
      </c>
      <c r="I25" s="258">
        <v>445.5</v>
      </c>
      <c r="J25" s="258">
        <v>447.5</v>
      </c>
      <c r="K25" s="258">
        <v>454.4</v>
      </c>
      <c r="L25" s="258">
        <v>456.7</v>
      </c>
      <c r="M25" s="258">
        <v>450.6</v>
      </c>
      <c r="N25" s="258">
        <v>458.4</v>
      </c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spans="1:26" ht="12.75" customHeight="1">
      <c r="A26" s="152" t="s">
        <v>38</v>
      </c>
      <c r="B26" s="637">
        <f t="shared" si="0"/>
        <v>718.5</v>
      </c>
      <c r="C26" s="258">
        <v>63.3</v>
      </c>
      <c r="D26" s="258">
        <v>47.5</v>
      </c>
      <c r="E26" s="258">
        <v>51.9</v>
      </c>
      <c r="F26" s="258">
        <v>50.4</v>
      </c>
      <c r="G26" s="258">
        <v>52.2</v>
      </c>
      <c r="H26" s="258">
        <v>56.9</v>
      </c>
      <c r="I26" s="258">
        <v>54.5</v>
      </c>
      <c r="J26" s="258">
        <v>57.9</v>
      </c>
      <c r="K26" s="258">
        <v>67.7</v>
      </c>
      <c r="L26" s="258">
        <v>67.599999999999994</v>
      </c>
      <c r="M26" s="258">
        <v>69.099999999999994</v>
      </c>
      <c r="N26" s="258">
        <v>79.5</v>
      </c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spans="1:26" ht="12.75" customHeight="1">
      <c r="A27" s="152" t="s">
        <v>39</v>
      </c>
      <c r="B27" s="637">
        <f t="shared" si="0"/>
        <v>997.1</v>
      </c>
      <c r="C27" s="258">
        <v>70.599999999999994</v>
      </c>
      <c r="D27" s="258">
        <v>80.2</v>
      </c>
      <c r="E27" s="258">
        <v>79.3</v>
      </c>
      <c r="F27" s="258">
        <v>81.2</v>
      </c>
      <c r="G27" s="258">
        <v>80.7</v>
      </c>
      <c r="H27" s="258">
        <v>86.9</v>
      </c>
      <c r="I27" s="258">
        <v>87.5</v>
      </c>
      <c r="J27" s="258">
        <v>84.1</v>
      </c>
      <c r="K27" s="258">
        <v>86.6</v>
      </c>
      <c r="L27" s="258">
        <v>79.599999999999994</v>
      </c>
      <c r="M27" s="258">
        <v>86</v>
      </c>
      <c r="N27" s="258">
        <v>94.4</v>
      </c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spans="1:26" ht="12.75" customHeight="1">
      <c r="A28" s="152" t="s">
        <v>40</v>
      </c>
      <c r="B28" s="637">
        <f t="shared" si="0"/>
        <v>11890.4</v>
      </c>
      <c r="C28" s="258">
        <v>746.4</v>
      </c>
      <c r="D28" s="258">
        <v>769.4</v>
      </c>
      <c r="E28" s="258">
        <v>1026.3</v>
      </c>
      <c r="F28" s="258">
        <v>1128.2</v>
      </c>
      <c r="G28" s="258">
        <v>1245.2</v>
      </c>
      <c r="H28" s="258">
        <v>1190.4000000000001</v>
      </c>
      <c r="I28" s="258">
        <v>1157.5</v>
      </c>
      <c r="J28" s="258">
        <v>1049.5</v>
      </c>
      <c r="K28" s="258">
        <v>869</v>
      </c>
      <c r="L28" s="258">
        <v>858.3</v>
      </c>
      <c r="M28" s="258">
        <v>914.1</v>
      </c>
      <c r="N28" s="258">
        <v>936.1</v>
      </c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spans="1:26" ht="12.75" customHeight="1">
      <c r="A29" s="152" t="s">
        <v>41</v>
      </c>
      <c r="B29" s="637">
        <f t="shared" si="0"/>
        <v>4277.4000000000005</v>
      </c>
      <c r="C29" s="258">
        <v>376</v>
      </c>
      <c r="D29" s="258">
        <v>375.1</v>
      </c>
      <c r="E29" s="258">
        <v>377.8</v>
      </c>
      <c r="F29" s="258">
        <v>371.7</v>
      </c>
      <c r="G29" s="258">
        <v>363</v>
      </c>
      <c r="H29" s="258">
        <v>357.8</v>
      </c>
      <c r="I29" s="258">
        <v>355.4</v>
      </c>
      <c r="J29" s="258">
        <v>342.1</v>
      </c>
      <c r="K29" s="258">
        <v>335.8</v>
      </c>
      <c r="L29" s="258">
        <v>340.9</v>
      </c>
      <c r="M29" s="258">
        <v>339.8</v>
      </c>
      <c r="N29" s="258">
        <v>342</v>
      </c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spans="1:26" ht="12.75" customHeight="1">
      <c r="A30" s="127" t="s">
        <v>100</v>
      </c>
      <c r="B30" s="637">
        <f t="shared" si="0"/>
        <v>2175.1999999999998</v>
      </c>
      <c r="C30" s="258">
        <v>190.3</v>
      </c>
      <c r="D30" s="258">
        <v>191.7</v>
      </c>
      <c r="E30" s="258">
        <v>193.3</v>
      </c>
      <c r="F30" s="258">
        <v>191.3</v>
      </c>
      <c r="G30" s="258">
        <v>180.6</v>
      </c>
      <c r="H30" s="258">
        <v>178.4</v>
      </c>
      <c r="I30" s="258">
        <v>179.1</v>
      </c>
      <c r="J30" s="258">
        <v>173.7</v>
      </c>
      <c r="K30" s="258">
        <v>170.3</v>
      </c>
      <c r="L30" s="258">
        <v>174.5</v>
      </c>
      <c r="M30" s="258">
        <v>175.4</v>
      </c>
      <c r="N30" s="258">
        <v>176.6</v>
      </c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spans="1:26" ht="12.75" customHeight="1">
      <c r="A31" s="127" t="s">
        <v>101</v>
      </c>
      <c r="B31" s="637">
        <f t="shared" si="0"/>
        <v>2102.0000000000005</v>
      </c>
      <c r="C31" s="258">
        <v>185.7</v>
      </c>
      <c r="D31" s="258">
        <v>183.4</v>
      </c>
      <c r="E31" s="258">
        <v>184.5</v>
      </c>
      <c r="F31" s="258">
        <v>180.3</v>
      </c>
      <c r="G31" s="258">
        <v>182.3</v>
      </c>
      <c r="H31" s="258">
        <v>179.4</v>
      </c>
      <c r="I31" s="258">
        <v>176.3</v>
      </c>
      <c r="J31" s="258">
        <v>168.5</v>
      </c>
      <c r="K31" s="258">
        <v>165.5</v>
      </c>
      <c r="L31" s="258">
        <v>166.4</v>
      </c>
      <c r="M31" s="258">
        <v>164.4</v>
      </c>
      <c r="N31" s="258">
        <v>165.3</v>
      </c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spans="1:26" ht="12.75" customHeight="1">
      <c r="A32" s="152" t="s">
        <v>44</v>
      </c>
      <c r="B32" s="637">
        <f t="shared" si="0"/>
        <v>11976.900000000001</v>
      </c>
      <c r="C32" s="258">
        <v>805</v>
      </c>
      <c r="D32" s="258">
        <v>923.6</v>
      </c>
      <c r="E32" s="258">
        <v>1017.5</v>
      </c>
      <c r="F32" s="258">
        <v>1128.5</v>
      </c>
      <c r="G32" s="258">
        <v>1226.2</v>
      </c>
      <c r="H32" s="258">
        <v>1277.9000000000001</v>
      </c>
      <c r="I32" s="258">
        <v>1172.5999999999999</v>
      </c>
      <c r="J32" s="258">
        <v>1075.5999999999999</v>
      </c>
      <c r="K32" s="258">
        <v>976.4</v>
      </c>
      <c r="L32" s="258">
        <v>874</v>
      </c>
      <c r="M32" s="258">
        <v>787.7</v>
      </c>
      <c r="N32" s="258">
        <v>711.9</v>
      </c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spans="1:26" ht="12.75" customHeight="1">
      <c r="A33" s="152" t="s">
        <v>45</v>
      </c>
      <c r="B33" s="637">
        <f t="shared" si="0"/>
        <v>21545.8</v>
      </c>
      <c r="C33" s="258">
        <v>1307.5999999999999</v>
      </c>
      <c r="D33" s="258">
        <v>1562.8</v>
      </c>
      <c r="E33" s="258">
        <v>1721.5</v>
      </c>
      <c r="F33" s="258">
        <v>2305.1</v>
      </c>
      <c r="G33" s="258">
        <v>2329</v>
      </c>
      <c r="H33" s="258">
        <v>2335.4</v>
      </c>
      <c r="I33" s="258">
        <v>2078.3000000000002</v>
      </c>
      <c r="J33" s="258">
        <v>1868.9</v>
      </c>
      <c r="K33" s="258">
        <v>1639.7</v>
      </c>
      <c r="L33" s="258">
        <v>1484.6</v>
      </c>
      <c r="M33" s="258">
        <v>1507.9</v>
      </c>
      <c r="N33" s="258">
        <v>1405</v>
      </c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spans="1:26" ht="12.75" customHeight="1">
      <c r="A34" s="129" t="s">
        <v>46</v>
      </c>
      <c r="B34" s="637">
        <f t="shared" si="0"/>
        <v>5683.0999999999995</v>
      </c>
      <c r="C34" s="258">
        <v>501.1</v>
      </c>
      <c r="D34" s="258">
        <v>487.2</v>
      </c>
      <c r="E34" s="258">
        <v>498.4</v>
      </c>
      <c r="F34" s="258">
        <v>468.3</v>
      </c>
      <c r="G34" s="258">
        <v>435.9</v>
      </c>
      <c r="H34" s="258">
        <v>479.9</v>
      </c>
      <c r="I34" s="258">
        <v>427.3</v>
      </c>
      <c r="J34" s="258">
        <v>474.8</v>
      </c>
      <c r="K34" s="258">
        <v>472</v>
      </c>
      <c r="L34" s="258">
        <v>433.6</v>
      </c>
      <c r="M34" s="258">
        <v>480.7</v>
      </c>
      <c r="N34" s="258">
        <v>523.9</v>
      </c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spans="1:26" ht="12.75" customHeight="1">
      <c r="A35" s="129" t="s">
        <v>47</v>
      </c>
      <c r="B35" s="637">
        <f t="shared" si="0"/>
        <v>1486.9000000000005</v>
      </c>
      <c r="C35" s="258">
        <v>144.69999999999999</v>
      </c>
      <c r="D35" s="258">
        <v>122.9</v>
      </c>
      <c r="E35" s="258">
        <v>117.8</v>
      </c>
      <c r="F35" s="258">
        <v>112.5</v>
      </c>
      <c r="G35" s="258">
        <v>116.5</v>
      </c>
      <c r="H35" s="258">
        <v>111.2</v>
      </c>
      <c r="I35" s="258">
        <v>105.4</v>
      </c>
      <c r="J35" s="258">
        <v>116.7</v>
      </c>
      <c r="K35" s="258">
        <v>119</v>
      </c>
      <c r="L35" s="258">
        <v>128.9</v>
      </c>
      <c r="M35" s="258">
        <v>131.4</v>
      </c>
      <c r="N35" s="258">
        <v>159.9</v>
      </c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spans="1:26" ht="12.75" customHeight="1">
      <c r="A36" s="129" t="s">
        <v>48</v>
      </c>
      <c r="B36" s="637">
        <f t="shared" si="0"/>
        <v>2229</v>
      </c>
      <c r="C36" s="258">
        <v>130.4</v>
      </c>
      <c r="D36" s="258">
        <v>148.30000000000001</v>
      </c>
      <c r="E36" s="258">
        <v>159.30000000000001</v>
      </c>
      <c r="F36" s="258">
        <v>186.7</v>
      </c>
      <c r="G36" s="258">
        <v>170</v>
      </c>
      <c r="H36" s="258">
        <v>215.2</v>
      </c>
      <c r="I36" s="258">
        <v>207.6</v>
      </c>
      <c r="J36" s="258">
        <v>201.7</v>
      </c>
      <c r="K36" s="258">
        <v>211.4</v>
      </c>
      <c r="L36" s="258">
        <v>199.5</v>
      </c>
      <c r="M36" s="258">
        <v>195.4</v>
      </c>
      <c r="N36" s="258">
        <v>203.5</v>
      </c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spans="1:26" ht="12.75" customHeight="1" thickBot="1">
      <c r="A37" s="154" t="s">
        <v>49</v>
      </c>
      <c r="B37" s="645">
        <f t="shared" si="0"/>
        <v>2190</v>
      </c>
      <c r="C37" s="259">
        <v>150.19999999999999</v>
      </c>
      <c r="D37" s="259">
        <v>197.7</v>
      </c>
      <c r="E37" s="259">
        <v>193.7</v>
      </c>
      <c r="F37" s="259">
        <v>193.8</v>
      </c>
      <c r="G37" s="259">
        <v>215.4</v>
      </c>
      <c r="H37" s="259">
        <v>188.9</v>
      </c>
      <c r="I37" s="259">
        <v>181</v>
      </c>
      <c r="J37" s="259">
        <v>182.9</v>
      </c>
      <c r="K37" s="259">
        <v>171.7</v>
      </c>
      <c r="L37" s="259">
        <v>184.8</v>
      </c>
      <c r="M37" s="259">
        <v>174.9</v>
      </c>
      <c r="N37" s="259">
        <v>155</v>
      </c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spans="1:26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26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26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26" ht="13.25" customHeight="1">
      <c r="A41" s="11"/>
    </row>
    <row r="42" spans="1:26" ht="13.25" customHeight="1">
      <c r="A42" s="73"/>
    </row>
    <row r="43" spans="1:26" ht="13.25" customHeight="1">
      <c r="A43" s="73"/>
    </row>
    <row r="44" spans="1:26" ht="13.25" customHeight="1">
      <c r="A44" s="24"/>
    </row>
    <row r="45" spans="1:26" ht="13.25" customHeight="1">
      <c r="A45" s="33"/>
    </row>
    <row r="46" spans="1:26" ht="13.25" customHeight="1">
      <c r="A46" s="24"/>
    </row>
    <row r="47" spans="1:26" ht="13.25" customHeight="1">
      <c r="A47" s="73"/>
    </row>
    <row r="48" spans="1:26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2">
    <tabColor theme="9" tint="0.59999389629810485"/>
  </sheetPr>
  <dimension ref="A4:AF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34" customWidth="1"/>
    <col min="3" max="14" width="9" style="134" customWidth="1"/>
    <col min="15" max="16384" width="7" style="129"/>
  </cols>
  <sheetData>
    <row r="4" spans="1:32" ht="13.25" customHeight="1">
      <c r="A4" s="249" t="s">
        <v>534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32" ht="13.25" customHeight="1">
      <c r="A5" s="252" t="s">
        <v>466</v>
      </c>
      <c r="B5" s="245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6" spans="1:32" ht="4" customHeight="1" thickBot="1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</row>
    <row r="7" spans="1:32" ht="15" customHeight="1">
      <c r="A7" s="595" t="s">
        <v>18</v>
      </c>
      <c r="B7" s="597" t="s">
        <v>106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  <c r="P7" s="152"/>
      <c r="Q7" s="128"/>
      <c r="R7" s="128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28"/>
      <c r="AF7" s="130"/>
    </row>
    <row r="8" spans="1:32" ht="15" customHeight="1">
      <c r="A8" s="604" t="s">
        <v>90</v>
      </c>
      <c r="B8" s="610">
        <f>('C-60'!B8/'C-59'!B8)*1000</f>
        <v>146.41806961300168</v>
      </c>
      <c r="C8" s="610">
        <f>('C-60'!C8/'C-59'!C8)*1000</f>
        <v>144.93094313683727</v>
      </c>
      <c r="D8" s="610">
        <f>('C-60'!D8/'C-59'!D8)*1000</f>
        <v>145.93715254880394</v>
      </c>
      <c r="E8" s="610">
        <f>('C-60'!E8/'C-59'!E8)*1000</f>
        <v>145.20349333451276</v>
      </c>
      <c r="F8" s="610">
        <f>('C-60'!F8/'C-59'!F8)*1000</f>
        <v>146.78127050809127</v>
      </c>
      <c r="G8" s="610">
        <f>('C-60'!G8/'C-59'!G8)*1000</f>
        <v>147.75500462106794</v>
      </c>
      <c r="H8" s="610">
        <f>('C-60'!H8/'C-59'!H8)*1000</f>
        <v>146.77622459634574</v>
      </c>
      <c r="I8" s="610">
        <f>('C-60'!I8/'C-59'!I8)*1000</f>
        <v>145.22134771993925</v>
      </c>
      <c r="J8" s="610">
        <f>('C-60'!J8/'C-59'!J8)*1000</f>
        <v>147.47896213814067</v>
      </c>
      <c r="K8" s="610">
        <f>('C-60'!K8/'C-59'!K8)*1000</f>
        <v>147.86728980611724</v>
      </c>
      <c r="L8" s="610">
        <f>('C-60'!L8/'C-59'!L8)*1000</f>
        <v>146.459465666386</v>
      </c>
      <c r="M8" s="610">
        <f>('C-60'!M8/'C-59'!M8)*1000</f>
        <v>146.6730304902016</v>
      </c>
      <c r="N8" s="610">
        <f>('C-60'!N8/'C-59'!N8)*1000</f>
        <v>145.68523669106909</v>
      </c>
      <c r="P8" s="152"/>
      <c r="Q8" s="128"/>
      <c r="R8" s="128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28"/>
      <c r="AF8" s="130"/>
    </row>
    <row r="9" spans="1:32" ht="12.75" customHeight="1">
      <c r="A9" s="152" t="s">
        <v>21</v>
      </c>
      <c r="B9" s="642">
        <f>('C-60'!B9/'C-59'!B9)*1000</f>
        <v>148.51306698708322</v>
      </c>
      <c r="C9" s="264">
        <f>('C-60'!C9/'C-59'!C9)*1000</f>
        <v>145.25547445255475</v>
      </c>
      <c r="D9" s="264">
        <f>('C-60'!D9/'C-59'!D9)*1000</f>
        <v>149.65034965034965</v>
      </c>
      <c r="E9" s="264">
        <f>('C-60'!E9/'C-59'!E9)*1000</f>
        <v>148.31081081081081</v>
      </c>
      <c r="F9" s="264">
        <f>('C-60'!F9/'C-59'!F9)*1000</f>
        <v>149.43396226415095</v>
      </c>
      <c r="G9" s="264">
        <f>('C-60'!G9/'C-59'!G9)*1000</f>
        <v>145.42253521126761</v>
      </c>
      <c r="H9" s="264">
        <f>('C-60'!H9/'C-59'!H9)*1000</f>
        <v>144.19475655430711</v>
      </c>
      <c r="I9" s="264">
        <f>('C-60'!I9/'C-59'!I9)*1000</f>
        <v>143.42629482071715</v>
      </c>
      <c r="J9" s="264">
        <f>('C-60'!J9/'C-59'!J9)*1000</f>
        <v>142.570281124498</v>
      </c>
      <c r="K9" s="264">
        <f>('C-60'!K9/'C-59'!K9)*1000</f>
        <v>151.92982456140351</v>
      </c>
      <c r="L9" s="264">
        <f>('C-60'!L9/'C-59'!L9)*1000</f>
        <v>151.60142348754448</v>
      </c>
      <c r="M9" s="264">
        <f>('C-60'!M9/'C-59'!M9)*1000</f>
        <v>152.71565495207668</v>
      </c>
      <c r="N9" s="264">
        <f>('C-60'!N9/'C-59'!N9)*1000</f>
        <v>155.75539568345323</v>
      </c>
      <c r="P9" s="152"/>
      <c r="Q9" s="128"/>
      <c r="R9" s="128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/>
      <c r="AF9" s="130"/>
    </row>
    <row r="10" spans="1:32" ht="12.75" customHeight="1">
      <c r="A10" s="152" t="s">
        <v>22</v>
      </c>
      <c r="B10" s="642">
        <f>('C-60'!B10/'C-59'!B10)*1000</f>
        <v>153.32358637379707</v>
      </c>
      <c r="C10" s="264">
        <f>('C-60'!C10/'C-59'!C10)*1000</f>
        <v>139.67408870527154</v>
      </c>
      <c r="D10" s="264">
        <f>('C-60'!D10/'C-59'!D10)*1000</f>
        <v>149.18257982073982</v>
      </c>
      <c r="E10" s="264">
        <f>('C-60'!E10/'C-59'!E10)*1000</f>
        <v>152.90399369331666</v>
      </c>
      <c r="F10" s="264">
        <f>('C-60'!F10/'C-59'!F10)*1000</f>
        <v>151.88410770184598</v>
      </c>
      <c r="G10" s="264">
        <f>('C-60'!G10/'C-59'!G10)*1000</f>
        <v>149.96395463355464</v>
      </c>
      <c r="H10" s="264">
        <f>('C-60'!H10/'C-59'!H10)*1000</f>
        <v>147.42797285380263</v>
      </c>
      <c r="I10" s="264">
        <f>('C-60'!I10/'C-59'!I10)*1000</f>
        <v>142.98996819182776</v>
      </c>
      <c r="J10" s="264">
        <f>('C-60'!J10/'C-59'!J10)*1000</f>
        <v>169.39918533604887</v>
      </c>
      <c r="K10" s="264">
        <f>('C-60'!K10/'C-59'!K10)*1000</f>
        <v>167.70805985823051</v>
      </c>
      <c r="L10" s="264">
        <f>('C-60'!L10/'C-59'!L10)*1000</f>
        <v>151.46538655886812</v>
      </c>
      <c r="M10" s="264">
        <f>('C-60'!M10/'C-59'!M10)*1000</f>
        <v>157.50177767243423</v>
      </c>
      <c r="N10" s="264">
        <f>('C-60'!N10/'C-59'!N10)*1000</f>
        <v>159.94905179733937</v>
      </c>
      <c r="P10" s="152"/>
      <c r="Q10" s="128"/>
      <c r="R10" s="128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28"/>
      <c r="AF10" s="130"/>
    </row>
    <row r="11" spans="1:32" ht="12.75" customHeight="1">
      <c r="A11" s="152" t="s">
        <v>23</v>
      </c>
      <c r="B11" s="642">
        <f>('C-60'!B11/'C-59'!B11)*1000</f>
        <v>143.34051208423068</v>
      </c>
      <c r="C11" s="264">
        <f>('C-60'!C11/'C-59'!C11)*1000</f>
        <v>137.97595190380758</v>
      </c>
      <c r="D11" s="264">
        <f>('C-60'!D11/'C-59'!D11)*1000</f>
        <v>139.69917958067458</v>
      </c>
      <c r="E11" s="264">
        <f>('C-60'!E11/'C-59'!E11)*1000</f>
        <v>142.30973922299094</v>
      </c>
      <c r="F11" s="264">
        <f>('C-60'!F11/'C-59'!F11)*1000</f>
        <v>145.60922063666303</v>
      </c>
      <c r="G11" s="264">
        <f>('C-60'!G11/'C-59'!G11)*1000</f>
        <v>143.07771487390633</v>
      </c>
      <c r="H11" s="264">
        <f>('C-60'!H11/'C-59'!H11)*1000</f>
        <v>144.44444444444446</v>
      </c>
      <c r="I11" s="264">
        <f>('C-60'!I11/'C-59'!I11)*1000</f>
        <v>145.68733153638814</v>
      </c>
      <c r="J11" s="264">
        <f>('C-60'!J11/'C-59'!J11)*1000</f>
        <v>145.05347593582889</v>
      </c>
      <c r="K11" s="264">
        <f>('C-60'!K11/'C-59'!K11)*1000</f>
        <v>143.96887159533074</v>
      </c>
      <c r="L11" s="264">
        <f>('C-60'!L11/'C-59'!L11)*1000</f>
        <v>143.49747474747477</v>
      </c>
      <c r="M11" s="264">
        <f>('C-60'!M11/'C-59'!M11)*1000</f>
        <v>146.14305750350633</v>
      </c>
      <c r="N11" s="264">
        <f>('C-60'!N11/'C-59'!N11)*1000</f>
        <v>145.58282208588957</v>
      </c>
      <c r="P11" s="152"/>
      <c r="Q11" s="128"/>
      <c r="R11" s="128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28"/>
      <c r="AF11" s="130"/>
    </row>
    <row r="12" spans="1:32" ht="12.75" customHeight="1">
      <c r="A12" s="129" t="s">
        <v>24</v>
      </c>
      <c r="B12" s="642">
        <f>('C-60'!B12/'C-59'!B12)*1000</f>
        <v>143.46376584755046</v>
      </c>
      <c r="C12" s="264">
        <f>('C-60'!C12/'C-59'!C12)*1000</f>
        <v>143.66197183098592</v>
      </c>
      <c r="D12" s="264">
        <f>('C-60'!D12/'C-59'!D12)*1000</f>
        <v>144.56585365853658</v>
      </c>
      <c r="E12" s="264">
        <f>('C-60'!E12/'C-59'!E12)*1000</f>
        <v>142.75728155339806</v>
      </c>
      <c r="F12" s="264">
        <f>('C-60'!F12/'C-59'!F12)*1000</f>
        <v>142.40908216278623</v>
      </c>
      <c r="G12" s="264">
        <f>('C-60'!G12/'C-59'!G12)*1000</f>
        <v>140.13157894736844</v>
      </c>
      <c r="H12" s="264">
        <f>('C-60'!H12/'C-59'!H12)*1000</f>
        <v>140.87271341463415</v>
      </c>
      <c r="I12" s="264">
        <f>('C-60'!I12/'C-59'!I12)*1000</f>
        <v>145.14528703047486</v>
      </c>
      <c r="J12" s="264">
        <f>('C-60'!J12/'C-59'!J12)*1000</f>
        <v>143.59106529209623</v>
      </c>
      <c r="K12" s="264">
        <f>('C-60'!K12/'C-59'!K12)*1000</f>
        <v>142.48809087577868</v>
      </c>
      <c r="L12" s="264">
        <f>('C-60'!L12/'C-59'!L12)*1000</f>
        <v>145.71636893911773</v>
      </c>
      <c r="M12" s="264">
        <f>('C-60'!M12/'C-59'!M12)*1000</f>
        <v>143.67424242424244</v>
      </c>
      <c r="N12" s="264">
        <f>('C-60'!N12/'C-59'!N12)*1000</f>
        <v>146.32833525567091</v>
      </c>
      <c r="P12" s="152"/>
      <c r="Q12" s="128"/>
      <c r="R12" s="128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28"/>
      <c r="AF12" s="130"/>
    </row>
    <row r="13" spans="1:32" ht="12.75" customHeight="1">
      <c r="A13" s="152" t="s">
        <v>25</v>
      </c>
      <c r="B13" s="642">
        <f>('C-60'!B13/'C-59'!B13)*1000</f>
        <v>131.70769692857061</v>
      </c>
      <c r="C13" s="264">
        <f>('C-60'!C13/'C-59'!C13)*1000</f>
        <v>126.07288588715352</v>
      </c>
      <c r="D13" s="264">
        <f>('C-60'!D13/'C-59'!D13)*1000</f>
        <v>129.69414893617019</v>
      </c>
      <c r="E13" s="264">
        <f>('C-60'!E13/'C-59'!E13)*1000</f>
        <v>124.53029343466329</v>
      </c>
      <c r="F13" s="264">
        <f>('C-60'!F13/'C-59'!F13)*1000</f>
        <v>128.63968329806841</v>
      </c>
      <c r="G13" s="264">
        <f>('C-60'!G13/'C-59'!G13)*1000</f>
        <v>131.70051255433725</v>
      </c>
      <c r="H13" s="264">
        <f>('C-60'!H13/'C-59'!H13)*1000</f>
        <v>130.29652996845425</v>
      </c>
      <c r="I13" s="264">
        <f>('C-60'!I13/'C-59'!I13)*1000</f>
        <v>124.74949899799599</v>
      </c>
      <c r="J13" s="264">
        <f>('C-60'!J13/'C-59'!J13)*1000</f>
        <v>136.79711499933217</v>
      </c>
      <c r="K13" s="264">
        <f>('C-60'!K13/'C-59'!K13)*1000</f>
        <v>138.45801126686754</v>
      </c>
      <c r="L13" s="264">
        <f>('C-60'!L13/'C-59'!L13)*1000</f>
        <v>137.73956775859725</v>
      </c>
      <c r="M13" s="264">
        <f>('C-60'!M13/'C-59'!M13)*1000</f>
        <v>139.64599414426405</v>
      </c>
      <c r="N13" s="264">
        <f>('C-60'!N13/'C-59'!N13)*1000</f>
        <v>131.9568375181573</v>
      </c>
      <c r="P13" s="152"/>
      <c r="Q13" s="128"/>
      <c r="R13" s="128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/>
      <c r="AF13" s="130"/>
    </row>
    <row r="14" spans="1:32" ht="12.75" customHeight="1">
      <c r="A14" s="127" t="s">
        <v>97</v>
      </c>
      <c r="B14" s="642">
        <f>('C-60'!B14/'C-59'!B14)*1000</f>
        <v>121.06084085361532</v>
      </c>
      <c r="C14" s="264">
        <f>('C-60'!C14/'C-59'!C14)*1000</f>
        <v>117.34088457389429</v>
      </c>
      <c r="D14" s="264">
        <f>('C-60'!D14/'C-59'!D14)*1000</f>
        <v>120.14203501897883</v>
      </c>
      <c r="E14" s="264">
        <f>('C-60'!E14/'C-59'!E14)*1000</f>
        <v>111.16523042337954</v>
      </c>
      <c r="F14" s="264">
        <f>('C-60'!F14/'C-59'!F14)*1000</f>
        <v>117.95003203074953</v>
      </c>
      <c r="G14" s="264">
        <f>('C-60'!G14/'C-59'!G14)*1000</f>
        <v>119.13918247803387</v>
      </c>
      <c r="H14" s="264">
        <f>('C-60'!H14/'C-59'!H14)*1000</f>
        <v>118.09069795868477</v>
      </c>
      <c r="I14" s="264">
        <f>('C-60'!I14/'C-59'!I14)*1000</f>
        <v>114.04607470364571</v>
      </c>
      <c r="J14" s="264">
        <f>('C-60'!J14/'C-59'!J14)*1000</f>
        <v>129.97271972482505</v>
      </c>
      <c r="K14" s="264">
        <f>('C-60'!K14/'C-59'!K14)*1000</f>
        <v>130.39642395012351</v>
      </c>
      <c r="L14" s="264">
        <f>('C-60'!L14/'C-59'!L14)*1000</f>
        <v>128.39548802946592</v>
      </c>
      <c r="M14" s="264">
        <f>('C-60'!M14/'C-59'!M14)*1000</f>
        <v>127.72288873206305</v>
      </c>
      <c r="N14" s="264">
        <f>('C-60'!N14/'C-59'!N14)*1000</f>
        <v>116.91747572815534</v>
      </c>
      <c r="P14" s="152"/>
      <c r="Q14" s="128"/>
      <c r="R14" s="128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28"/>
      <c r="AF14" s="130"/>
    </row>
    <row r="15" spans="1:32" ht="12.75" customHeight="1">
      <c r="A15" s="127" t="s">
        <v>98</v>
      </c>
      <c r="B15" s="642">
        <f>('C-60'!B15/'C-59'!B15)*1000</f>
        <v>139.18494682729664</v>
      </c>
      <c r="C15" s="264">
        <f>('C-60'!C15/'C-59'!C15)*1000</f>
        <v>127.71110626227362</v>
      </c>
      <c r="D15" s="264">
        <f>('C-60'!D15/'C-59'!D15)*1000</f>
        <v>135.87753341957742</v>
      </c>
      <c r="E15" s="264">
        <f>('C-60'!E15/'C-59'!E15)*1000</f>
        <v>136.72480620155039</v>
      </c>
      <c r="F15" s="264">
        <f>('C-60'!F15/'C-59'!F15)*1000</f>
        <v>132.95114656031905</v>
      </c>
      <c r="G15" s="264">
        <f>('C-60'!G15/'C-59'!G15)*1000</f>
        <v>137.36342042755342</v>
      </c>
      <c r="H15" s="264">
        <f>('C-60'!H15/'C-59'!H15)*1000</f>
        <v>136.05129445923055</v>
      </c>
      <c r="I15" s="264">
        <f>('C-60'!I15/'C-59'!I15)*1000</f>
        <v>129.86288635835464</v>
      </c>
      <c r="J15" s="264">
        <f>('C-60'!J15/'C-59'!J15)*1000</f>
        <v>140.89851024208565</v>
      </c>
      <c r="K15" s="264">
        <f>('C-60'!K15/'C-59'!K15)*1000</f>
        <v>146.85935366408739</v>
      </c>
      <c r="L15" s="264">
        <f>('C-60'!L15/'C-59'!L15)*1000</f>
        <v>146.9832109129066</v>
      </c>
      <c r="M15" s="264">
        <f>('C-60'!M15/'C-59'!M15)*1000</f>
        <v>151.75379045032813</v>
      </c>
      <c r="N15" s="264">
        <f>('C-60'!N15/'C-59'!N15)*1000</f>
        <v>148.4645864289252</v>
      </c>
      <c r="P15" s="152"/>
      <c r="Q15" s="128"/>
      <c r="R15" s="128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28"/>
      <c r="AF15" s="130"/>
    </row>
    <row r="16" spans="1:32" ht="12.75" customHeight="1">
      <c r="A16" s="127" t="s">
        <v>99</v>
      </c>
      <c r="B16" s="642">
        <f>('C-60'!B16/'C-59'!B16)*1000</f>
        <v>153.98677169541665</v>
      </c>
      <c r="C16" s="264">
        <f>('C-60'!C16/'C-59'!C16)*1000</f>
        <v>151.91873589164786</v>
      </c>
      <c r="D16" s="264">
        <f>('C-60'!D16/'C-59'!D16)*1000</f>
        <v>151.81208053691276</v>
      </c>
      <c r="E16" s="264">
        <f>('C-60'!E16/'C-59'!E16)*1000</f>
        <v>151.83044315992291</v>
      </c>
      <c r="F16" s="264">
        <f>('C-60'!F16/'C-59'!F16)*1000</f>
        <v>151.97600564573042</v>
      </c>
      <c r="G16" s="264">
        <f>('C-60'!G16/'C-59'!G16)*1000</f>
        <v>154.02985074626866</v>
      </c>
      <c r="H16" s="264">
        <f>('C-60'!H16/'C-59'!H16)*1000</f>
        <v>151.80995475113122</v>
      </c>
      <c r="I16" s="264">
        <f>('C-60'!I16/'C-59'!I16)*1000</f>
        <v>151.81784796180685</v>
      </c>
      <c r="J16" s="264">
        <f>('C-60'!J16/'C-59'!J16)*1000</f>
        <v>154.56163773920784</v>
      </c>
      <c r="K16" s="264">
        <f>('C-60'!K16/'C-59'!K16)*1000</f>
        <v>151.79249261914805</v>
      </c>
      <c r="L16" s="264">
        <f>('C-60'!L16/'C-59'!L16)*1000</f>
        <v>158.49141824751581</v>
      </c>
      <c r="M16" s="264">
        <f>('C-60'!M16/'C-59'!M16)*1000</f>
        <v>162.4110109159943</v>
      </c>
      <c r="N16" s="264">
        <f>('C-60'!N16/'C-59'!N16)*1000</f>
        <v>158.23772372648003</v>
      </c>
      <c r="P16" s="152"/>
      <c r="Q16" s="128"/>
      <c r="R16" s="128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28"/>
      <c r="AF16" s="130"/>
    </row>
    <row r="17" spans="1:32" ht="12.75" customHeight="1">
      <c r="A17" s="152" t="s">
        <v>29</v>
      </c>
      <c r="B17" s="642">
        <f>('C-60'!B17/'C-59'!B17)*1000</f>
        <v>141.90133352248546</v>
      </c>
      <c r="C17" s="264">
        <f>('C-60'!C17/'C-59'!C17)*1000</f>
        <v>145.60016642396502</v>
      </c>
      <c r="D17" s="264">
        <f>('C-60'!D17/'C-59'!D17)*1000</f>
        <v>148.85624344176284</v>
      </c>
      <c r="E17" s="264">
        <f>('C-60'!E17/'C-59'!E17)*1000</f>
        <v>146.39699381078691</v>
      </c>
      <c r="F17" s="264">
        <f>('C-60'!F17/'C-59'!F17)*1000</f>
        <v>144.37561942517345</v>
      </c>
      <c r="G17" s="264">
        <f>('C-60'!G17/'C-59'!G17)*1000</f>
        <v>139.97695852534562</v>
      </c>
      <c r="H17" s="264">
        <f>('C-60'!H17/'C-59'!H17)*1000</f>
        <v>131.45231846019249</v>
      </c>
      <c r="I17" s="264">
        <f>('C-60'!I17/'C-59'!I17)*1000</f>
        <v>134.34701103936681</v>
      </c>
      <c r="J17" s="264">
        <f>('C-60'!J17/'C-59'!J17)*1000</f>
        <v>135.51063829787233</v>
      </c>
      <c r="K17" s="264">
        <f>('C-60'!K17/'C-59'!K17)*1000</f>
        <v>144.17940876656473</v>
      </c>
      <c r="L17" s="264">
        <f>('C-60'!L17/'C-59'!L17)*1000</f>
        <v>143.38962108731465</v>
      </c>
      <c r="M17" s="264">
        <f>('C-60'!M17/'C-59'!M17)*1000</f>
        <v>143.19799079112599</v>
      </c>
      <c r="N17" s="264">
        <f>('C-60'!N17/'C-59'!N17)*1000</f>
        <v>145.02637528259228</v>
      </c>
      <c r="P17" s="152"/>
      <c r="Q17" s="128"/>
      <c r="R17" s="128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28"/>
      <c r="AF17" s="130"/>
    </row>
    <row r="18" spans="1:32" ht="12.75" customHeight="1">
      <c r="A18" s="129" t="s">
        <v>30</v>
      </c>
      <c r="B18" s="642">
        <f>('C-60'!B18/'C-59'!B18)*1000</f>
        <v>138.34109792997455</v>
      </c>
      <c r="C18" s="264">
        <f>('C-60'!C18/'C-59'!C18)*1000</f>
        <v>146.91645751165291</v>
      </c>
      <c r="D18" s="264">
        <f>('C-60'!D18/'C-59'!D18)*1000</f>
        <v>144.95917347108815</v>
      </c>
      <c r="E18" s="264">
        <f>('C-60'!E18/'C-59'!E18)*1000</f>
        <v>141.73498570066732</v>
      </c>
      <c r="F18" s="264">
        <f>('C-60'!F18/'C-59'!F18)*1000</f>
        <v>142.13901889408908</v>
      </c>
      <c r="G18" s="264">
        <f>('C-60'!G18/'C-59'!G18)*1000</f>
        <v>140.54201527828303</v>
      </c>
      <c r="H18" s="264">
        <f>('C-60'!H18/'C-59'!H18)*1000</f>
        <v>142.87437532310872</v>
      </c>
      <c r="I18" s="264">
        <f>('C-60'!I18/'C-59'!I18)*1000</f>
        <v>132.005033557047</v>
      </c>
      <c r="J18" s="264">
        <f>('C-60'!J18/'C-59'!J18)*1000</f>
        <v>132.11754897874115</v>
      </c>
      <c r="K18" s="264">
        <f>('C-60'!K18/'C-59'!K18)*1000</f>
        <v>133.56905158069884</v>
      </c>
      <c r="L18" s="264">
        <f>('C-60'!L18/'C-59'!L18)*1000</f>
        <v>133.60255047821468</v>
      </c>
      <c r="M18" s="264">
        <f>('C-60'!M18/'C-59'!M18)*1000</f>
        <v>131.98065601345672</v>
      </c>
      <c r="N18" s="264">
        <f>('C-60'!N18/'C-59'!N18)*1000</f>
        <v>131.98141106886351</v>
      </c>
      <c r="P18" s="152"/>
      <c r="Q18" s="128"/>
      <c r="R18" s="128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28"/>
      <c r="AF18" s="130"/>
    </row>
    <row r="19" spans="1:32" ht="12.75" customHeight="1">
      <c r="A19" s="129" t="s">
        <v>31</v>
      </c>
      <c r="B19" s="642">
        <f>('C-60'!B19/'C-59'!B19)*1000</f>
        <v>195.64547114768874</v>
      </c>
      <c r="C19" s="264">
        <f>('C-60'!C19/'C-59'!C19)*1000</f>
        <v>197.86777843954735</v>
      </c>
      <c r="D19" s="264">
        <f>('C-60'!D19/'C-59'!D19)*1000</f>
        <v>196.55504697663213</v>
      </c>
      <c r="E19" s="264">
        <f>('C-60'!E19/'C-59'!E19)*1000</f>
        <v>195.05196565747855</v>
      </c>
      <c r="F19" s="264">
        <f>('C-60'!F19/'C-59'!F19)*1000</f>
        <v>197.05178416013925</v>
      </c>
      <c r="G19" s="264">
        <f>('C-60'!G19/'C-59'!G19)*1000</f>
        <v>194.04578585360846</v>
      </c>
      <c r="H19" s="264">
        <f>('C-60'!H19/'C-59'!H19)*1000</f>
        <v>195.58713537771129</v>
      </c>
      <c r="I19" s="264">
        <f>('C-60'!I19/'C-59'!I19)*1000</f>
        <v>192.95616717635068</v>
      </c>
      <c r="J19" s="264">
        <f>('C-60'!J19/'C-59'!J19)*1000</f>
        <v>198.13670120514075</v>
      </c>
      <c r="K19" s="264">
        <f>('C-60'!K19/'C-59'!K19)*1000</f>
        <v>196.73537604456826</v>
      </c>
      <c r="L19" s="264">
        <f>('C-60'!L19/'C-59'!L19)*1000</f>
        <v>195.36757301107755</v>
      </c>
      <c r="M19" s="264">
        <f>('C-60'!M19/'C-59'!M19)*1000</f>
        <v>194.6287025448477</v>
      </c>
      <c r="N19" s="264">
        <f>('C-60'!N19/'C-59'!N19)*1000</f>
        <v>194.45030597172399</v>
      </c>
      <c r="P19" s="152"/>
      <c r="Q19" s="128"/>
      <c r="R19" s="128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28"/>
      <c r="AF19" s="130"/>
    </row>
    <row r="20" spans="1:32" ht="12.75" customHeight="1">
      <c r="A20" s="152" t="s">
        <v>32</v>
      </c>
      <c r="B20" s="642">
        <f>('C-60'!B20/'C-59'!B20)*1000</f>
        <v>132.04117285990839</v>
      </c>
      <c r="C20" s="264">
        <f>('C-60'!C20/'C-59'!C20)*1000</f>
        <v>136.95945945945945</v>
      </c>
      <c r="D20" s="264">
        <f>('C-60'!D20/'C-59'!D20)*1000</f>
        <v>132.43068987749839</v>
      </c>
      <c r="E20" s="264">
        <f>('C-60'!E20/'C-59'!E20)*1000</f>
        <v>133.89937106918239</v>
      </c>
      <c r="F20" s="264">
        <f>('C-60'!F20/'C-59'!F20)*1000</f>
        <v>136.51651651651653</v>
      </c>
      <c r="G20" s="264">
        <f>('C-60'!G20/'C-59'!G20)*1000</f>
        <v>131.24662709120344</v>
      </c>
      <c r="H20" s="264">
        <f>('C-60'!H20/'C-59'!H20)*1000</f>
        <v>131.80362860192102</v>
      </c>
      <c r="I20" s="264">
        <f>('C-60'!I20/'C-59'!I20)*1000</f>
        <v>138.46954711087974</v>
      </c>
      <c r="J20" s="264">
        <f>('C-60'!J20/'C-59'!J20)*1000</f>
        <v>131.51219512195124</v>
      </c>
      <c r="K20" s="264">
        <f>('C-60'!K20/'C-59'!K20)*1000</f>
        <v>132.77641277641277</v>
      </c>
      <c r="L20" s="264">
        <f>('C-60'!L20/'C-59'!L20)*1000</f>
        <v>123.05371152685576</v>
      </c>
      <c r="M20" s="264">
        <f>('C-60'!M20/'C-59'!M20)*1000</f>
        <v>127.90419161676647</v>
      </c>
      <c r="N20" s="264">
        <f>('C-60'!N20/'C-59'!N20)*1000</f>
        <v>128.04146208401525</v>
      </c>
      <c r="P20" s="152"/>
      <c r="Q20" s="128"/>
      <c r="R20" s="128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28"/>
      <c r="AF20" s="130"/>
    </row>
    <row r="21" spans="1:32" ht="12.75" customHeight="1">
      <c r="A21" s="152" t="s">
        <v>33</v>
      </c>
      <c r="B21" s="642">
        <f>('C-60'!B21/'C-59'!B21)*1000</f>
        <v>166.31212213016505</v>
      </c>
      <c r="C21" s="264">
        <f>('C-60'!C21/'C-59'!C21)*1000</f>
        <v>166.35201235733288</v>
      </c>
      <c r="D21" s="264">
        <f>('C-60'!D21/'C-59'!D21)*1000</f>
        <v>166.94579109739973</v>
      </c>
      <c r="E21" s="264">
        <f>('C-60'!E21/'C-59'!E21)*1000</f>
        <v>165.01142555809457</v>
      </c>
      <c r="F21" s="264">
        <f>('C-60'!F21/'C-59'!F21)*1000</f>
        <v>168.31705484598046</v>
      </c>
      <c r="G21" s="264">
        <f>('C-60'!G21/'C-59'!G21)*1000</f>
        <v>168.13911198666466</v>
      </c>
      <c r="H21" s="264">
        <f>('C-60'!H21/'C-59'!H21)*1000</f>
        <v>164.94521362439482</v>
      </c>
      <c r="I21" s="264">
        <f>('C-60'!I21/'C-59'!I21)*1000</f>
        <v>164.42279732480375</v>
      </c>
      <c r="J21" s="264">
        <f>('C-60'!J21/'C-59'!J21)*1000</f>
        <v>166.02829672477134</v>
      </c>
      <c r="K21" s="264">
        <f>('C-60'!K21/'C-59'!K21)*1000</f>
        <v>166.72561155319775</v>
      </c>
      <c r="L21" s="264">
        <f>('C-60'!L21/'C-59'!L21)*1000</f>
        <v>166.15604413048655</v>
      </c>
      <c r="M21" s="264">
        <f>('C-60'!M21/'C-59'!M21)*1000</f>
        <v>166.3102838243212</v>
      </c>
      <c r="N21" s="264">
        <f>('C-60'!N21/'C-59'!N21)*1000</f>
        <v>166.19613670133728</v>
      </c>
      <c r="P21" s="152"/>
      <c r="Q21" s="128"/>
      <c r="R21" s="128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28"/>
      <c r="AF21" s="130"/>
    </row>
    <row r="22" spans="1:32" ht="12.75" customHeight="1">
      <c r="A22" s="152" t="s">
        <v>34</v>
      </c>
      <c r="B22" s="642">
        <f>('C-60'!B22/'C-59'!B22)*1000</f>
        <v>160.23004971770456</v>
      </c>
      <c r="C22" s="264">
        <f>('C-60'!C22/'C-59'!C22)*1000</f>
        <v>161.22112211221125</v>
      </c>
      <c r="D22" s="264">
        <f>('C-60'!D22/'C-59'!D22)*1000</f>
        <v>161.08022239872915</v>
      </c>
      <c r="E22" s="264">
        <f>('C-60'!E22/'C-59'!E22)*1000</f>
        <v>161.06870229007635</v>
      </c>
      <c r="F22" s="264">
        <f>('C-60'!F22/'C-59'!F22)*1000</f>
        <v>161.95121951219514</v>
      </c>
      <c r="G22" s="264">
        <f>('C-60'!G22/'C-59'!G22)*1000</f>
        <v>156.95253955037469</v>
      </c>
      <c r="H22" s="264">
        <f>('C-60'!H22/'C-59'!H22)*1000</f>
        <v>162.11405739193609</v>
      </c>
      <c r="I22" s="264">
        <f>('C-60'!I22/'C-59'!I22)*1000</f>
        <v>162.58692628650905</v>
      </c>
      <c r="J22" s="264">
        <f>('C-60'!J22/'C-59'!J22)*1000</f>
        <v>158.2355497609735</v>
      </c>
      <c r="K22" s="264">
        <f>('C-60'!K22/'C-59'!K22)*1000</f>
        <v>162.09677419354838</v>
      </c>
      <c r="L22" s="264">
        <f>('C-60'!L22/'C-59'!L22)*1000</f>
        <v>161.95158850226929</v>
      </c>
      <c r="M22" s="264">
        <f>('C-60'!M22/'C-59'!M22)*1000</f>
        <v>161.70559478544268</v>
      </c>
      <c r="N22" s="264">
        <f>('C-60'!N22/'C-59'!N22)*1000</f>
        <v>154.49149188761376</v>
      </c>
      <c r="P22" s="152"/>
      <c r="Q22" s="128"/>
      <c r="R22" s="128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28"/>
      <c r="AF22" s="130"/>
    </row>
    <row r="23" spans="1:32" ht="12.75" customHeight="1">
      <c r="A23" s="152" t="s">
        <v>35</v>
      </c>
      <c r="B23" s="642">
        <f>('C-60'!B23/'C-59'!B23)*1000</f>
        <v>131.17325023161794</v>
      </c>
      <c r="C23" s="264">
        <f>('C-60'!C23/'C-59'!C23)*1000</f>
        <v>130.05803482089254</v>
      </c>
      <c r="D23" s="264">
        <f>('C-60'!D23/'C-59'!D23)*1000</f>
        <v>133.15056938000845</v>
      </c>
      <c r="E23" s="264">
        <f>('C-60'!E23/'C-59'!E23)*1000</f>
        <v>127.69078295341923</v>
      </c>
      <c r="F23" s="264">
        <f>('C-60'!F23/'C-59'!F23)*1000</f>
        <v>131.80855569673867</v>
      </c>
      <c r="G23" s="264">
        <f>('C-60'!G23/'C-59'!G23)*1000</f>
        <v>131.9729286300246</v>
      </c>
      <c r="H23" s="264">
        <f>('C-60'!H23/'C-59'!H23)*1000</f>
        <v>131.38922640745241</v>
      </c>
      <c r="I23" s="264">
        <f>('C-60'!I23/'C-59'!I23)*1000</f>
        <v>130.16881827209534</v>
      </c>
      <c r="J23" s="264">
        <f>('C-60'!J23/'C-59'!J23)*1000</f>
        <v>130.6760847628658</v>
      </c>
      <c r="K23" s="264">
        <f>('C-60'!K23/'C-59'!K23)*1000</f>
        <v>131.17040630685264</v>
      </c>
      <c r="L23" s="264">
        <f>('C-60'!L23/'C-59'!L23)*1000</f>
        <v>131.4072881014697</v>
      </c>
      <c r="M23" s="264">
        <f>('C-60'!M23/'C-59'!M23)*1000</f>
        <v>133.83115536195811</v>
      </c>
      <c r="N23" s="264">
        <f>('C-60'!N23/'C-59'!N23)*1000</f>
        <v>131.05263157894737</v>
      </c>
      <c r="P23" s="152"/>
      <c r="Q23" s="128"/>
      <c r="R23" s="128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28"/>
      <c r="AF23" s="130"/>
    </row>
    <row r="24" spans="1:32" ht="12.75" customHeight="1">
      <c r="A24" s="152" t="s">
        <v>36</v>
      </c>
      <c r="B24" s="642">
        <f>('C-60'!B24/'C-59'!B24)*1000</f>
        <v>119.39799073831907</v>
      </c>
      <c r="C24" s="264">
        <f>('C-60'!C24/'C-59'!C24)*1000</f>
        <v>120.7816968541468</v>
      </c>
      <c r="D24" s="264">
        <f>('C-60'!D24/'C-59'!D24)*1000</f>
        <v>121.34475693797729</v>
      </c>
      <c r="E24" s="264">
        <f>('C-60'!E24/'C-59'!E24)*1000</f>
        <v>119.25925925925925</v>
      </c>
      <c r="F24" s="264">
        <f>('C-60'!F24/'C-59'!F24)*1000</f>
        <v>116.6347075743049</v>
      </c>
      <c r="G24" s="264">
        <f>('C-60'!G24/'C-59'!G24)*1000</f>
        <v>120.52722558340535</v>
      </c>
      <c r="H24" s="264">
        <f>('C-60'!H24/'C-59'!H24)*1000</f>
        <v>120.27911033580463</v>
      </c>
      <c r="I24" s="264">
        <f>('C-60'!I24/'C-59'!I24)*1000</f>
        <v>119.63270660253608</v>
      </c>
      <c r="J24" s="264">
        <f>('C-60'!J24/'C-59'!J24)*1000</f>
        <v>116.19318181818183</v>
      </c>
      <c r="K24" s="264">
        <f>('C-60'!K24/'C-59'!K24)*1000</f>
        <v>116.86922702965484</v>
      </c>
      <c r="L24" s="264">
        <f>('C-60'!L24/'C-59'!L24)*1000</f>
        <v>118.85867142220241</v>
      </c>
      <c r="M24" s="264">
        <f>('C-60'!M24/'C-59'!M24)*1000</f>
        <v>118.68732907930719</v>
      </c>
      <c r="N24" s="264">
        <f>('C-60'!N24/'C-59'!N24)*1000</f>
        <v>123.13432835820895</v>
      </c>
      <c r="P24" s="152"/>
      <c r="Q24" s="128"/>
      <c r="R24" s="128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28"/>
      <c r="AF24" s="130"/>
    </row>
    <row r="25" spans="1:32" ht="12.75" customHeight="1">
      <c r="A25" s="129" t="s">
        <v>37</v>
      </c>
      <c r="B25" s="642">
        <f>('C-60'!B25/'C-59'!B25)*1000</f>
        <v>164.63181874153432</v>
      </c>
      <c r="C25" s="264">
        <f>('C-60'!C25/'C-59'!C25)*1000</f>
        <v>165.35375638220276</v>
      </c>
      <c r="D25" s="264">
        <f>('C-60'!D25/'C-59'!D25)*1000</f>
        <v>161.71593366979093</v>
      </c>
      <c r="E25" s="264">
        <f>('C-60'!E25/'C-59'!E25)*1000</f>
        <v>163.19194823867721</v>
      </c>
      <c r="F25" s="264">
        <f>('C-60'!F25/'C-59'!F25)*1000</f>
        <v>164.83300589390961</v>
      </c>
      <c r="G25" s="264">
        <f>('C-60'!G25/'C-59'!G25)*1000</f>
        <v>166.32931101595952</v>
      </c>
      <c r="H25" s="264">
        <f>('C-60'!H25/'C-59'!H25)*1000</f>
        <v>166.21777606771835</v>
      </c>
      <c r="I25" s="264">
        <f>('C-60'!I25/'C-59'!I25)*1000</f>
        <v>165.55183946488293</v>
      </c>
      <c r="J25" s="264">
        <f>('C-60'!J25/'C-59'!J25)*1000</f>
        <v>165.37324464153733</v>
      </c>
      <c r="K25" s="264">
        <f>('C-60'!K25/'C-59'!K25)*1000</f>
        <v>165.53734061930783</v>
      </c>
      <c r="L25" s="264">
        <f>('C-60'!L25/'C-59'!L25)*1000</f>
        <v>165.29134998190372</v>
      </c>
      <c r="M25" s="264">
        <f>('C-60'!M25/'C-59'!M25)*1000</f>
        <v>165.35779816513764</v>
      </c>
      <c r="N25" s="264">
        <f>('C-60'!N25/'C-59'!N25)*1000</f>
        <v>161.23812873724938</v>
      </c>
      <c r="P25" s="152"/>
      <c r="Q25" s="128"/>
      <c r="R25" s="128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28"/>
      <c r="AF25" s="130"/>
    </row>
    <row r="26" spans="1:32" ht="12.75" customHeight="1">
      <c r="A26" s="152" t="s">
        <v>38</v>
      </c>
      <c r="B26" s="642">
        <f>('C-60'!B26/'C-59'!B26)*1000</f>
        <v>201.26050420168067</v>
      </c>
      <c r="C26" s="264">
        <f>('C-60'!C26/'C-59'!C26)*1000</f>
        <v>210.29900332225913</v>
      </c>
      <c r="D26" s="264">
        <f>('C-60'!D26/'C-59'!D26)*1000</f>
        <v>195.47325102880657</v>
      </c>
      <c r="E26" s="264">
        <f>('C-60'!E26/'C-59'!E26)*1000</f>
        <v>193.65671641791045</v>
      </c>
      <c r="F26" s="264">
        <f>('C-60'!F26/'C-59'!F26)*1000</f>
        <v>191.63498098859316</v>
      </c>
      <c r="G26" s="264">
        <f>('C-60'!G26/'C-59'!G26)*1000</f>
        <v>185.76512455516016</v>
      </c>
      <c r="H26" s="264">
        <f>('C-60'!H26/'C-59'!H26)*1000</f>
        <v>209.19117647058823</v>
      </c>
      <c r="I26" s="264">
        <f>('C-60'!I26/'C-59'!I26)*1000</f>
        <v>207.22433460076044</v>
      </c>
      <c r="J26" s="264">
        <f>('C-60'!J26/'C-59'!J26)*1000</f>
        <v>205.31914893617019</v>
      </c>
      <c r="K26" s="264">
        <f>('C-60'!K26/'C-59'!K26)*1000</f>
        <v>210.90342679127727</v>
      </c>
      <c r="L26" s="264">
        <f>('C-60'!L26/'C-59'!L26)*1000</f>
        <v>202.39520958083833</v>
      </c>
      <c r="M26" s="264">
        <f>('C-60'!M26/'C-59'!M26)*1000</f>
        <v>202.63929618768324</v>
      </c>
      <c r="N26" s="264">
        <f>('C-60'!N26/'C-59'!N26)*1000</f>
        <v>198.25436408977558</v>
      </c>
      <c r="P26" s="152"/>
      <c r="Q26" s="128"/>
      <c r="R26" s="128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28"/>
      <c r="AF26" s="130"/>
    </row>
    <row r="27" spans="1:32" ht="12.75" customHeight="1">
      <c r="A27" s="152" t="s">
        <v>39</v>
      </c>
      <c r="B27" s="642">
        <f>('C-60'!B27/'C-59'!B27)*1000</f>
        <v>188.98786959818045</v>
      </c>
      <c r="C27" s="264">
        <f>('C-60'!C27/'C-59'!C27)*1000</f>
        <v>188.77005347593581</v>
      </c>
      <c r="D27" s="264">
        <f>('C-60'!D27/'C-59'!D27)*1000</f>
        <v>188.70588235294119</v>
      </c>
      <c r="E27" s="264">
        <f>('C-60'!E27/'C-59'!E27)*1000</f>
        <v>191.54589371980677</v>
      </c>
      <c r="F27" s="264">
        <f>('C-60'!F27/'C-59'!F27)*1000</f>
        <v>191.05882352941177</v>
      </c>
      <c r="G27" s="264">
        <f>('C-60'!G27/'C-59'!G27)*1000</f>
        <v>187.2389791183295</v>
      </c>
      <c r="H27" s="264">
        <f>('C-60'!H27/'C-59'!H27)*1000</f>
        <v>190.57017543859649</v>
      </c>
      <c r="I27" s="264">
        <f>('C-60'!I27/'C-59'!I27)*1000</f>
        <v>190.21739130434784</v>
      </c>
      <c r="J27" s="264">
        <f>('C-60'!J27/'C-59'!J27)*1000</f>
        <v>189.84198645598192</v>
      </c>
      <c r="K27" s="264">
        <f>('C-60'!K27/'C-59'!K27)*1000</f>
        <v>189.91228070175436</v>
      </c>
      <c r="L27" s="264">
        <f>('C-60'!L27/'C-59'!L27)*1000</f>
        <v>178.076062639821</v>
      </c>
      <c r="M27" s="264">
        <f>('C-60'!M27/'C-59'!M27)*1000</f>
        <v>190.26548672566372</v>
      </c>
      <c r="N27" s="264">
        <f>('C-60'!N27/'C-59'!N27)*1000</f>
        <v>191.48073022312377</v>
      </c>
      <c r="P27" s="152"/>
      <c r="Q27" s="128"/>
      <c r="R27" s="128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28"/>
      <c r="AF27" s="130"/>
    </row>
    <row r="28" spans="1:32" ht="12.75" customHeight="1">
      <c r="A28" s="152" t="s">
        <v>40</v>
      </c>
      <c r="B28" s="642">
        <f>('C-60'!B28/'C-59'!B28)*1000</f>
        <v>127.56023773252944</v>
      </c>
      <c r="C28" s="264">
        <f>('C-60'!C28/'C-59'!C28)*1000</f>
        <v>122.9654036243822</v>
      </c>
      <c r="D28" s="264">
        <f>('C-60'!D28/'C-59'!D28)*1000</f>
        <v>123.538856775851</v>
      </c>
      <c r="E28" s="264">
        <f>('C-60'!E28/'C-59'!E28)*1000</f>
        <v>127.52236580516899</v>
      </c>
      <c r="F28" s="264">
        <f>('C-60'!F28/'C-59'!F28)*1000</f>
        <v>124.41552712836348</v>
      </c>
      <c r="G28" s="264">
        <f>('C-60'!G28/'C-59'!G28)*1000</f>
        <v>137.15166868597865</v>
      </c>
      <c r="H28" s="264">
        <f>('C-60'!H28/'C-59'!H28)*1000</f>
        <v>134.03895957662425</v>
      </c>
      <c r="I28" s="264">
        <f>('C-60'!I28/'C-59'!I28)*1000</f>
        <v>132.57358836330317</v>
      </c>
      <c r="J28" s="264">
        <f>('C-60'!J28/'C-59'!J28)*1000</f>
        <v>130.46991546494283</v>
      </c>
      <c r="K28" s="264">
        <f>('C-60'!K28/'C-59'!K28)*1000</f>
        <v>127.34466588511137</v>
      </c>
      <c r="L28" s="264">
        <f>('C-60'!L28/'C-59'!L28)*1000</f>
        <v>126.27629836692658</v>
      </c>
      <c r="M28" s="264">
        <f>('C-60'!M28/'C-59'!M28)*1000</f>
        <v>121.44280589876445</v>
      </c>
      <c r="N28" s="264">
        <f>('C-60'!N28/'C-59'!N28)*1000</f>
        <v>118.23923203233548</v>
      </c>
      <c r="P28" s="152"/>
      <c r="Q28" s="128"/>
      <c r="R28" s="128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28"/>
      <c r="AF28" s="130"/>
    </row>
    <row r="29" spans="1:32" ht="12.75" customHeight="1">
      <c r="A29" s="152" t="s">
        <v>41</v>
      </c>
      <c r="B29" s="642">
        <f>('C-60'!B29/'C-59'!B29)*1000</f>
        <v>112.75662452418359</v>
      </c>
      <c r="C29" s="264">
        <f>('C-60'!C29/'C-59'!C29)*1000</f>
        <v>112.70983213429255</v>
      </c>
      <c r="D29" s="264">
        <f>('C-60'!D29/'C-59'!D29)*1000</f>
        <v>111.64355021132211</v>
      </c>
      <c r="E29" s="264">
        <f>('C-60'!E29/'C-59'!E29)*1000</f>
        <v>110.11366948411542</v>
      </c>
      <c r="F29" s="264">
        <f>('C-60'!F29/'C-59'!F29)*1000</f>
        <v>111.15430622009569</v>
      </c>
      <c r="G29" s="264">
        <f>('C-60'!G29/'C-59'!G29)*1000</f>
        <v>110.46865489957396</v>
      </c>
      <c r="H29" s="264">
        <f>('C-60'!H29/'C-59'!H29)*1000</f>
        <v>113.58730158730158</v>
      </c>
      <c r="I29" s="264">
        <f>('C-60'!I29/'C-59'!I29)*1000</f>
        <v>111.58555729984302</v>
      </c>
      <c r="J29" s="264">
        <f>('C-60'!J29/'C-59'!J29)*1000</f>
        <v>114.52962838968867</v>
      </c>
      <c r="K29" s="264">
        <f>('C-60'!K29/'C-59'!K29)*1000</f>
        <v>114.1400407885792</v>
      </c>
      <c r="L29" s="264">
        <f>('C-60'!L29/'C-59'!L29)*1000</f>
        <v>114.58823529411764</v>
      </c>
      <c r="M29" s="264">
        <f>('C-60'!M29/'C-59'!M29)*1000</f>
        <v>115.85407432662804</v>
      </c>
      <c r="N29" s="264">
        <f>('C-60'!N29/'C-59'!N29)*1000</f>
        <v>113.77245508982035</v>
      </c>
      <c r="P29" s="152"/>
      <c r="Q29" s="128"/>
      <c r="R29" s="128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28"/>
      <c r="AF29" s="130"/>
    </row>
    <row r="30" spans="1:32" ht="12.75" customHeight="1">
      <c r="A30" s="127" t="s">
        <v>100</v>
      </c>
      <c r="B30" s="642">
        <f>('C-60'!B30/'C-59'!B30)*1000</f>
        <v>114.75115795693139</v>
      </c>
      <c r="C30" s="264">
        <f>('C-60'!C30/'C-59'!C30)*1000</f>
        <v>116.46266829865363</v>
      </c>
      <c r="D30" s="264">
        <f>('C-60'!D30/'C-59'!D30)*1000</f>
        <v>114.73545606894901</v>
      </c>
      <c r="E30" s="264">
        <f>('C-60'!E30/'C-59'!E30)*1000</f>
        <v>113.63903586125809</v>
      </c>
      <c r="F30" s="264">
        <f>('C-60'!F30/'C-59'!F30)*1000</f>
        <v>113.59857482185274</v>
      </c>
      <c r="G30" s="264">
        <f>('C-60'!G30/'C-59'!G30)*1000</f>
        <v>113.01627033792241</v>
      </c>
      <c r="H30" s="264">
        <f>('C-60'!H30/'C-59'!H30)*1000</f>
        <v>115.39456662354463</v>
      </c>
      <c r="I30" s="264">
        <f>('C-60'!I30/'C-59'!I30)*1000</f>
        <v>112.71239773442417</v>
      </c>
      <c r="J30" s="264">
        <f>('C-60'!J30/'C-59'!J30)*1000</f>
        <v>115.49202127659574</v>
      </c>
      <c r="K30" s="264">
        <f>('C-60'!K30/'C-59'!K30)*1000</f>
        <v>114.83479433580581</v>
      </c>
      <c r="L30" s="264">
        <f>('C-60'!L30/'C-59'!L30)*1000</f>
        <v>116.02393617021276</v>
      </c>
      <c r="M30" s="264">
        <f>('C-60'!M30/'C-59'!M30)*1000</f>
        <v>116.93333333333334</v>
      </c>
      <c r="N30" s="264">
        <f>('C-60'!N30/'C-59'!N30)*1000</f>
        <v>114.52658884565498</v>
      </c>
      <c r="P30" s="152"/>
      <c r="Q30" s="128"/>
      <c r="R30" s="128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28"/>
      <c r="AF30" s="130"/>
    </row>
    <row r="31" spans="1:32" ht="12.75" customHeight="1">
      <c r="A31" s="127" t="s">
        <v>101</v>
      </c>
      <c r="B31" s="642">
        <f>('C-60'!B31/'C-59'!B31)*1000</f>
        <v>110.75399125349072</v>
      </c>
      <c r="C31" s="264">
        <f>('C-60'!C31/'C-59'!C31)*1000</f>
        <v>109.10693301997649</v>
      </c>
      <c r="D31" s="264">
        <f>('C-60'!D31/'C-59'!D31)*1000</f>
        <v>108.58496151568976</v>
      </c>
      <c r="E31" s="264">
        <f>('C-60'!E31/'C-59'!E31)*1000</f>
        <v>106.64739884393063</v>
      </c>
      <c r="F31" s="264">
        <f>('C-60'!F31/'C-59'!F31)*1000</f>
        <v>108.61445783132531</v>
      </c>
      <c r="G31" s="264">
        <f>('C-60'!G31/'C-59'!G31)*1000</f>
        <v>107.99763033175357</v>
      </c>
      <c r="H31" s="264">
        <f>('C-60'!H31/'C-59'!H31)*1000</f>
        <v>111.84538653366585</v>
      </c>
      <c r="I31" s="264">
        <f>('C-60'!I31/'C-59'!I31)*1000</f>
        <v>110.46365914786968</v>
      </c>
      <c r="J31" s="264">
        <f>('C-60'!J31/'C-59'!J31)*1000</f>
        <v>113.62103843560351</v>
      </c>
      <c r="K31" s="264">
        <f>('C-60'!K31/'C-59'!K31)*1000</f>
        <v>113.43385880740233</v>
      </c>
      <c r="L31" s="264">
        <f>('C-60'!L31/'C-59'!L31)*1000</f>
        <v>113.12032630863358</v>
      </c>
      <c r="M31" s="264">
        <f>('C-60'!M31/'C-59'!M31)*1000</f>
        <v>114.72435450104676</v>
      </c>
      <c r="N31" s="264">
        <f>('C-60'!N31/'C-59'!N31)*1000</f>
        <v>112.90983606557378</v>
      </c>
      <c r="P31" s="152"/>
      <c r="Q31" s="128"/>
      <c r="R31" s="128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28"/>
      <c r="AF31" s="130"/>
    </row>
    <row r="32" spans="1:32" ht="12.75" customHeight="1">
      <c r="A32" s="152" t="s">
        <v>44</v>
      </c>
      <c r="B32" s="642">
        <f>('C-60'!B32/'C-59'!B32)*1000</f>
        <v>157.41887149560353</v>
      </c>
      <c r="C32" s="264">
        <f>('C-60'!C32/'C-59'!C32)*1000</f>
        <v>152.63557072430791</v>
      </c>
      <c r="D32" s="264">
        <f>('C-60'!D32/'C-59'!D32)*1000</f>
        <v>155.93449265574876</v>
      </c>
      <c r="E32" s="264">
        <f>('C-60'!E32/'C-59'!E32)*1000</f>
        <v>159.30796931266636</v>
      </c>
      <c r="F32" s="264">
        <f>('C-60'!F32/'C-59'!F32)*1000</f>
        <v>162.60806916426512</v>
      </c>
      <c r="G32" s="264">
        <f>('C-60'!G32/'C-59'!G32)*1000</f>
        <v>163.75534188034189</v>
      </c>
      <c r="H32" s="264">
        <f>('C-60'!H32/'C-59'!H32)*1000</f>
        <v>162.52066641231085</v>
      </c>
      <c r="I32" s="264">
        <f>('C-60'!I32/'C-59'!I32)*1000</f>
        <v>160.27884089666483</v>
      </c>
      <c r="J32" s="264">
        <f>('C-60'!J32/'C-59'!J32)*1000</f>
        <v>157.87465140173197</v>
      </c>
      <c r="K32" s="264">
        <f>('C-60'!K32/'C-59'!K32)*1000</f>
        <v>154.76303693136788</v>
      </c>
      <c r="L32" s="264">
        <f>('C-60'!L32/'C-59'!L32)*1000</f>
        <v>152</v>
      </c>
      <c r="M32" s="264">
        <f>('C-60'!M32/'C-59'!M32)*1000</f>
        <v>150.38182512409318</v>
      </c>
      <c r="N32" s="264">
        <f>('C-60'!N32/'C-59'!N32)*1000</f>
        <v>148.87076537013803</v>
      </c>
      <c r="P32" s="152"/>
      <c r="Q32" s="128"/>
      <c r="R32" s="128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28"/>
      <c r="AF32" s="130"/>
    </row>
    <row r="33" spans="1:32" ht="12.75" customHeight="1">
      <c r="A33" s="152" t="s">
        <v>45</v>
      </c>
      <c r="B33" s="642">
        <f>('C-60'!B33/'C-59'!B33)*1000</f>
        <v>144.71923696937131</v>
      </c>
      <c r="C33" s="264">
        <f>('C-60'!C33/'C-59'!C33)*1000</f>
        <v>143.61339923119166</v>
      </c>
      <c r="D33" s="264">
        <f>('C-60'!D33/'C-59'!D33)*1000</f>
        <v>144.83781278962002</v>
      </c>
      <c r="E33" s="264">
        <f>('C-60'!E33/'C-59'!E33)*1000</f>
        <v>146.19957537154991</v>
      </c>
      <c r="F33" s="264">
        <f>('C-60'!F33/'C-59'!F33)*1000</f>
        <v>146.5416401780038</v>
      </c>
      <c r="G33" s="264">
        <f>('C-60'!G33/'C-59'!G33)*1000</f>
        <v>147.12571067593177</v>
      </c>
      <c r="H33" s="264">
        <f>('C-60'!H33/'C-59'!H33)*1000</f>
        <v>147.43686868686871</v>
      </c>
      <c r="I33" s="264">
        <f>('C-60'!I33/'C-59'!I33)*1000</f>
        <v>144.82926829268294</v>
      </c>
      <c r="J33" s="264">
        <f>('C-60'!J33/'C-59'!J33)*1000</f>
        <v>144.53982985305493</v>
      </c>
      <c r="K33" s="264">
        <f>('C-60'!K33/'C-59'!K33)*1000</f>
        <v>143.20524017467247</v>
      </c>
      <c r="L33" s="264">
        <f>('C-60'!L33/'C-59'!L33)*1000</f>
        <v>141.39047619047616</v>
      </c>
      <c r="M33" s="264">
        <f>('C-60'!M33/'C-59'!M33)*1000</f>
        <v>141.45403377110696</v>
      </c>
      <c r="N33" s="264">
        <f>('C-60'!N33/'C-59'!N33)*1000</f>
        <v>141.63306451612902</v>
      </c>
      <c r="P33" s="152"/>
      <c r="Q33" s="128"/>
      <c r="R33" s="128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28"/>
      <c r="AF33" s="130"/>
    </row>
    <row r="34" spans="1:32" ht="12.75" customHeight="1">
      <c r="A34" s="129" t="s">
        <v>46</v>
      </c>
      <c r="B34" s="642">
        <f>('C-60'!B34/'C-59'!B34)*1000</f>
        <v>108.95931592469036</v>
      </c>
      <c r="C34" s="264">
        <f>('C-60'!C34/'C-59'!C34)*1000</f>
        <v>109.60192475940508</v>
      </c>
      <c r="D34" s="264">
        <f>('C-60'!D34/'C-59'!D34)*1000</f>
        <v>109.75444920027033</v>
      </c>
      <c r="E34" s="264">
        <f>('C-60'!E34/'C-59'!E34)*1000</f>
        <v>109.03522205206738</v>
      </c>
      <c r="F34" s="264">
        <f>('C-60'!F34/'C-59'!F34)*1000</f>
        <v>108.67950800649803</v>
      </c>
      <c r="G34" s="264">
        <f>('C-60'!G34/'C-59'!G34)*1000</f>
        <v>106.29114850036576</v>
      </c>
      <c r="H34" s="264">
        <f>('C-60'!H34/'C-59'!H34)*1000</f>
        <v>111.9430837415442</v>
      </c>
      <c r="I34" s="264">
        <f>('C-60'!I34/'C-59'!I34)*1000</f>
        <v>106.79830042489378</v>
      </c>
      <c r="J34" s="264">
        <f>('C-60'!J34/'C-59'!J34)*1000</f>
        <v>108.67475394827191</v>
      </c>
      <c r="K34" s="264">
        <f>('C-60'!K34/'C-59'!K34)*1000</f>
        <v>108.13287514318442</v>
      </c>
      <c r="L34" s="264">
        <f>('C-60'!L34/'C-59'!L34)*1000</f>
        <v>106.04059672291514</v>
      </c>
      <c r="M34" s="264">
        <f>('C-60'!M34/'C-59'!M34)*1000</f>
        <v>105.11699103433195</v>
      </c>
      <c r="N34" s="264">
        <f>('C-60'!N34/'C-59'!N34)*1000</f>
        <v>116.88978134761267</v>
      </c>
      <c r="P34" s="152"/>
      <c r="Q34" s="128"/>
      <c r="R34" s="128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28"/>
      <c r="AF34" s="130"/>
    </row>
    <row r="35" spans="1:32" ht="12.75" customHeight="1">
      <c r="A35" s="129" t="s">
        <v>47</v>
      </c>
      <c r="B35" s="642">
        <f>('C-60'!B35/'C-59'!B35)*1000</f>
        <v>148.95812462432383</v>
      </c>
      <c r="C35" s="264">
        <f>('C-60'!C35/'C-59'!C35)*1000</f>
        <v>148.25819672131146</v>
      </c>
      <c r="D35" s="264">
        <f>('C-60'!D35/'C-59'!D35)*1000</f>
        <v>145.10035419126331</v>
      </c>
      <c r="E35" s="264">
        <f>('C-60'!E35/'C-59'!E35)*1000</f>
        <v>148.36272040302268</v>
      </c>
      <c r="F35" s="264">
        <f>('C-60'!F35/'C-59'!F35)*1000</f>
        <v>145.16129032258067</v>
      </c>
      <c r="G35" s="264">
        <f>('C-60'!G35/'C-59'!G35)*1000</f>
        <v>147.28192161820479</v>
      </c>
      <c r="H35" s="264">
        <f>('C-60'!H35/'C-59'!H35)*1000</f>
        <v>146.50856389986825</v>
      </c>
      <c r="I35" s="264">
        <f>('C-60'!I35/'C-59'!I35)*1000</f>
        <v>147.61904761904762</v>
      </c>
      <c r="J35" s="264">
        <f>('C-60'!J35/'C-59'!J35)*1000</f>
        <v>154.9800796812749</v>
      </c>
      <c r="K35" s="264">
        <f>('C-60'!K35/'C-59'!K35)*1000</f>
        <v>152.56410256410257</v>
      </c>
      <c r="L35" s="264">
        <f>('C-60'!L35/'C-59'!L35)*1000</f>
        <v>151.46886016451236</v>
      </c>
      <c r="M35" s="264">
        <f>('C-60'!M35/'C-59'!M35)*1000</f>
        <v>148.64253393665157</v>
      </c>
      <c r="N35" s="264">
        <f>('C-60'!N35/'C-59'!N35)*1000</f>
        <v>151.1342155009452</v>
      </c>
      <c r="P35" s="152"/>
      <c r="Q35" s="128"/>
      <c r="R35" s="128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28"/>
      <c r="AF35" s="130"/>
    </row>
    <row r="36" spans="1:32" ht="12.75" customHeight="1">
      <c r="A36" s="129" t="s">
        <v>48</v>
      </c>
      <c r="B36" s="642">
        <f>('C-60'!B36/'C-59'!B36)*1000</f>
        <v>127.24055257449479</v>
      </c>
      <c r="C36" s="264">
        <f>('C-60'!C36/'C-59'!C36)*1000</f>
        <v>127.46823069403715</v>
      </c>
      <c r="D36" s="264">
        <f>('C-60'!D36/'C-59'!D36)*1000</f>
        <v>125.57154953429297</v>
      </c>
      <c r="E36" s="264">
        <f>('C-60'!E36/'C-59'!E36)*1000</f>
        <v>126.12826603325416</v>
      </c>
      <c r="F36" s="264">
        <f>('C-60'!F36/'C-59'!F36)*1000</f>
        <v>122.7481919789612</v>
      </c>
      <c r="G36" s="264">
        <f>('C-60'!G36/'C-59'!G36)*1000</f>
        <v>129.17933130699089</v>
      </c>
      <c r="H36" s="264">
        <f>('C-60'!H36/'C-59'!H36)*1000</f>
        <v>127.48815165876776</v>
      </c>
      <c r="I36" s="264">
        <f>('C-60'!I36/'C-59'!I36)*1000</f>
        <v>127.51842751842752</v>
      </c>
      <c r="J36" s="264">
        <f>('C-60'!J36/'C-59'!J36)*1000</f>
        <v>127.4968394437421</v>
      </c>
      <c r="K36" s="264">
        <f>('C-60'!K36/'C-59'!K36)*1000</f>
        <v>127.50301568154404</v>
      </c>
      <c r="L36" s="264">
        <f>('C-60'!L36/'C-59'!L36)*1000</f>
        <v>127.47603833865814</v>
      </c>
      <c r="M36" s="264">
        <f>('C-60'!M36/'C-59'!M36)*1000</f>
        <v>130.52772211088845</v>
      </c>
      <c r="N36" s="264">
        <f>('C-60'!N36/'C-59'!N36)*1000</f>
        <v>127.5062656641604</v>
      </c>
      <c r="P36" s="152"/>
      <c r="Q36" s="128"/>
      <c r="R36" s="128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28"/>
      <c r="AF36" s="130"/>
    </row>
    <row r="37" spans="1:32" ht="12.75" customHeight="1" thickBot="1">
      <c r="A37" s="154" t="s">
        <v>49</v>
      </c>
      <c r="B37" s="643">
        <f>('C-60'!B37/'C-59'!B37)*1000</f>
        <v>160.76934370870649</v>
      </c>
      <c r="C37" s="265">
        <f>('C-60'!C37/'C-59'!C37)*1000</f>
        <v>157.60755508919203</v>
      </c>
      <c r="D37" s="265">
        <f>('C-60'!D37/'C-59'!D37)*1000</f>
        <v>161.25611745513865</v>
      </c>
      <c r="E37" s="265">
        <f>('C-60'!E37/'C-59'!E37)*1000</f>
        <v>162.77310924369749</v>
      </c>
      <c r="F37" s="265">
        <f>('C-60'!F37/'C-59'!F37)*1000</f>
        <v>161.90476190476193</v>
      </c>
      <c r="G37" s="265">
        <f>('C-60'!G37/'C-59'!G37)*1000</f>
        <v>160.98654708520181</v>
      </c>
      <c r="H37" s="265">
        <f>('C-60'!H37/'C-59'!H37)*1000</f>
        <v>161.59110350727119</v>
      </c>
      <c r="I37" s="265">
        <f>('C-60'!I37/'C-59'!I37)*1000</f>
        <v>161.75156389633602</v>
      </c>
      <c r="J37" s="265">
        <f>('C-60'!J37/'C-59'!J37)*1000</f>
        <v>156.05802047781569</v>
      </c>
      <c r="K37" s="265">
        <f>('C-60'!K37/'C-59'!K37)*1000</f>
        <v>162.28733459357278</v>
      </c>
      <c r="L37" s="265">
        <f>('C-60'!L37/'C-59'!L37)*1000</f>
        <v>164.41281138790038</v>
      </c>
      <c r="M37" s="265">
        <f>('C-60'!M37/'C-59'!M37)*1000</f>
        <v>157.70964833183049</v>
      </c>
      <c r="N37" s="265">
        <f>('C-60'!N37/'C-59'!N37)*1000</f>
        <v>160.28955532574975</v>
      </c>
      <c r="P37" s="152"/>
      <c r="Q37" s="128"/>
      <c r="R37" s="128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28"/>
      <c r="AF37" s="130"/>
    </row>
    <row r="38" spans="1:32" ht="9" customHeight="1">
      <c r="A38" s="778" t="s">
        <v>402</v>
      </c>
      <c r="B38" s="813"/>
      <c r="C38" s="813"/>
      <c r="D38" s="813"/>
      <c r="E38" s="813"/>
      <c r="F38" s="257"/>
    </row>
    <row r="39" spans="1:32" ht="9" customHeight="1">
      <c r="A39" s="778" t="s">
        <v>359</v>
      </c>
      <c r="B39" s="813"/>
      <c r="C39" s="813"/>
      <c r="D39" s="813"/>
      <c r="E39" s="813"/>
      <c r="F39" s="257"/>
    </row>
    <row r="40" spans="1:32" ht="9" customHeight="1">
      <c r="A40" s="780" t="s">
        <v>358</v>
      </c>
      <c r="B40" s="813"/>
      <c r="C40" s="813"/>
      <c r="D40" s="813"/>
      <c r="E40" s="813"/>
      <c r="F40" s="257"/>
    </row>
    <row r="41" spans="1:32" ht="13.25" customHeight="1">
      <c r="A41" s="11"/>
    </row>
    <row r="42" spans="1:32" ht="13.25" customHeight="1">
      <c r="A42" s="73"/>
    </row>
    <row r="43" spans="1:32" ht="13.25" customHeight="1">
      <c r="A43" s="73"/>
    </row>
    <row r="44" spans="1:32" ht="13.25" customHeight="1">
      <c r="A44" s="24"/>
    </row>
    <row r="45" spans="1:32" ht="13.25" customHeight="1">
      <c r="A45" s="33"/>
    </row>
    <row r="46" spans="1:32" ht="13.25" customHeight="1">
      <c r="A46" s="24"/>
    </row>
    <row r="47" spans="1:32" ht="13.25" customHeight="1">
      <c r="A47" s="73"/>
    </row>
    <row r="48" spans="1:32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colBreaks count="1" manualBreakCount="1">
    <brk id="14" max="1048575" man="1"/>
  </col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3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535</v>
      </c>
      <c r="B4" s="245"/>
    </row>
    <row r="5" spans="1:14" ht="13.25" customHeight="1">
      <c r="A5" s="252" t="s">
        <v>238</v>
      </c>
      <c r="B5" s="245"/>
    </row>
    <row r="6" spans="1:14" ht="4" customHeight="1" thickBot="1"/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9">
        <f t="shared" ref="B8:B37" si="0">SUM(C8:N8)</f>
        <v>390293.1</v>
      </c>
      <c r="C8" s="609">
        <f t="shared" ref="C8:N8" si="1">(C9+C10+C11+C12+C13+C17+C18+C19+C20+C21+C22+C23+C24+C25+C26+C27+C28+C29+C32+C33+C34+C35+C36+C37)</f>
        <v>29935</v>
      </c>
      <c r="D8" s="609">
        <f t="shared" si="1"/>
        <v>30296</v>
      </c>
      <c r="E8" s="609">
        <f t="shared" si="1"/>
        <v>31792</v>
      </c>
      <c r="F8" s="609">
        <f t="shared" si="1"/>
        <v>32187</v>
      </c>
      <c r="G8" s="609">
        <f t="shared" si="1"/>
        <v>33168</v>
      </c>
      <c r="H8" s="609">
        <f t="shared" si="1"/>
        <v>34798</v>
      </c>
      <c r="I8" s="609">
        <f t="shared" si="1"/>
        <v>35353</v>
      </c>
      <c r="J8" s="609">
        <f t="shared" si="1"/>
        <v>33957</v>
      </c>
      <c r="K8" s="609">
        <f t="shared" si="1"/>
        <v>31283</v>
      </c>
      <c r="L8" s="609">
        <f t="shared" si="1"/>
        <v>30444</v>
      </c>
      <c r="M8" s="609">
        <f t="shared" si="1"/>
        <v>30478.1</v>
      </c>
      <c r="N8" s="609">
        <f t="shared" si="1"/>
        <v>36602</v>
      </c>
    </row>
    <row r="9" spans="1:14" ht="12.75" customHeight="1">
      <c r="A9" s="152" t="s">
        <v>21</v>
      </c>
      <c r="B9" s="637">
        <f t="shared" si="0"/>
        <v>18318</v>
      </c>
      <c r="C9" s="258">
        <v>1477</v>
      </c>
      <c r="D9" s="258">
        <v>1524</v>
      </c>
      <c r="E9" s="258">
        <v>1560</v>
      </c>
      <c r="F9" s="258">
        <v>1467</v>
      </c>
      <c r="G9" s="258">
        <v>1398</v>
      </c>
      <c r="H9" s="258">
        <v>1659</v>
      </c>
      <c r="I9" s="258">
        <v>1612</v>
      </c>
      <c r="J9" s="258">
        <v>1539</v>
      </c>
      <c r="K9" s="258">
        <v>1536</v>
      </c>
      <c r="L9" s="258">
        <v>1523</v>
      </c>
      <c r="M9" s="258">
        <v>1494</v>
      </c>
      <c r="N9" s="258">
        <v>1529</v>
      </c>
    </row>
    <row r="10" spans="1:14" ht="12.75" customHeight="1">
      <c r="A10" s="152" t="s">
        <v>22</v>
      </c>
      <c r="B10" s="637">
        <f t="shared" si="0"/>
        <v>96548</v>
      </c>
      <c r="C10" s="258">
        <v>7452</v>
      </c>
      <c r="D10" s="258">
        <v>7762</v>
      </c>
      <c r="E10" s="258">
        <v>8073</v>
      </c>
      <c r="F10" s="258">
        <v>8383</v>
      </c>
      <c r="G10" s="258">
        <v>8694</v>
      </c>
      <c r="H10" s="258">
        <v>9625</v>
      </c>
      <c r="I10" s="258">
        <v>9768</v>
      </c>
      <c r="J10" s="258">
        <v>9004</v>
      </c>
      <c r="K10" s="258">
        <v>6831</v>
      </c>
      <c r="L10" s="258">
        <v>5589</v>
      </c>
      <c r="M10" s="258">
        <v>5847</v>
      </c>
      <c r="N10" s="258">
        <v>9520</v>
      </c>
    </row>
    <row r="11" spans="1:14" ht="12.75" customHeight="1">
      <c r="A11" s="152" t="s">
        <v>23</v>
      </c>
      <c r="B11" s="637">
        <f t="shared" si="0"/>
        <v>17887</v>
      </c>
      <c r="C11" s="258">
        <v>1399</v>
      </c>
      <c r="D11" s="258">
        <v>1348</v>
      </c>
      <c r="E11" s="258">
        <v>1295</v>
      </c>
      <c r="F11" s="258">
        <v>1264</v>
      </c>
      <c r="G11" s="258">
        <v>1350</v>
      </c>
      <c r="H11" s="258">
        <v>1388</v>
      </c>
      <c r="I11" s="258">
        <v>1468</v>
      </c>
      <c r="J11" s="258">
        <v>1460</v>
      </c>
      <c r="K11" s="258">
        <v>1486</v>
      </c>
      <c r="L11" s="258">
        <v>1660</v>
      </c>
      <c r="M11" s="258">
        <v>1598</v>
      </c>
      <c r="N11" s="258">
        <v>2171</v>
      </c>
    </row>
    <row r="12" spans="1:14" ht="12.75" customHeight="1">
      <c r="A12" s="129" t="s">
        <v>24</v>
      </c>
      <c r="B12" s="637">
        <f t="shared" si="0"/>
        <v>34765</v>
      </c>
      <c r="C12" s="258">
        <v>2719</v>
      </c>
      <c r="D12" s="258">
        <v>2878</v>
      </c>
      <c r="E12" s="258">
        <v>3026</v>
      </c>
      <c r="F12" s="258">
        <v>2805</v>
      </c>
      <c r="G12" s="258">
        <v>2793</v>
      </c>
      <c r="H12" s="258">
        <v>2979</v>
      </c>
      <c r="I12" s="258">
        <v>2855</v>
      </c>
      <c r="J12" s="258">
        <v>2929</v>
      </c>
      <c r="K12" s="258">
        <v>2948</v>
      </c>
      <c r="L12" s="258">
        <v>2826</v>
      </c>
      <c r="M12" s="258">
        <v>3046</v>
      </c>
      <c r="N12" s="258">
        <v>2961</v>
      </c>
    </row>
    <row r="13" spans="1:14" ht="12.75" customHeight="1">
      <c r="A13" s="152" t="s">
        <v>25</v>
      </c>
      <c r="B13" s="637">
        <f t="shared" si="0"/>
        <v>24415</v>
      </c>
      <c r="C13" s="258">
        <v>2071</v>
      </c>
      <c r="D13" s="258">
        <v>2077</v>
      </c>
      <c r="E13" s="258">
        <v>1886</v>
      </c>
      <c r="F13" s="258">
        <v>1808</v>
      </c>
      <c r="G13" s="258">
        <v>2106</v>
      </c>
      <c r="H13" s="258">
        <v>2224</v>
      </c>
      <c r="I13" s="258">
        <v>2391</v>
      </c>
      <c r="J13" s="258">
        <v>1875</v>
      </c>
      <c r="K13" s="258">
        <v>1871</v>
      </c>
      <c r="L13" s="258">
        <v>1960</v>
      </c>
      <c r="M13" s="258">
        <v>1989</v>
      </c>
      <c r="N13" s="258">
        <v>2157</v>
      </c>
    </row>
    <row r="14" spans="1:14" ht="12.75" customHeight="1">
      <c r="A14" s="127" t="s">
        <v>97</v>
      </c>
      <c r="B14" s="637">
        <f t="shared" si="0"/>
        <v>14222</v>
      </c>
      <c r="C14" s="258">
        <v>1256</v>
      </c>
      <c r="D14" s="258">
        <v>1288</v>
      </c>
      <c r="E14" s="258">
        <v>1208</v>
      </c>
      <c r="F14" s="258">
        <v>952</v>
      </c>
      <c r="G14" s="258">
        <v>963</v>
      </c>
      <c r="H14" s="258">
        <v>1060</v>
      </c>
      <c r="I14" s="258">
        <v>1132</v>
      </c>
      <c r="J14" s="258">
        <v>1168</v>
      </c>
      <c r="K14" s="258">
        <v>1144</v>
      </c>
      <c r="L14" s="258">
        <v>1251</v>
      </c>
      <c r="M14" s="258">
        <v>1320</v>
      </c>
      <c r="N14" s="258">
        <v>1480</v>
      </c>
    </row>
    <row r="15" spans="1:14" ht="12.75" customHeight="1">
      <c r="A15" s="127" t="s">
        <v>98</v>
      </c>
      <c r="B15" s="637">
        <f t="shared" si="0"/>
        <v>1211</v>
      </c>
      <c r="C15" s="258">
        <v>93</v>
      </c>
      <c r="D15" s="258">
        <v>88</v>
      </c>
      <c r="E15" s="258">
        <v>92</v>
      </c>
      <c r="F15" s="258">
        <v>90</v>
      </c>
      <c r="G15" s="258">
        <v>98</v>
      </c>
      <c r="H15" s="258">
        <v>112</v>
      </c>
      <c r="I15" s="258">
        <v>132</v>
      </c>
      <c r="J15" s="258">
        <v>96</v>
      </c>
      <c r="K15" s="258">
        <v>90</v>
      </c>
      <c r="L15" s="258">
        <v>108</v>
      </c>
      <c r="M15" s="258">
        <v>109</v>
      </c>
      <c r="N15" s="258">
        <v>103</v>
      </c>
    </row>
    <row r="16" spans="1:14" ht="12.75" customHeight="1">
      <c r="A16" s="127" t="s">
        <v>99</v>
      </c>
      <c r="B16" s="637">
        <f t="shared" si="0"/>
        <v>8982</v>
      </c>
      <c r="C16" s="258">
        <v>722</v>
      </c>
      <c r="D16" s="258">
        <v>701</v>
      </c>
      <c r="E16" s="258">
        <v>586</v>
      </c>
      <c r="F16" s="258">
        <v>766</v>
      </c>
      <c r="G16" s="258">
        <v>1045</v>
      </c>
      <c r="H16" s="258">
        <v>1052</v>
      </c>
      <c r="I16" s="258">
        <v>1127</v>
      </c>
      <c r="J16" s="258">
        <v>611</v>
      </c>
      <c r="K16" s="258">
        <v>637</v>
      </c>
      <c r="L16" s="258">
        <v>601</v>
      </c>
      <c r="M16" s="258">
        <v>560</v>
      </c>
      <c r="N16" s="258">
        <v>574</v>
      </c>
    </row>
    <row r="17" spans="1:14" ht="12.75" customHeight="1">
      <c r="A17" s="152" t="s">
        <v>29</v>
      </c>
      <c r="B17" s="637">
        <f t="shared" si="0"/>
        <v>4582</v>
      </c>
      <c r="C17" s="258">
        <v>440</v>
      </c>
      <c r="D17" s="258">
        <v>413</v>
      </c>
      <c r="E17" s="258">
        <v>302</v>
      </c>
      <c r="F17" s="258">
        <v>262</v>
      </c>
      <c r="G17" s="258">
        <v>308</v>
      </c>
      <c r="H17" s="258">
        <v>342</v>
      </c>
      <c r="I17" s="258">
        <v>387</v>
      </c>
      <c r="J17" s="258">
        <v>383</v>
      </c>
      <c r="K17" s="258">
        <v>416</v>
      </c>
      <c r="L17" s="258">
        <v>419</v>
      </c>
      <c r="M17" s="258">
        <v>410</v>
      </c>
      <c r="N17" s="258">
        <v>500</v>
      </c>
    </row>
    <row r="18" spans="1:14" ht="12.75" customHeight="1">
      <c r="A18" s="129" t="s">
        <v>30</v>
      </c>
      <c r="B18" s="637">
        <f t="shared" si="0"/>
        <v>20332</v>
      </c>
      <c r="C18" s="258">
        <v>1410</v>
      </c>
      <c r="D18" s="258">
        <v>1510</v>
      </c>
      <c r="E18" s="258">
        <v>1602</v>
      </c>
      <c r="F18" s="258">
        <v>1791</v>
      </c>
      <c r="G18" s="258">
        <v>1602</v>
      </c>
      <c r="H18" s="258">
        <v>1701</v>
      </c>
      <c r="I18" s="258">
        <v>1812</v>
      </c>
      <c r="J18" s="258">
        <v>1715</v>
      </c>
      <c r="K18" s="258">
        <v>1751</v>
      </c>
      <c r="L18" s="258">
        <v>1758</v>
      </c>
      <c r="M18" s="258">
        <v>1801</v>
      </c>
      <c r="N18" s="258">
        <v>1879</v>
      </c>
    </row>
    <row r="19" spans="1:14" ht="12.75" customHeight="1">
      <c r="A19" s="129" t="s">
        <v>31</v>
      </c>
      <c r="B19" s="637">
        <f t="shared" si="0"/>
        <v>35626</v>
      </c>
      <c r="C19" s="258">
        <v>2749</v>
      </c>
      <c r="D19" s="258">
        <v>2753</v>
      </c>
      <c r="E19" s="258">
        <v>2921</v>
      </c>
      <c r="F19" s="258">
        <v>2807</v>
      </c>
      <c r="G19" s="258">
        <v>2923</v>
      </c>
      <c r="H19" s="258">
        <v>2951</v>
      </c>
      <c r="I19" s="258">
        <v>2909</v>
      </c>
      <c r="J19" s="258">
        <v>3158</v>
      </c>
      <c r="K19" s="258">
        <v>3049</v>
      </c>
      <c r="L19" s="258">
        <v>3203</v>
      </c>
      <c r="M19" s="258">
        <v>2971</v>
      </c>
      <c r="N19" s="258">
        <v>3232</v>
      </c>
    </row>
    <row r="20" spans="1:14" ht="12.75" customHeight="1">
      <c r="A20" s="152" t="s">
        <v>32</v>
      </c>
      <c r="B20" s="637">
        <f t="shared" si="0"/>
        <v>23441</v>
      </c>
      <c r="C20" s="258">
        <v>1693</v>
      </c>
      <c r="D20" s="258">
        <v>1756</v>
      </c>
      <c r="E20" s="258">
        <v>1848</v>
      </c>
      <c r="F20" s="258">
        <v>1929</v>
      </c>
      <c r="G20" s="258">
        <v>1922</v>
      </c>
      <c r="H20" s="258">
        <v>1827</v>
      </c>
      <c r="I20" s="258">
        <v>1999</v>
      </c>
      <c r="J20" s="258">
        <v>1960</v>
      </c>
      <c r="K20" s="258">
        <v>1980</v>
      </c>
      <c r="L20" s="258">
        <v>2007</v>
      </c>
      <c r="M20" s="258">
        <v>1979</v>
      </c>
      <c r="N20" s="258">
        <v>2541</v>
      </c>
    </row>
    <row r="21" spans="1:14" ht="12.75" customHeight="1">
      <c r="A21" s="152" t="s">
        <v>33</v>
      </c>
      <c r="B21" s="637">
        <f t="shared" si="0"/>
        <v>24833</v>
      </c>
      <c r="C21" s="258">
        <v>1766</v>
      </c>
      <c r="D21" s="258">
        <v>1795</v>
      </c>
      <c r="E21" s="258">
        <v>1768</v>
      </c>
      <c r="F21" s="258">
        <v>1873</v>
      </c>
      <c r="G21" s="258">
        <v>2001</v>
      </c>
      <c r="H21" s="258">
        <v>2037</v>
      </c>
      <c r="I21" s="258">
        <v>2350</v>
      </c>
      <c r="J21" s="258">
        <v>2509</v>
      </c>
      <c r="K21" s="258">
        <v>2297</v>
      </c>
      <c r="L21" s="258">
        <v>2331</v>
      </c>
      <c r="M21" s="258">
        <v>2017</v>
      </c>
      <c r="N21" s="258">
        <v>2089</v>
      </c>
    </row>
    <row r="22" spans="1:14" ht="12.75" customHeight="1">
      <c r="A22" s="152" t="s">
        <v>34</v>
      </c>
      <c r="B22" s="637">
        <f t="shared" si="0"/>
        <v>1038</v>
      </c>
      <c r="C22" s="258">
        <v>59</v>
      </c>
      <c r="D22" s="258">
        <v>40</v>
      </c>
      <c r="E22" s="258">
        <v>71</v>
      </c>
      <c r="F22" s="258">
        <v>91</v>
      </c>
      <c r="G22" s="258">
        <v>108</v>
      </c>
      <c r="H22" s="258">
        <v>111</v>
      </c>
      <c r="I22" s="258">
        <v>145</v>
      </c>
      <c r="J22" s="258">
        <v>81</v>
      </c>
      <c r="K22" s="258">
        <v>59</v>
      </c>
      <c r="L22" s="258">
        <v>51</v>
      </c>
      <c r="M22" s="258">
        <v>91</v>
      </c>
      <c r="N22" s="258">
        <v>131</v>
      </c>
    </row>
    <row r="23" spans="1:14" ht="12.75" customHeight="1">
      <c r="A23" s="152" t="s">
        <v>35</v>
      </c>
      <c r="B23" s="637">
        <f t="shared" si="0"/>
        <v>4040</v>
      </c>
      <c r="C23" s="258">
        <v>340</v>
      </c>
      <c r="D23" s="258">
        <v>297</v>
      </c>
      <c r="E23" s="258">
        <v>339</v>
      </c>
      <c r="F23" s="258">
        <v>326</v>
      </c>
      <c r="G23" s="258">
        <v>343</v>
      </c>
      <c r="H23" s="258">
        <v>340</v>
      </c>
      <c r="I23" s="258">
        <v>347</v>
      </c>
      <c r="J23" s="258">
        <v>348</v>
      </c>
      <c r="K23" s="258">
        <v>351</v>
      </c>
      <c r="L23" s="258">
        <v>336</v>
      </c>
      <c r="M23" s="258">
        <v>323</v>
      </c>
      <c r="N23" s="258">
        <v>350</v>
      </c>
    </row>
    <row r="24" spans="1:14" ht="12.75" customHeight="1">
      <c r="A24" s="152" t="s">
        <v>36</v>
      </c>
      <c r="B24" s="637">
        <f t="shared" si="0"/>
        <v>21540</v>
      </c>
      <c r="C24" s="258">
        <v>1599</v>
      </c>
      <c r="D24" s="258">
        <v>1512</v>
      </c>
      <c r="E24" s="258">
        <v>1705</v>
      </c>
      <c r="F24" s="258">
        <v>2013</v>
      </c>
      <c r="G24" s="258">
        <v>2057</v>
      </c>
      <c r="H24" s="258">
        <v>2078</v>
      </c>
      <c r="I24" s="258">
        <v>1706</v>
      </c>
      <c r="J24" s="258">
        <v>1684</v>
      </c>
      <c r="K24" s="258">
        <v>1704</v>
      </c>
      <c r="L24" s="258">
        <v>1854</v>
      </c>
      <c r="M24" s="258">
        <v>1796</v>
      </c>
      <c r="N24" s="258">
        <v>1832</v>
      </c>
    </row>
    <row r="25" spans="1:14" ht="12.75" customHeight="1">
      <c r="A25" s="129" t="s">
        <v>37</v>
      </c>
      <c r="B25" s="637">
        <f t="shared" si="0"/>
        <v>10885</v>
      </c>
      <c r="C25" s="258">
        <v>883</v>
      </c>
      <c r="D25" s="258">
        <v>840</v>
      </c>
      <c r="E25" s="258">
        <v>854</v>
      </c>
      <c r="F25" s="258">
        <v>841</v>
      </c>
      <c r="G25" s="258">
        <v>858</v>
      </c>
      <c r="H25" s="258">
        <v>909</v>
      </c>
      <c r="I25" s="258">
        <v>956</v>
      </c>
      <c r="J25" s="258">
        <v>955</v>
      </c>
      <c r="K25" s="258">
        <v>951</v>
      </c>
      <c r="L25" s="258">
        <v>943</v>
      </c>
      <c r="M25" s="258">
        <v>942</v>
      </c>
      <c r="N25" s="258">
        <v>953</v>
      </c>
    </row>
    <row r="26" spans="1:14" ht="12.75" customHeight="1">
      <c r="A26" s="152" t="s">
        <v>38</v>
      </c>
      <c r="B26" s="637">
        <f t="shared" si="0"/>
        <v>847</v>
      </c>
      <c r="C26" s="258">
        <v>74</v>
      </c>
      <c r="D26" s="258">
        <v>54</v>
      </c>
      <c r="E26" s="258">
        <v>65</v>
      </c>
      <c r="F26" s="258">
        <v>76</v>
      </c>
      <c r="G26" s="258">
        <v>87</v>
      </c>
      <c r="H26" s="258">
        <v>81</v>
      </c>
      <c r="I26" s="258">
        <v>73</v>
      </c>
      <c r="J26" s="258">
        <v>65</v>
      </c>
      <c r="K26" s="258">
        <v>72</v>
      </c>
      <c r="L26" s="258">
        <v>76</v>
      </c>
      <c r="M26" s="258">
        <v>61</v>
      </c>
      <c r="N26" s="258">
        <v>63</v>
      </c>
    </row>
    <row r="27" spans="1:14" ht="12.75" customHeight="1">
      <c r="A27" s="152" t="s">
        <v>39</v>
      </c>
      <c r="B27" s="637">
        <f t="shared" si="0"/>
        <v>5850</v>
      </c>
      <c r="C27" s="258">
        <v>359</v>
      </c>
      <c r="D27" s="258">
        <v>397</v>
      </c>
      <c r="E27" s="258">
        <v>415</v>
      </c>
      <c r="F27" s="258">
        <v>443</v>
      </c>
      <c r="G27" s="258">
        <v>494</v>
      </c>
      <c r="H27" s="258">
        <v>543</v>
      </c>
      <c r="I27" s="258">
        <v>535</v>
      </c>
      <c r="J27" s="258">
        <v>533</v>
      </c>
      <c r="K27" s="258">
        <v>522</v>
      </c>
      <c r="L27" s="258">
        <v>525</v>
      </c>
      <c r="M27" s="258">
        <v>533</v>
      </c>
      <c r="N27" s="258">
        <v>551</v>
      </c>
    </row>
    <row r="28" spans="1:14" ht="12.75" customHeight="1">
      <c r="A28" s="152" t="s">
        <v>40</v>
      </c>
      <c r="B28" s="637">
        <f t="shared" si="0"/>
        <v>25058</v>
      </c>
      <c r="C28" s="258">
        <v>1662</v>
      </c>
      <c r="D28" s="258">
        <v>1478</v>
      </c>
      <c r="E28" s="258">
        <v>2150</v>
      </c>
      <c r="F28" s="258">
        <v>2246</v>
      </c>
      <c r="G28" s="258">
        <v>2430</v>
      </c>
      <c r="H28" s="258">
        <v>2305</v>
      </c>
      <c r="I28" s="258">
        <v>2324</v>
      </c>
      <c r="J28" s="258">
        <v>2131</v>
      </c>
      <c r="K28" s="258">
        <v>1870</v>
      </c>
      <c r="L28" s="258">
        <v>1838</v>
      </c>
      <c r="M28" s="258">
        <v>2020</v>
      </c>
      <c r="N28" s="258">
        <v>2604</v>
      </c>
    </row>
    <row r="29" spans="1:14" ht="12.75" customHeight="1">
      <c r="A29" s="152" t="s">
        <v>41</v>
      </c>
      <c r="B29" s="637">
        <f t="shared" si="0"/>
        <v>16083</v>
      </c>
      <c r="C29" s="258">
        <v>1434</v>
      </c>
      <c r="D29" s="258">
        <v>1515</v>
      </c>
      <c r="E29" s="258">
        <v>1565</v>
      </c>
      <c r="F29" s="258">
        <v>1412</v>
      </c>
      <c r="G29" s="258">
        <v>1344</v>
      </c>
      <c r="H29" s="258">
        <v>1346</v>
      </c>
      <c r="I29" s="258">
        <v>1363</v>
      </c>
      <c r="J29" s="258">
        <v>1278</v>
      </c>
      <c r="K29" s="258">
        <v>1238</v>
      </c>
      <c r="L29" s="258">
        <v>1194</v>
      </c>
      <c r="M29" s="258">
        <v>1209</v>
      </c>
      <c r="N29" s="258">
        <v>1185</v>
      </c>
    </row>
    <row r="30" spans="1:14" ht="12.75" customHeight="1">
      <c r="A30" s="127" t="s">
        <v>100</v>
      </c>
      <c r="B30" s="637">
        <f t="shared" si="0"/>
        <v>4626</v>
      </c>
      <c r="C30" s="258">
        <v>430</v>
      </c>
      <c r="D30" s="258">
        <v>405</v>
      </c>
      <c r="E30" s="258">
        <v>422</v>
      </c>
      <c r="F30" s="258">
        <v>410</v>
      </c>
      <c r="G30" s="258">
        <v>397</v>
      </c>
      <c r="H30" s="258">
        <v>378</v>
      </c>
      <c r="I30" s="258">
        <v>388</v>
      </c>
      <c r="J30" s="258">
        <v>364</v>
      </c>
      <c r="K30" s="258">
        <v>348</v>
      </c>
      <c r="L30" s="258">
        <v>343</v>
      </c>
      <c r="M30" s="258">
        <v>360</v>
      </c>
      <c r="N30" s="258">
        <v>381</v>
      </c>
    </row>
    <row r="31" spans="1:14" ht="12.75" customHeight="1">
      <c r="A31" s="127" t="s">
        <v>101</v>
      </c>
      <c r="B31" s="637">
        <f t="shared" si="0"/>
        <v>11457</v>
      </c>
      <c r="C31" s="258">
        <v>1004</v>
      </c>
      <c r="D31" s="258">
        <v>1110</v>
      </c>
      <c r="E31" s="258">
        <v>1143</v>
      </c>
      <c r="F31" s="258">
        <v>1002</v>
      </c>
      <c r="G31" s="258">
        <v>947</v>
      </c>
      <c r="H31" s="258">
        <v>968</v>
      </c>
      <c r="I31" s="258">
        <v>975</v>
      </c>
      <c r="J31" s="258">
        <v>914</v>
      </c>
      <c r="K31" s="258">
        <v>890</v>
      </c>
      <c r="L31" s="258">
        <v>851</v>
      </c>
      <c r="M31" s="258">
        <v>849</v>
      </c>
      <c r="N31" s="258">
        <v>804</v>
      </c>
    </row>
    <row r="32" spans="1:14" ht="12.75" customHeight="1">
      <c r="A32" s="152" t="s">
        <v>44</v>
      </c>
      <c r="B32" s="637">
        <f t="shared" si="0"/>
        <v>4175</v>
      </c>
      <c r="C32" s="258">
        <v>345</v>
      </c>
      <c r="D32" s="258">
        <v>345</v>
      </c>
      <c r="E32" s="258">
        <v>345</v>
      </c>
      <c r="F32" s="258">
        <v>348</v>
      </c>
      <c r="G32" s="258">
        <v>348</v>
      </c>
      <c r="H32" s="258">
        <v>350</v>
      </c>
      <c r="I32" s="258">
        <v>350</v>
      </c>
      <c r="J32" s="258">
        <v>348</v>
      </c>
      <c r="K32" s="258">
        <v>349</v>
      </c>
      <c r="L32" s="258">
        <v>349</v>
      </c>
      <c r="M32" s="258">
        <v>349</v>
      </c>
      <c r="N32" s="258">
        <v>349</v>
      </c>
    </row>
    <row r="33" spans="1:14" ht="12.75" customHeight="1">
      <c r="A33" s="152" t="s">
        <v>45</v>
      </c>
      <c r="B33" s="637">
        <f t="shared" si="0"/>
        <v>0</v>
      </c>
      <c r="C33" s="258">
        <v>0</v>
      </c>
      <c r="D33" s="258">
        <v>0</v>
      </c>
      <c r="E33" s="258">
        <v>0</v>
      </c>
      <c r="F33" s="258">
        <v>0</v>
      </c>
      <c r="G33" s="258">
        <v>0</v>
      </c>
      <c r="H33" s="258">
        <v>0</v>
      </c>
      <c r="I33" s="258">
        <v>0</v>
      </c>
      <c r="J33" s="258">
        <v>0</v>
      </c>
      <c r="K33" s="258">
        <v>0</v>
      </c>
      <c r="L33" s="258">
        <v>0</v>
      </c>
      <c r="M33" s="258">
        <v>0</v>
      </c>
      <c r="N33" s="258">
        <v>0</v>
      </c>
    </row>
    <row r="34" spans="1:14" ht="12.75" customHeight="1">
      <c r="A34" s="129" t="s">
        <v>46</v>
      </c>
      <c r="B34" s="637">
        <f t="shared" si="0"/>
        <v>0</v>
      </c>
      <c r="C34" s="258">
        <v>0</v>
      </c>
      <c r="D34" s="258">
        <v>0</v>
      </c>
      <c r="E34" s="258">
        <v>0</v>
      </c>
      <c r="F34" s="258">
        <v>0</v>
      </c>
      <c r="G34" s="258">
        <v>0</v>
      </c>
      <c r="H34" s="258">
        <v>0</v>
      </c>
      <c r="I34" s="258">
        <v>0</v>
      </c>
      <c r="J34" s="258">
        <v>0</v>
      </c>
      <c r="K34" s="258">
        <v>0</v>
      </c>
      <c r="L34" s="258">
        <v>0</v>
      </c>
      <c r="M34" s="258">
        <v>0</v>
      </c>
      <c r="N34" s="258">
        <v>0</v>
      </c>
    </row>
    <row r="35" spans="1:14" ht="12.75" customHeight="1">
      <c r="A35" s="129" t="s">
        <v>47</v>
      </c>
      <c r="B35" s="637">
        <f t="shared" si="0"/>
        <v>30.1</v>
      </c>
      <c r="C35" s="258">
        <v>4</v>
      </c>
      <c r="D35" s="258">
        <v>2</v>
      </c>
      <c r="E35" s="258">
        <v>2</v>
      </c>
      <c r="F35" s="258">
        <v>2</v>
      </c>
      <c r="G35" s="258">
        <v>2</v>
      </c>
      <c r="H35" s="258">
        <v>2</v>
      </c>
      <c r="I35" s="258">
        <v>3</v>
      </c>
      <c r="J35" s="258">
        <v>2</v>
      </c>
      <c r="K35" s="258">
        <v>2</v>
      </c>
      <c r="L35" s="258">
        <v>2</v>
      </c>
      <c r="M35" s="258">
        <v>2.1</v>
      </c>
      <c r="N35" s="258">
        <v>5</v>
      </c>
    </row>
    <row r="36" spans="1:14" ht="12.75" customHeight="1">
      <c r="A36" s="129" t="s">
        <v>48</v>
      </c>
      <c r="B36" s="637">
        <f t="shared" si="0"/>
        <v>0</v>
      </c>
      <c r="C36" s="258">
        <v>0</v>
      </c>
      <c r="D36" s="258">
        <v>0</v>
      </c>
      <c r="E36" s="258">
        <v>0</v>
      </c>
      <c r="F36" s="258">
        <v>0</v>
      </c>
      <c r="G36" s="258">
        <v>0</v>
      </c>
      <c r="H36" s="258">
        <v>0</v>
      </c>
      <c r="I36" s="258">
        <v>0</v>
      </c>
      <c r="J36" s="258">
        <v>0</v>
      </c>
      <c r="K36" s="258">
        <v>0</v>
      </c>
      <c r="L36" s="258">
        <v>0</v>
      </c>
      <c r="M36" s="258">
        <v>0</v>
      </c>
      <c r="N36" s="258">
        <v>0</v>
      </c>
    </row>
    <row r="37" spans="1:14" ht="12.75" customHeight="1" thickBot="1">
      <c r="A37" s="154" t="s">
        <v>49</v>
      </c>
      <c r="B37" s="645">
        <f t="shared" si="0"/>
        <v>0</v>
      </c>
      <c r="C37" s="259">
        <v>0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4">
    <tabColor theme="9" tint="0.59999389629810485"/>
  </sheetPr>
  <dimension ref="A4:Y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25" ht="13.25" customHeight="1">
      <c r="A4" s="249" t="s">
        <v>536</v>
      </c>
      <c r="B4" s="245"/>
    </row>
    <row r="5" spans="1:25" ht="13.25" customHeight="1">
      <c r="A5" s="252" t="s">
        <v>236</v>
      </c>
      <c r="B5" s="245"/>
    </row>
    <row r="6" spans="1:25" ht="4" customHeight="1" thickBot="1"/>
    <row r="7" spans="1:25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52"/>
      <c r="P7" s="130"/>
      <c r="Q7" s="156"/>
      <c r="R7" s="156"/>
      <c r="S7" s="156"/>
      <c r="T7" s="156"/>
      <c r="U7" s="156"/>
      <c r="V7" s="156"/>
      <c r="W7" s="156"/>
    </row>
    <row r="8" spans="1:25" ht="15" customHeight="1">
      <c r="A8" s="604" t="s">
        <v>90</v>
      </c>
      <c r="B8" s="614">
        <f t="shared" ref="B8:B37" si="0">SUM(C8:N8)</f>
        <v>4928.9384640000007</v>
      </c>
      <c r="C8" s="614">
        <f t="shared" ref="C8:N8" si="1">(C9+C10+C11+C12+C13+C17+C18+C19+C20+C21+C22+C23+C24+C25+C26+C27+C28+C29+C32+C33+C34+C35+C36+C37)</f>
        <v>381.74</v>
      </c>
      <c r="D8" s="614">
        <f t="shared" si="1"/>
        <v>387.32459999999998</v>
      </c>
      <c r="E8" s="614">
        <f t="shared" si="1"/>
        <v>415.72000000000008</v>
      </c>
      <c r="F8" s="614">
        <f t="shared" si="1"/>
        <v>417.53000000000009</v>
      </c>
      <c r="G8" s="614">
        <f t="shared" si="1"/>
        <v>437.32</v>
      </c>
      <c r="H8" s="614">
        <f t="shared" si="1"/>
        <v>452.5248600000001</v>
      </c>
      <c r="I8" s="614">
        <f t="shared" si="1"/>
        <v>443.92840000000007</v>
      </c>
      <c r="J8" s="614">
        <f t="shared" si="1"/>
        <v>428.33019999999993</v>
      </c>
      <c r="K8" s="614">
        <f t="shared" si="1"/>
        <v>389.82332399999996</v>
      </c>
      <c r="L8" s="614">
        <f t="shared" si="1"/>
        <v>380.32384000000008</v>
      </c>
      <c r="M8" s="614">
        <f t="shared" si="1"/>
        <v>380.92123999999984</v>
      </c>
      <c r="N8" s="614">
        <f t="shared" si="1"/>
        <v>413.45200000000006</v>
      </c>
      <c r="P8" s="130"/>
      <c r="Q8" s="146"/>
      <c r="R8" s="146"/>
      <c r="S8" s="134"/>
      <c r="T8" s="146"/>
      <c r="U8" s="146"/>
      <c r="V8" s="146"/>
      <c r="W8" s="134"/>
      <c r="Y8" s="160"/>
    </row>
    <row r="9" spans="1:25" ht="12.75" customHeight="1">
      <c r="A9" s="152" t="s">
        <v>21</v>
      </c>
      <c r="B9" s="640">
        <f t="shared" si="0"/>
        <v>191.49999999999997</v>
      </c>
      <c r="C9" s="262">
        <v>16.5</v>
      </c>
      <c r="D9" s="262">
        <v>15.4</v>
      </c>
      <c r="E9" s="262">
        <v>16.100000000000001</v>
      </c>
      <c r="F9" s="262">
        <v>15.4</v>
      </c>
      <c r="G9" s="262">
        <v>16.399999999999999</v>
      </c>
      <c r="H9" s="262">
        <v>17.3</v>
      </c>
      <c r="I9" s="262">
        <v>16.7</v>
      </c>
      <c r="J9" s="262">
        <v>15.9</v>
      </c>
      <c r="K9" s="262">
        <v>15.7</v>
      </c>
      <c r="L9" s="262">
        <v>15.6</v>
      </c>
      <c r="M9" s="262">
        <v>14.9</v>
      </c>
      <c r="N9" s="262">
        <v>15.6</v>
      </c>
    </row>
    <row r="10" spans="1:25" ht="12.75" customHeight="1">
      <c r="A10" s="152" t="s">
        <v>22</v>
      </c>
      <c r="B10" s="640">
        <f t="shared" si="0"/>
        <v>1350.5</v>
      </c>
      <c r="C10" s="262">
        <v>107.3</v>
      </c>
      <c r="D10" s="262">
        <v>114.9</v>
      </c>
      <c r="E10" s="262">
        <v>122.7</v>
      </c>
      <c r="F10" s="262">
        <v>127.4</v>
      </c>
      <c r="G10" s="262">
        <v>132.1</v>
      </c>
      <c r="H10" s="262">
        <v>142.5</v>
      </c>
      <c r="I10" s="262">
        <v>132.4</v>
      </c>
      <c r="J10" s="262">
        <v>126.1</v>
      </c>
      <c r="K10" s="262">
        <v>92.9</v>
      </c>
      <c r="L10" s="262">
        <v>76</v>
      </c>
      <c r="M10" s="262">
        <v>82.3</v>
      </c>
      <c r="N10" s="262">
        <v>93.9</v>
      </c>
    </row>
    <row r="11" spans="1:25" ht="12.75" customHeight="1">
      <c r="A11" s="152" t="s">
        <v>23</v>
      </c>
      <c r="B11" s="640">
        <f t="shared" si="0"/>
        <v>295</v>
      </c>
      <c r="C11" s="262">
        <v>21.6</v>
      </c>
      <c r="D11" s="262">
        <v>20.9</v>
      </c>
      <c r="E11" s="262">
        <v>20.399999999999999</v>
      </c>
      <c r="F11" s="262">
        <v>19.8</v>
      </c>
      <c r="G11" s="262">
        <v>23.2</v>
      </c>
      <c r="H11" s="262">
        <v>24.4</v>
      </c>
      <c r="I11" s="262">
        <v>25.6</v>
      </c>
      <c r="J11" s="262">
        <v>24.7</v>
      </c>
      <c r="K11" s="262">
        <v>26.4</v>
      </c>
      <c r="L11" s="262">
        <v>28.4</v>
      </c>
      <c r="M11" s="262">
        <v>26.5</v>
      </c>
      <c r="N11" s="262">
        <v>33.1</v>
      </c>
    </row>
    <row r="12" spans="1:25" ht="12.75" customHeight="1">
      <c r="A12" s="129" t="s">
        <v>24</v>
      </c>
      <c r="B12" s="640">
        <f t="shared" si="0"/>
        <v>460.09999999999997</v>
      </c>
      <c r="C12" s="262">
        <v>36.1</v>
      </c>
      <c r="D12" s="262">
        <v>38.5</v>
      </c>
      <c r="E12" s="262">
        <v>44.7</v>
      </c>
      <c r="F12" s="262">
        <v>37.4</v>
      </c>
      <c r="G12" s="262">
        <v>37.200000000000003</v>
      </c>
      <c r="H12" s="262">
        <v>39.9</v>
      </c>
      <c r="I12" s="262">
        <v>38.200000000000003</v>
      </c>
      <c r="J12" s="262">
        <v>38.4</v>
      </c>
      <c r="K12" s="262">
        <v>37.4</v>
      </c>
      <c r="L12" s="262">
        <v>35.799999999999997</v>
      </c>
      <c r="M12" s="262">
        <v>38.799999999999997</v>
      </c>
      <c r="N12" s="262">
        <v>37.700000000000003</v>
      </c>
    </row>
    <row r="13" spans="1:25" ht="12.75" customHeight="1">
      <c r="A13" s="152" t="s">
        <v>25</v>
      </c>
      <c r="B13" s="640">
        <f t="shared" si="0"/>
        <v>250</v>
      </c>
      <c r="C13" s="262">
        <v>20.7</v>
      </c>
      <c r="D13" s="262">
        <v>20.9</v>
      </c>
      <c r="E13" s="262">
        <v>19.3</v>
      </c>
      <c r="F13" s="262">
        <v>18.100000000000001</v>
      </c>
      <c r="G13" s="262">
        <v>21.6</v>
      </c>
      <c r="H13" s="262">
        <v>22.8</v>
      </c>
      <c r="I13" s="262">
        <v>24.3</v>
      </c>
      <c r="J13" s="262">
        <v>19.3</v>
      </c>
      <c r="K13" s="262">
        <v>19.5</v>
      </c>
      <c r="L13" s="262">
        <v>20.100000000000001</v>
      </c>
      <c r="M13" s="262">
        <v>20.8</v>
      </c>
      <c r="N13" s="262">
        <v>22.6</v>
      </c>
    </row>
    <row r="14" spans="1:25" ht="12.75" customHeight="1">
      <c r="A14" s="127" t="s">
        <v>97</v>
      </c>
      <c r="B14" s="640">
        <f t="shared" si="0"/>
        <v>141.5</v>
      </c>
      <c r="C14" s="262">
        <v>12.3</v>
      </c>
      <c r="D14" s="262">
        <v>12.7</v>
      </c>
      <c r="E14" s="262">
        <v>12.1</v>
      </c>
      <c r="F14" s="262">
        <v>9.1999999999999993</v>
      </c>
      <c r="G14" s="262">
        <v>9.6999999999999993</v>
      </c>
      <c r="H14" s="262">
        <v>10.8</v>
      </c>
      <c r="I14" s="262">
        <v>11.5</v>
      </c>
      <c r="J14" s="262">
        <v>11.8</v>
      </c>
      <c r="K14" s="262">
        <v>11.7</v>
      </c>
      <c r="L14" s="262">
        <v>12.3</v>
      </c>
      <c r="M14" s="262">
        <v>12.9</v>
      </c>
      <c r="N14" s="262">
        <v>14.5</v>
      </c>
    </row>
    <row r="15" spans="1:25" ht="12.75" customHeight="1">
      <c r="A15" s="127" t="s">
        <v>98</v>
      </c>
      <c r="B15" s="640">
        <f t="shared" si="0"/>
        <v>16.5</v>
      </c>
      <c r="C15" s="262">
        <v>1.4</v>
      </c>
      <c r="D15" s="262">
        <v>1.2</v>
      </c>
      <c r="E15" s="262">
        <v>1.3</v>
      </c>
      <c r="F15" s="262">
        <v>1.3</v>
      </c>
      <c r="G15" s="262">
        <v>1.5</v>
      </c>
      <c r="H15" s="262">
        <v>1.6</v>
      </c>
      <c r="I15" s="262">
        <v>1.7</v>
      </c>
      <c r="J15" s="262">
        <v>1.3</v>
      </c>
      <c r="K15" s="262">
        <v>1.3</v>
      </c>
      <c r="L15" s="262">
        <v>1.4</v>
      </c>
      <c r="M15" s="262">
        <v>1.4</v>
      </c>
      <c r="N15" s="262">
        <v>1.1000000000000001</v>
      </c>
    </row>
    <row r="16" spans="1:25" ht="12.75" customHeight="1">
      <c r="A16" s="127" t="s">
        <v>99</v>
      </c>
      <c r="B16" s="640">
        <f t="shared" si="0"/>
        <v>91.8</v>
      </c>
      <c r="C16" s="262">
        <v>7</v>
      </c>
      <c r="D16" s="262">
        <v>6.9</v>
      </c>
      <c r="E16" s="262">
        <v>5.8</v>
      </c>
      <c r="F16" s="262">
        <v>7.6</v>
      </c>
      <c r="G16" s="262">
        <v>10.4</v>
      </c>
      <c r="H16" s="262">
        <v>10.4</v>
      </c>
      <c r="I16" s="262">
        <v>11.1</v>
      </c>
      <c r="J16" s="262">
        <v>6.2</v>
      </c>
      <c r="K16" s="262">
        <v>6.5</v>
      </c>
      <c r="L16" s="262">
        <v>6.4</v>
      </c>
      <c r="M16" s="262">
        <v>6.5</v>
      </c>
      <c r="N16" s="262">
        <v>7</v>
      </c>
    </row>
    <row r="17" spans="1:14" ht="12.75" customHeight="1">
      <c r="A17" s="152" t="s">
        <v>29</v>
      </c>
      <c r="B17" s="640">
        <f t="shared" si="0"/>
        <v>57.899999999999991</v>
      </c>
      <c r="C17" s="262">
        <v>5.5</v>
      </c>
      <c r="D17" s="262">
        <v>5.2</v>
      </c>
      <c r="E17" s="262">
        <v>3.8</v>
      </c>
      <c r="F17" s="262">
        <v>3.3</v>
      </c>
      <c r="G17" s="262">
        <v>3.9</v>
      </c>
      <c r="H17" s="262">
        <v>4.4000000000000004</v>
      </c>
      <c r="I17" s="262">
        <v>4.9000000000000004</v>
      </c>
      <c r="J17" s="262">
        <v>4.8</v>
      </c>
      <c r="K17" s="262">
        <v>5.3</v>
      </c>
      <c r="L17" s="262">
        <v>5.3</v>
      </c>
      <c r="M17" s="262">
        <v>5.2</v>
      </c>
      <c r="N17" s="262">
        <v>6.3</v>
      </c>
    </row>
    <row r="18" spans="1:14" ht="12.75" customHeight="1">
      <c r="A18" s="129" t="s">
        <v>30</v>
      </c>
      <c r="B18" s="640">
        <f t="shared" si="0"/>
        <v>205.69999999999996</v>
      </c>
      <c r="C18" s="262">
        <v>14.7</v>
      </c>
      <c r="D18" s="262">
        <v>15.2</v>
      </c>
      <c r="E18" s="262">
        <v>16.399999999999999</v>
      </c>
      <c r="F18" s="262">
        <v>18.3</v>
      </c>
      <c r="G18" s="262">
        <v>16</v>
      </c>
      <c r="H18" s="262">
        <v>17</v>
      </c>
      <c r="I18" s="262">
        <v>17.899999999999999</v>
      </c>
      <c r="J18" s="262">
        <v>17.2</v>
      </c>
      <c r="K18" s="262">
        <v>17.7</v>
      </c>
      <c r="L18" s="262">
        <v>18.2</v>
      </c>
      <c r="M18" s="262">
        <v>18.399999999999999</v>
      </c>
      <c r="N18" s="262">
        <v>18.7</v>
      </c>
    </row>
    <row r="19" spans="1:14" ht="12.75" customHeight="1">
      <c r="A19" s="129" t="s">
        <v>31</v>
      </c>
      <c r="B19" s="640">
        <f t="shared" si="0"/>
        <v>457.6</v>
      </c>
      <c r="C19" s="262">
        <v>36</v>
      </c>
      <c r="D19" s="262">
        <v>35.700000000000003</v>
      </c>
      <c r="E19" s="262">
        <v>36.9</v>
      </c>
      <c r="F19" s="262">
        <v>36.1</v>
      </c>
      <c r="G19" s="262">
        <v>37.200000000000003</v>
      </c>
      <c r="H19" s="262">
        <v>40</v>
      </c>
      <c r="I19" s="262">
        <v>36.700000000000003</v>
      </c>
      <c r="J19" s="262">
        <v>39.700000000000003</v>
      </c>
      <c r="K19" s="262">
        <v>38.799999999999997</v>
      </c>
      <c r="L19" s="262">
        <v>40.6</v>
      </c>
      <c r="M19" s="262">
        <v>38.1</v>
      </c>
      <c r="N19" s="262">
        <v>41.8</v>
      </c>
    </row>
    <row r="20" spans="1:14" ht="12.75" customHeight="1">
      <c r="A20" s="152" t="s">
        <v>32</v>
      </c>
      <c r="B20" s="640">
        <f t="shared" si="0"/>
        <v>306.39999999999998</v>
      </c>
      <c r="C20" s="262">
        <v>22.6</v>
      </c>
      <c r="D20" s="262">
        <v>25.7</v>
      </c>
      <c r="E20" s="262">
        <v>24.8</v>
      </c>
      <c r="F20" s="262">
        <v>25.1</v>
      </c>
      <c r="G20" s="262">
        <v>24.8</v>
      </c>
      <c r="H20" s="262">
        <v>24</v>
      </c>
      <c r="I20" s="262">
        <v>25.2</v>
      </c>
      <c r="J20" s="262">
        <v>25.5</v>
      </c>
      <c r="K20" s="262">
        <v>25.7</v>
      </c>
      <c r="L20" s="262">
        <v>26.8</v>
      </c>
      <c r="M20" s="262">
        <v>24.9</v>
      </c>
      <c r="N20" s="262">
        <v>31.3</v>
      </c>
    </row>
    <row r="21" spans="1:14" ht="12.75" customHeight="1">
      <c r="A21" s="152" t="s">
        <v>33</v>
      </c>
      <c r="B21" s="640">
        <f t="shared" si="0"/>
        <v>243.9</v>
      </c>
      <c r="C21" s="262">
        <v>17.100000000000001</v>
      </c>
      <c r="D21" s="262">
        <v>17.5</v>
      </c>
      <c r="E21" s="262">
        <v>17.8</v>
      </c>
      <c r="F21" s="262">
        <v>18.100000000000001</v>
      </c>
      <c r="G21" s="262">
        <v>19.100000000000001</v>
      </c>
      <c r="H21" s="262">
        <v>19.5</v>
      </c>
      <c r="I21" s="262">
        <v>24.2</v>
      </c>
      <c r="J21" s="262">
        <v>24.4</v>
      </c>
      <c r="K21" s="262">
        <v>22.4</v>
      </c>
      <c r="L21" s="262">
        <v>23.6</v>
      </c>
      <c r="M21" s="262">
        <v>19.899999999999999</v>
      </c>
      <c r="N21" s="262">
        <v>20.3</v>
      </c>
    </row>
    <row r="22" spans="1:14" ht="12.75" customHeight="1">
      <c r="A22" s="152" t="s">
        <v>34</v>
      </c>
      <c r="B22" s="640">
        <f t="shared" si="0"/>
        <v>12.299999999999999</v>
      </c>
      <c r="C22" s="262">
        <v>0.7</v>
      </c>
      <c r="D22" s="262">
        <v>0.5</v>
      </c>
      <c r="E22" s="262">
        <v>0.8</v>
      </c>
      <c r="F22" s="262">
        <v>1.1000000000000001</v>
      </c>
      <c r="G22" s="262">
        <v>1.3</v>
      </c>
      <c r="H22" s="262">
        <v>1.3</v>
      </c>
      <c r="I22" s="262">
        <v>1.8</v>
      </c>
      <c r="J22" s="262">
        <v>0.9</v>
      </c>
      <c r="K22" s="262">
        <v>0.7</v>
      </c>
      <c r="L22" s="262">
        <v>0.7</v>
      </c>
      <c r="M22" s="262">
        <v>1</v>
      </c>
      <c r="N22" s="262">
        <v>1.5</v>
      </c>
    </row>
    <row r="23" spans="1:14" ht="12.75" customHeight="1">
      <c r="A23" s="152" t="s">
        <v>35</v>
      </c>
      <c r="B23" s="640">
        <f t="shared" si="0"/>
        <v>41.900000000000006</v>
      </c>
      <c r="C23" s="262">
        <v>3.6</v>
      </c>
      <c r="D23" s="262">
        <v>3</v>
      </c>
      <c r="E23" s="262">
        <v>3.5</v>
      </c>
      <c r="F23" s="262">
        <v>3.4</v>
      </c>
      <c r="G23" s="262">
        <v>3.5</v>
      </c>
      <c r="H23" s="262">
        <v>3.6</v>
      </c>
      <c r="I23" s="262">
        <v>3.6</v>
      </c>
      <c r="J23" s="262">
        <v>3.6</v>
      </c>
      <c r="K23" s="262">
        <v>3.6</v>
      </c>
      <c r="L23" s="262">
        <v>3.5</v>
      </c>
      <c r="M23" s="262">
        <v>3.4</v>
      </c>
      <c r="N23" s="262">
        <v>3.6</v>
      </c>
    </row>
    <row r="24" spans="1:14" ht="12.75" customHeight="1">
      <c r="A24" s="152" t="s">
        <v>36</v>
      </c>
      <c r="B24" s="640">
        <f t="shared" si="0"/>
        <v>286.3</v>
      </c>
      <c r="C24" s="262">
        <v>21.6</v>
      </c>
      <c r="D24" s="262">
        <v>18.899999999999999</v>
      </c>
      <c r="E24" s="262">
        <v>23.2</v>
      </c>
      <c r="F24" s="262">
        <v>26.8</v>
      </c>
      <c r="G24" s="262">
        <v>26.9</v>
      </c>
      <c r="H24" s="262">
        <v>27</v>
      </c>
      <c r="I24" s="262">
        <v>22.6</v>
      </c>
      <c r="J24" s="262">
        <v>22.4</v>
      </c>
      <c r="K24" s="262">
        <v>22.9</v>
      </c>
      <c r="L24" s="262">
        <v>25.1</v>
      </c>
      <c r="M24" s="262">
        <v>24.8</v>
      </c>
      <c r="N24" s="262">
        <v>24.1</v>
      </c>
    </row>
    <row r="25" spans="1:14" ht="12.75" customHeight="1">
      <c r="A25" s="129" t="s">
        <v>37</v>
      </c>
      <c r="B25" s="640">
        <f t="shared" si="0"/>
        <v>128</v>
      </c>
      <c r="C25" s="262">
        <v>10.7</v>
      </c>
      <c r="D25" s="262">
        <v>9.6</v>
      </c>
      <c r="E25" s="262">
        <v>10.1</v>
      </c>
      <c r="F25" s="262">
        <v>10.199999999999999</v>
      </c>
      <c r="G25" s="262">
        <v>10.3</v>
      </c>
      <c r="H25" s="262">
        <v>10.8</v>
      </c>
      <c r="I25" s="262">
        <v>11.3</v>
      </c>
      <c r="J25" s="262">
        <v>11.2</v>
      </c>
      <c r="K25" s="262">
        <v>11.1</v>
      </c>
      <c r="L25" s="262">
        <v>10.9</v>
      </c>
      <c r="M25" s="262">
        <v>10.9</v>
      </c>
      <c r="N25" s="262">
        <v>10.9</v>
      </c>
    </row>
    <row r="26" spans="1:14" ht="12.75" customHeight="1">
      <c r="A26" s="152" t="s">
        <v>38</v>
      </c>
      <c r="B26" s="640">
        <f t="shared" si="0"/>
        <v>14.300000000000002</v>
      </c>
      <c r="C26" s="262">
        <v>1.3</v>
      </c>
      <c r="D26" s="262">
        <v>0.9</v>
      </c>
      <c r="E26" s="262">
        <v>1.2</v>
      </c>
      <c r="F26" s="262">
        <v>1.4</v>
      </c>
      <c r="G26" s="262">
        <v>1.5</v>
      </c>
      <c r="H26" s="262">
        <v>1.3</v>
      </c>
      <c r="I26" s="262">
        <v>1.1000000000000001</v>
      </c>
      <c r="J26" s="262">
        <v>1</v>
      </c>
      <c r="K26" s="262">
        <v>1.3</v>
      </c>
      <c r="L26" s="262">
        <v>1.3</v>
      </c>
      <c r="M26" s="262">
        <v>0.9</v>
      </c>
      <c r="N26" s="262">
        <v>1.1000000000000001</v>
      </c>
    </row>
    <row r="27" spans="1:14" ht="12.75" customHeight="1">
      <c r="A27" s="152" t="s">
        <v>39</v>
      </c>
      <c r="B27" s="640">
        <f t="shared" si="0"/>
        <v>85.3</v>
      </c>
      <c r="C27" s="262">
        <v>5.2</v>
      </c>
      <c r="D27" s="262">
        <v>5.8</v>
      </c>
      <c r="E27" s="262">
        <v>6.1</v>
      </c>
      <c r="F27" s="262">
        <v>6.6</v>
      </c>
      <c r="G27" s="262">
        <v>7</v>
      </c>
      <c r="H27" s="262">
        <v>7.5</v>
      </c>
      <c r="I27" s="262">
        <v>7.8</v>
      </c>
      <c r="J27" s="262">
        <v>7.9</v>
      </c>
      <c r="K27" s="262">
        <v>7.6</v>
      </c>
      <c r="L27" s="262">
        <v>7.6</v>
      </c>
      <c r="M27" s="262">
        <v>7.7</v>
      </c>
      <c r="N27" s="262">
        <v>8.5</v>
      </c>
    </row>
    <row r="28" spans="1:14" ht="12.75" customHeight="1">
      <c r="A28" s="152" t="s">
        <v>40</v>
      </c>
      <c r="B28" s="640">
        <f t="shared" si="0"/>
        <v>305.5</v>
      </c>
      <c r="C28" s="262">
        <v>19.7</v>
      </c>
      <c r="D28" s="262">
        <v>17.100000000000001</v>
      </c>
      <c r="E28" s="262">
        <v>25.6</v>
      </c>
      <c r="F28" s="262">
        <v>27.6</v>
      </c>
      <c r="G28" s="262">
        <v>35.799999999999997</v>
      </c>
      <c r="H28" s="262">
        <v>29.4</v>
      </c>
      <c r="I28" s="262">
        <v>29.5</v>
      </c>
      <c r="J28" s="262">
        <v>26.5</v>
      </c>
      <c r="K28" s="262">
        <v>22.4</v>
      </c>
      <c r="L28" s="262">
        <v>22.5</v>
      </c>
      <c r="M28" s="262">
        <v>24.2</v>
      </c>
      <c r="N28" s="262">
        <v>25.2</v>
      </c>
    </row>
    <row r="29" spans="1:14" ht="12.75" customHeight="1">
      <c r="A29" s="152" t="s">
        <v>41</v>
      </c>
      <c r="B29" s="640">
        <f t="shared" si="0"/>
        <v>182.7</v>
      </c>
      <c r="C29" s="262">
        <v>16.399999999999999</v>
      </c>
      <c r="D29" s="262">
        <v>17.2</v>
      </c>
      <c r="E29" s="262">
        <v>17.899999999999999</v>
      </c>
      <c r="F29" s="262">
        <v>16.899999999999999</v>
      </c>
      <c r="G29" s="262">
        <v>15</v>
      </c>
      <c r="H29" s="262">
        <v>15.3</v>
      </c>
      <c r="I29" s="262">
        <v>15.6</v>
      </c>
      <c r="J29" s="262">
        <v>14.3</v>
      </c>
      <c r="K29" s="262">
        <v>13.9</v>
      </c>
      <c r="L29" s="262">
        <v>13.8</v>
      </c>
      <c r="M29" s="262">
        <v>13.7</v>
      </c>
      <c r="N29" s="262">
        <v>12.7</v>
      </c>
    </row>
    <row r="30" spans="1:14" ht="12.75" customHeight="1">
      <c r="A30" s="127" t="s">
        <v>100</v>
      </c>
      <c r="B30" s="640">
        <f t="shared" si="0"/>
        <v>58.2</v>
      </c>
      <c r="C30" s="262">
        <v>5.2</v>
      </c>
      <c r="D30" s="262">
        <v>5</v>
      </c>
      <c r="E30" s="262">
        <v>5.0999999999999996</v>
      </c>
      <c r="F30" s="262">
        <v>5.0999999999999996</v>
      </c>
      <c r="G30" s="262">
        <v>5</v>
      </c>
      <c r="H30" s="262">
        <v>4.9000000000000004</v>
      </c>
      <c r="I30" s="262">
        <v>5</v>
      </c>
      <c r="J30" s="262">
        <v>4.9000000000000004</v>
      </c>
      <c r="K30" s="262">
        <v>4.7</v>
      </c>
      <c r="L30" s="262">
        <v>4.5999999999999996</v>
      </c>
      <c r="M30" s="262">
        <v>4.5999999999999996</v>
      </c>
      <c r="N30" s="262">
        <v>4.0999999999999996</v>
      </c>
    </row>
    <row r="31" spans="1:14" ht="12.75" customHeight="1">
      <c r="A31" s="127" t="s">
        <v>101</v>
      </c>
      <c r="B31" s="640">
        <f t="shared" si="0"/>
        <v>124.09999999999997</v>
      </c>
      <c r="C31" s="262">
        <v>11.2</v>
      </c>
      <c r="D31" s="262">
        <v>12.2</v>
      </c>
      <c r="E31" s="262">
        <v>12.7</v>
      </c>
      <c r="F31" s="262">
        <v>11.8</v>
      </c>
      <c r="G31" s="262">
        <v>10</v>
      </c>
      <c r="H31" s="262">
        <v>10.4</v>
      </c>
      <c r="I31" s="262">
        <v>10.6</v>
      </c>
      <c r="J31" s="262">
        <v>9.3000000000000007</v>
      </c>
      <c r="K31" s="262">
        <v>9.1</v>
      </c>
      <c r="L31" s="262">
        <v>9.1</v>
      </c>
      <c r="M31" s="262">
        <v>9.1</v>
      </c>
      <c r="N31" s="262">
        <v>8.6</v>
      </c>
    </row>
    <row r="32" spans="1:14" ht="12.75" customHeight="1">
      <c r="A32" s="152" t="s">
        <v>44</v>
      </c>
      <c r="B32" s="640">
        <f t="shared" si="0"/>
        <v>53.7</v>
      </c>
      <c r="C32" s="262">
        <v>4.4000000000000004</v>
      </c>
      <c r="D32" s="262">
        <v>4.4000000000000004</v>
      </c>
      <c r="E32" s="262">
        <v>4.4000000000000004</v>
      </c>
      <c r="F32" s="262">
        <v>4.5</v>
      </c>
      <c r="G32" s="262">
        <v>4.5</v>
      </c>
      <c r="H32" s="262">
        <v>4.5</v>
      </c>
      <c r="I32" s="262">
        <v>4.5</v>
      </c>
      <c r="J32" s="262">
        <v>4.5</v>
      </c>
      <c r="K32" s="262">
        <v>4.5</v>
      </c>
      <c r="L32" s="262">
        <v>4.5</v>
      </c>
      <c r="M32" s="262">
        <v>4.5</v>
      </c>
      <c r="N32" s="262">
        <v>4.5</v>
      </c>
    </row>
    <row r="33" spans="1:25" ht="12.75" customHeight="1">
      <c r="A33" s="152" t="s">
        <v>45</v>
      </c>
      <c r="B33" s="640">
        <f t="shared" si="0"/>
        <v>0</v>
      </c>
      <c r="C33" s="262">
        <v>0</v>
      </c>
      <c r="D33" s="262">
        <v>0</v>
      </c>
      <c r="E33" s="262">
        <v>0</v>
      </c>
      <c r="F33" s="262">
        <v>0</v>
      </c>
      <c r="G33" s="262">
        <v>0</v>
      </c>
      <c r="H33" s="262">
        <v>0</v>
      </c>
      <c r="I33" s="262">
        <v>0</v>
      </c>
      <c r="J33" s="262">
        <v>0</v>
      </c>
      <c r="K33" s="262">
        <v>0</v>
      </c>
      <c r="L33" s="262">
        <v>0</v>
      </c>
      <c r="M33" s="262">
        <v>0</v>
      </c>
      <c r="N33" s="262">
        <v>0</v>
      </c>
      <c r="P33" s="130"/>
      <c r="R33" s="146"/>
      <c r="S33" s="134"/>
      <c r="T33" s="146"/>
      <c r="U33" s="146"/>
      <c r="V33" s="146"/>
      <c r="W33" s="134"/>
      <c r="Y33" s="160"/>
    </row>
    <row r="34" spans="1:25" ht="12.75" customHeight="1">
      <c r="A34" s="129" t="s">
        <v>46</v>
      </c>
      <c r="B34" s="640">
        <f t="shared" si="0"/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P34" s="130"/>
      <c r="R34" s="146"/>
      <c r="S34" s="134"/>
      <c r="T34" s="146"/>
      <c r="U34" s="146"/>
      <c r="V34" s="146"/>
      <c r="W34" s="134"/>
      <c r="Y34" s="160"/>
    </row>
    <row r="35" spans="1:25" ht="12.75" customHeight="1">
      <c r="A35" s="129" t="s">
        <v>47</v>
      </c>
      <c r="B35" s="640">
        <f t="shared" si="0"/>
        <v>0.33846399999999999</v>
      </c>
      <c r="C35" s="262">
        <v>0.04</v>
      </c>
      <c r="D35" s="262">
        <v>2.46E-2</v>
      </c>
      <c r="E35" s="262">
        <v>0.02</v>
      </c>
      <c r="F35" s="262">
        <v>0.03</v>
      </c>
      <c r="G35" s="262">
        <v>0.02</v>
      </c>
      <c r="H35" s="262">
        <v>2.486E-2</v>
      </c>
      <c r="I35" s="262">
        <v>2.8399999999999998E-2</v>
      </c>
      <c r="J35" s="262">
        <v>3.0200000000000001E-2</v>
      </c>
      <c r="K35" s="262">
        <v>2.3324000000000001E-2</v>
      </c>
      <c r="L35" s="262">
        <v>2.384E-2</v>
      </c>
      <c r="M35" s="262">
        <v>2.1239999999999998E-2</v>
      </c>
      <c r="N35" s="262">
        <v>5.1999999999999998E-2</v>
      </c>
      <c r="P35" s="130"/>
      <c r="R35" s="146"/>
      <c r="S35" s="134"/>
      <c r="T35" s="146"/>
      <c r="U35" s="146"/>
      <c r="V35" s="146"/>
      <c r="W35" s="134"/>
      <c r="Y35" s="160"/>
    </row>
    <row r="36" spans="1:25" ht="12.75" customHeight="1">
      <c r="A36" s="129" t="s">
        <v>48</v>
      </c>
      <c r="B36" s="640">
        <f t="shared" si="0"/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P36" s="130"/>
      <c r="R36" s="146"/>
      <c r="S36" s="134"/>
      <c r="T36" s="146"/>
      <c r="U36" s="146"/>
      <c r="V36" s="146"/>
      <c r="W36" s="134"/>
      <c r="Y36" s="160"/>
    </row>
    <row r="37" spans="1:25" ht="12.75" customHeight="1" thickBot="1">
      <c r="A37" s="154" t="s">
        <v>49</v>
      </c>
      <c r="B37" s="648">
        <f t="shared" si="0"/>
        <v>0</v>
      </c>
      <c r="C37" s="263">
        <v>0</v>
      </c>
      <c r="D37" s="263">
        <v>0</v>
      </c>
      <c r="E37" s="263">
        <v>0</v>
      </c>
      <c r="F37" s="263">
        <v>0</v>
      </c>
      <c r="G37" s="263">
        <v>0</v>
      </c>
      <c r="H37" s="263">
        <v>0</v>
      </c>
      <c r="I37" s="263">
        <v>0</v>
      </c>
      <c r="J37" s="263">
        <v>0</v>
      </c>
      <c r="K37" s="263">
        <v>0</v>
      </c>
      <c r="L37" s="263">
        <v>0</v>
      </c>
      <c r="M37" s="263">
        <v>0</v>
      </c>
      <c r="N37" s="263">
        <v>0</v>
      </c>
      <c r="P37" s="130"/>
      <c r="R37" s="146"/>
      <c r="S37" s="134"/>
      <c r="T37" s="146"/>
      <c r="U37" s="146"/>
      <c r="V37" s="146"/>
      <c r="W37" s="134"/>
      <c r="Y37" s="160"/>
    </row>
    <row r="38" spans="1:25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25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25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25" ht="13.25" customHeight="1">
      <c r="A41" s="11"/>
    </row>
    <row r="42" spans="1:25" ht="13.25" customHeight="1">
      <c r="A42" s="73"/>
    </row>
    <row r="43" spans="1:25" ht="13.25" customHeight="1">
      <c r="A43" s="73"/>
    </row>
    <row r="44" spans="1:25" ht="13.25" customHeight="1">
      <c r="A44" s="24"/>
    </row>
    <row r="45" spans="1:25" ht="13.25" customHeight="1">
      <c r="A45" s="33"/>
    </row>
    <row r="46" spans="1:25" ht="13.25" customHeight="1">
      <c r="A46" s="24"/>
    </row>
    <row r="47" spans="1:25" ht="13.25" customHeight="1">
      <c r="A47" s="73"/>
    </row>
    <row r="48" spans="1:25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5">
    <tabColor theme="9" tint="0.59999389629810485"/>
  </sheetPr>
  <dimension ref="A4:AA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27" ht="13.25" customHeight="1">
      <c r="A4" s="249" t="s">
        <v>537</v>
      </c>
      <c r="B4" s="245"/>
    </row>
    <row r="5" spans="1:27" ht="13.25" customHeight="1">
      <c r="A5" s="252" t="s">
        <v>466</v>
      </c>
      <c r="B5" s="245"/>
    </row>
    <row r="6" spans="1:27" ht="4" customHeight="1" thickBot="1"/>
    <row r="7" spans="1:27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Q7" s="152"/>
      <c r="R7" s="130"/>
      <c r="S7" s="156"/>
      <c r="T7" s="156"/>
      <c r="U7" s="156"/>
      <c r="V7" s="156"/>
      <c r="W7" s="156"/>
      <c r="X7" s="156"/>
      <c r="Y7" s="156"/>
    </row>
    <row r="8" spans="1:27" ht="15" customHeight="1">
      <c r="A8" s="604" t="s">
        <v>90</v>
      </c>
      <c r="B8" s="610">
        <f>('C-63'!B8/'C-62'!B8)*1000</f>
        <v>12.628812715366992</v>
      </c>
      <c r="C8" s="610">
        <f>('C-63'!C8/'C-62'!C8)*1000</f>
        <v>12.752296642725907</v>
      </c>
      <c r="D8" s="610">
        <f>('C-63'!D8/'C-62'!D8)*1000</f>
        <v>12.784677845260099</v>
      </c>
      <c r="E8" s="610">
        <f>('C-63'!E8/'C-62'!E8)*1000</f>
        <v>13.076245596376451</v>
      </c>
      <c r="F8" s="610">
        <f>('C-63'!F8/'C-62'!F8)*1000</f>
        <v>12.972007332152735</v>
      </c>
      <c r="G8" s="610">
        <f>('C-63'!G8/'C-62'!G8)*1000</f>
        <v>13.184997588036662</v>
      </c>
      <c r="H8" s="610">
        <f>('C-63'!H8/'C-62'!H8)*1000</f>
        <v>13.004335306626819</v>
      </c>
      <c r="I8" s="610">
        <f>('C-63'!I8/'C-62'!I8)*1000</f>
        <v>12.557022034905103</v>
      </c>
      <c r="J8" s="610">
        <f>('C-63'!J8/'C-62'!J8)*1000</f>
        <v>12.613899932267277</v>
      </c>
      <c r="K8" s="610">
        <f>('C-63'!K8/'C-62'!K8)*1000</f>
        <v>12.461187354154012</v>
      </c>
      <c r="L8" s="610">
        <f>('C-63'!L8/'C-62'!L8)*1000</f>
        <v>12.492571278412827</v>
      </c>
      <c r="M8" s="610">
        <f>('C-63'!M8/'C-62'!M8)*1000</f>
        <v>12.49819509746342</v>
      </c>
      <c r="N8" s="610">
        <f>('C-63'!N8/'C-62'!N8)*1000</f>
        <v>11.295885470739305</v>
      </c>
      <c r="R8" s="130"/>
      <c r="S8" s="146"/>
      <c r="T8" s="146"/>
      <c r="U8" s="134"/>
      <c r="V8" s="146"/>
      <c r="W8" s="146"/>
      <c r="X8" s="146"/>
      <c r="Y8" s="134"/>
      <c r="AA8" s="160"/>
    </row>
    <row r="9" spans="1:27" ht="12.75" customHeight="1">
      <c r="A9" s="152" t="s">
        <v>21</v>
      </c>
      <c r="B9" s="642">
        <f>('C-63'!B9/'C-62'!B9)*1000</f>
        <v>10.454198056556391</v>
      </c>
      <c r="C9" s="264">
        <f>('C-63'!C9/'C-62'!C9)*1000</f>
        <v>11.171293161814489</v>
      </c>
      <c r="D9" s="264">
        <f>('C-63'!D9/'C-62'!D9)*1000</f>
        <v>10.104986876640419</v>
      </c>
      <c r="E9" s="264">
        <f>('C-63'!E9/'C-62'!E9)*1000</f>
        <v>10.320512820512821</v>
      </c>
      <c r="F9" s="264">
        <f>('C-63'!F9/'C-62'!F9)*1000</f>
        <v>10.497614178595775</v>
      </c>
      <c r="G9" s="264">
        <f>('C-63'!G9/'C-62'!G9)*1000</f>
        <v>11.731044349070098</v>
      </c>
      <c r="H9" s="264">
        <f>('C-63'!H9/'C-62'!H9)*1000</f>
        <v>10.427968655816757</v>
      </c>
      <c r="I9" s="264">
        <f>('C-63'!I9/'C-62'!I9)*1000</f>
        <v>10.359801488833746</v>
      </c>
      <c r="J9" s="264">
        <f>('C-63'!J9/'C-62'!J9)*1000</f>
        <v>10.331384015594542</v>
      </c>
      <c r="K9" s="264">
        <f>('C-63'!K9/'C-62'!K9)*1000</f>
        <v>10.221354166666666</v>
      </c>
      <c r="L9" s="264">
        <f>('C-63'!L9/'C-62'!L9)*1000</f>
        <v>10.242941562705186</v>
      </c>
      <c r="M9" s="264">
        <f>('C-63'!M9/'C-62'!M9)*1000</f>
        <v>9.9732262382864789</v>
      </c>
      <c r="N9" s="264">
        <f>('C-63'!N9/'C-62'!N9)*1000</f>
        <v>10.202746893394375</v>
      </c>
      <c r="R9" s="130"/>
      <c r="S9" s="146"/>
      <c r="T9" s="146"/>
      <c r="U9" s="134"/>
      <c r="V9" s="146"/>
      <c r="W9" s="146"/>
      <c r="X9" s="146"/>
      <c r="Y9" s="134"/>
      <c r="AA9" s="160"/>
    </row>
    <row r="10" spans="1:27" ht="12.75" customHeight="1">
      <c r="A10" s="152" t="s">
        <v>22</v>
      </c>
      <c r="B10" s="642">
        <f>('C-63'!B10/'C-62'!B10)*1000</f>
        <v>13.987860960351327</v>
      </c>
      <c r="C10" s="264">
        <f>('C-63'!C10/'C-62'!C10)*1000</f>
        <v>14.398819108964036</v>
      </c>
      <c r="D10" s="264">
        <f>('C-63'!D10/'C-62'!D10)*1000</f>
        <v>14.8028858541613</v>
      </c>
      <c r="E10" s="264">
        <f>('C-63'!E10/'C-62'!E10)*1000</f>
        <v>15.198810850984763</v>
      </c>
      <c r="F10" s="264">
        <f>('C-63'!F10/'C-62'!F10)*1000</f>
        <v>15.197423356793511</v>
      </c>
      <c r="G10" s="264">
        <f>('C-63'!G10/'C-62'!G10)*1000</f>
        <v>15.194386933517368</v>
      </c>
      <c r="H10" s="264">
        <f>('C-63'!H10/'C-62'!H10)*1000</f>
        <v>14.805194805194805</v>
      </c>
      <c r="I10" s="264">
        <f>('C-63'!I10/'C-62'!I10)*1000</f>
        <v>13.554463554463556</v>
      </c>
      <c r="J10" s="264">
        <f>('C-63'!J10/'C-62'!J10)*1000</f>
        <v>14.004886717014658</v>
      </c>
      <c r="K10" s="264">
        <f>('C-63'!K10/'C-62'!K10)*1000</f>
        <v>13.599765773678818</v>
      </c>
      <c r="L10" s="264">
        <f>('C-63'!L10/'C-62'!L10)*1000</f>
        <v>13.598139202003937</v>
      </c>
      <c r="M10" s="264">
        <f>('C-63'!M10/'C-62'!M10)*1000</f>
        <v>14.075594321874465</v>
      </c>
      <c r="N10" s="264">
        <f>('C-63'!N10/'C-62'!N10)*1000</f>
        <v>9.8634453781512601</v>
      </c>
      <c r="R10" s="130"/>
      <c r="S10" s="146"/>
      <c r="T10" s="146"/>
      <c r="U10" s="134"/>
      <c r="V10" s="146"/>
      <c r="W10" s="146"/>
      <c r="X10" s="146"/>
      <c r="Y10" s="134"/>
      <c r="AA10" s="160"/>
    </row>
    <row r="11" spans="1:27" ht="12.75" customHeight="1">
      <c r="A11" s="152" t="s">
        <v>23</v>
      </c>
      <c r="B11" s="642">
        <f>('C-63'!B11/'C-62'!B11)*1000</f>
        <v>16.492424665958517</v>
      </c>
      <c r="C11" s="264">
        <f>('C-63'!C11/'C-62'!C11)*1000</f>
        <v>15.439599714081488</v>
      </c>
      <c r="D11" s="264">
        <f>('C-63'!D11/'C-62'!D11)*1000</f>
        <v>15.504451038575667</v>
      </c>
      <c r="E11" s="264">
        <f>('C-63'!E11/'C-62'!E11)*1000</f>
        <v>15.752895752895752</v>
      </c>
      <c r="F11" s="264">
        <f>('C-63'!F11/'C-62'!F11)*1000</f>
        <v>15.664556962025317</v>
      </c>
      <c r="G11" s="264">
        <f>('C-63'!G11/'C-62'!G11)*1000</f>
        <v>17.185185185185187</v>
      </c>
      <c r="H11" s="264">
        <f>('C-63'!H11/'C-62'!H11)*1000</f>
        <v>17.579250720461093</v>
      </c>
      <c r="I11" s="264">
        <f>('C-63'!I11/'C-62'!I11)*1000</f>
        <v>17.438692098092645</v>
      </c>
      <c r="J11" s="264">
        <f>('C-63'!J11/'C-62'!J11)*1000</f>
        <v>16.917808219178081</v>
      </c>
      <c r="K11" s="264">
        <f>('C-63'!K11/'C-62'!K11)*1000</f>
        <v>17.765814266487212</v>
      </c>
      <c r="L11" s="264">
        <f>('C-63'!L11/'C-62'!L11)*1000</f>
        <v>17.108433734939759</v>
      </c>
      <c r="M11" s="264">
        <f>('C-63'!M11/'C-62'!M11)*1000</f>
        <v>16.583229036295371</v>
      </c>
      <c r="N11" s="264">
        <f>('C-63'!N11/'C-62'!N11)*1000</f>
        <v>15.246430216490097</v>
      </c>
      <c r="R11" s="130"/>
      <c r="S11" s="146"/>
      <c r="T11" s="146"/>
      <c r="U11" s="134"/>
      <c r="V11" s="146"/>
      <c r="W11" s="146"/>
      <c r="X11" s="146"/>
      <c r="Y11" s="134"/>
      <c r="AA11" s="160"/>
    </row>
    <row r="12" spans="1:27" ht="12.75" customHeight="1">
      <c r="A12" s="129" t="s">
        <v>24</v>
      </c>
      <c r="B12" s="642">
        <f>('C-63'!B12/'C-62'!B12)*1000</f>
        <v>13.234575003595568</v>
      </c>
      <c r="C12" s="264">
        <f>('C-63'!C12/'C-62'!C12)*1000</f>
        <v>13.276940051489518</v>
      </c>
      <c r="D12" s="264">
        <f>('C-63'!D12/'C-62'!D12)*1000</f>
        <v>13.377345378735233</v>
      </c>
      <c r="E12" s="264">
        <f>('C-63'!E12/'C-62'!E12)*1000</f>
        <v>14.771976206212823</v>
      </c>
      <c r="F12" s="264">
        <f>('C-63'!F12/'C-62'!F12)*1000</f>
        <v>13.333333333333332</v>
      </c>
      <c r="G12" s="264">
        <f>('C-63'!G12/'C-62'!G12)*1000</f>
        <v>13.319011815252418</v>
      </c>
      <c r="H12" s="264">
        <f>('C-63'!H12/'C-62'!H12)*1000</f>
        <v>13.393756294058408</v>
      </c>
      <c r="I12" s="264">
        <f>('C-63'!I12/'C-62'!I12)*1000</f>
        <v>13.380035026269704</v>
      </c>
      <c r="J12" s="264">
        <f>('C-63'!J12/'C-62'!J12)*1000</f>
        <v>13.110276544895868</v>
      </c>
      <c r="K12" s="264">
        <f>('C-63'!K12/'C-62'!K12)*1000</f>
        <v>12.686567164179104</v>
      </c>
      <c r="L12" s="264">
        <f>('C-63'!L12/'C-62'!L12)*1000</f>
        <v>12.668082094833686</v>
      </c>
      <c r="M12" s="264">
        <f>('C-63'!M12/'C-62'!M12)*1000</f>
        <v>12.738017071569271</v>
      </c>
      <c r="N12" s="264">
        <f>('C-63'!N12/'C-62'!N12)*1000</f>
        <v>12.732185072610605</v>
      </c>
      <c r="R12" s="130"/>
      <c r="S12" s="146"/>
      <c r="T12" s="146"/>
      <c r="U12" s="134"/>
      <c r="V12" s="146"/>
      <c r="W12" s="146"/>
      <c r="X12" s="146"/>
      <c r="Y12" s="134"/>
      <c r="AA12" s="160"/>
    </row>
    <row r="13" spans="1:27" ht="12.75" customHeight="1">
      <c r="A13" s="152" t="s">
        <v>25</v>
      </c>
      <c r="B13" s="642">
        <f>('C-63'!B13/'C-62'!B13)*1000</f>
        <v>10.239606799098913</v>
      </c>
      <c r="C13" s="264">
        <f>('C-63'!C13/'C-62'!C13)*1000</f>
        <v>9.99517141477547</v>
      </c>
      <c r="D13" s="264">
        <f>('C-63'!D13/'C-62'!D13)*1000</f>
        <v>10.062590274434278</v>
      </c>
      <c r="E13" s="264">
        <f>('C-63'!E13/'C-62'!E13)*1000</f>
        <v>10.233297985153765</v>
      </c>
      <c r="F13" s="264">
        <f>('C-63'!F13/'C-62'!F13)*1000</f>
        <v>10.011061946902656</v>
      </c>
      <c r="G13" s="264">
        <f>('C-63'!G13/'C-62'!G13)*1000</f>
        <v>10.256410256410257</v>
      </c>
      <c r="H13" s="264">
        <f>('C-63'!H13/'C-62'!H13)*1000</f>
        <v>10.25179856115108</v>
      </c>
      <c r="I13" s="264">
        <f>('C-63'!I13/'C-62'!I13)*1000</f>
        <v>10.163111668757841</v>
      </c>
      <c r="J13" s="264">
        <f>('C-63'!J13/'C-62'!J13)*1000</f>
        <v>10.293333333333333</v>
      </c>
      <c r="K13" s="264">
        <f>('C-63'!K13/'C-62'!K13)*1000</f>
        <v>10.42223409941208</v>
      </c>
      <c r="L13" s="264">
        <f>('C-63'!L13/'C-62'!L13)*1000</f>
        <v>10.255102040816329</v>
      </c>
      <c r="M13" s="264">
        <f>('C-63'!M13/'C-62'!M13)*1000</f>
        <v>10.457516339869281</v>
      </c>
      <c r="N13" s="264">
        <f>('C-63'!N13/'C-62'!N13)*1000</f>
        <v>10.477515067222996</v>
      </c>
      <c r="R13" s="130"/>
      <c r="S13" s="146"/>
      <c r="T13" s="146"/>
      <c r="U13" s="134"/>
      <c r="V13" s="146"/>
      <c r="W13" s="146"/>
      <c r="X13" s="146"/>
      <c r="Y13" s="134"/>
      <c r="AA13" s="160"/>
    </row>
    <row r="14" spans="1:27" ht="12.75" customHeight="1">
      <c r="A14" s="127" t="s">
        <v>97</v>
      </c>
      <c r="B14" s="642">
        <f>('C-63'!B14/'C-62'!B14)*1000</f>
        <v>9.9493742089720154</v>
      </c>
      <c r="C14" s="264">
        <f>('C-63'!C14/'C-62'!C14)*1000</f>
        <v>9.7929936305732497</v>
      </c>
      <c r="D14" s="264">
        <f>('C-63'!D14/'C-62'!D14)*1000</f>
        <v>9.8602484472049685</v>
      </c>
      <c r="E14" s="264">
        <f>('C-63'!E14/'C-62'!E14)*1000</f>
        <v>10.016556291390728</v>
      </c>
      <c r="F14" s="264">
        <f>('C-63'!F14/'C-62'!F14)*1000</f>
        <v>9.6638655462184868</v>
      </c>
      <c r="G14" s="264">
        <f>('C-63'!G14/'C-62'!G14)*1000</f>
        <v>10.072689511941848</v>
      </c>
      <c r="H14" s="264">
        <f>('C-63'!H14/'C-62'!H14)*1000</f>
        <v>10.188679245283019</v>
      </c>
      <c r="I14" s="264">
        <f>('C-63'!I14/'C-62'!I14)*1000</f>
        <v>10.159010600706713</v>
      </c>
      <c r="J14" s="264">
        <f>('C-63'!J14/'C-62'!J14)*1000</f>
        <v>10.102739726027398</v>
      </c>
      <c r="K14" s="264">
        <f>('C-63'!K14/'C-62'!K14)*1000</f>
        <v>10.227272727272727</v>
      </c>
      <c r="L14" s="264">
        <f>('C-63'!L14/'C-62'!L14)*1000</f>
        <v>9.8321342925659483</v>
      </c>
      <c r="M14" s="264">
        <f>('C-63'!M14/'C-62'!M14)*1000</f>
        <v>9.7727272727272734</v>
      </c>
      <c r="N14" s="264">
        <f>('C-63'!N14/'C-62'!N14)*1000</f>
        <v>9.7972972972972983</v>
      </c>
      <c r="R14" s="130"/>
      <c r="S14" s="146"/>
      <c r="T14" s="146"/>
      <c r="U14" s="134"/>
      <c r="V14" s="146"/>
      <c r="W14" s="146"/>
      <c r="X14" s="146"/>
      <c r="Y14" s="134"/>
      <c r="AA14" s="160"/>
    </row>
    <row r="15" spans="1:27" ht="12.75" customHeight="1">
      <c r="A15" s="127" t="s">
        <v>98</v>
      </c>
      <c r="B15" s="642">
        <f>('C-63'!B15/'C-62'!B15)*1000</f>
        <v>13.625103220478943</v>
      </c>
      <c r="C15" s="264">
        <f>('C-63'!C15/'C-62'!C15)*1000</f>
        <v>15.053763440860214</v>
      </c>
      <c r="D15" s="264">
        <f>('C-63'!D15/'C-62'!D15)*1000</f>
        <v>13.636363636363635</v>
      </c>
      <c r="E15" s="264">
        <f>('C-63'!E15/'C-62'!E15)*1000</f>
        <v>14.130434782608695</v>
      </c>
      <c r="F15" s="264">
        <f>('C-63'!F15/'C-62'!F15)*1000</f>
        <v>14.444444444444445</v>
      </c>
      <c r="G15" s="264">
        <f>('C-63'!G15/'C-62'!G15)*1000</f>
        <v>15.306122448979592</v>
      </c>
      <c r="H15" s="264">
        <f>('C-63'!H15/'C-62'!H15)*1000</f>
        <v>14.285714285714286</v>
      </c>
      <c r="I15" s="264">
        <f>('C-63'!I15/'C-62'!I15)*1000</f>
        <v>12.878787878787879</v>
      </c>
      <c r="J15" s="264">
        <f>('C-63'!J15/'C-62'!J15)*1000</f>
        <v>13.541666666666668</v>
      </c>
      <c r="K15" s="264">
        <f>('C-63'!K15/'C-62'!K15)*1000</f>
        <v>14.444444444444445</v>
      </c>
      <c r="L15" s="264">
        <f>('C-63'!L15/'C-62'!L15)*1000</f>
        <v>12.962962962962962</v>
      </c>
      <c r="M15" s="264">
        <f>('C-63'!M15/'C-62'!M15)*1000</f>
        <v>12.844036697247706</v>
      </c>
      <c r="N15" s="264">
        <f>('C-63'!N15/'C-62'!N15)*1000</f>
        <v>10.679611650485439</v>
      </c>
      <c r="R15" s="130"/>
      <c r="S15" s="146"/>
      <c r="T15" s="146"/>
      <c r="U15" s="134"/>
      <c r="V15" s="146"/>
      <c r="W15" s="146"/>
      <c r="X15" s="146"/>
      <c r="Y15" s="134"/>
      <c r="AA15" s="160"/>
    </row>
    <row r="16" spans="1:27" ht="12.75" customHeight="1">
      <c r="A16" s="127" t="s">
        <v>99</v>
      </c>
      <c r="B16" s="642">
        <f>('C-63'!B16/'C-62'!B16)*1000</f>
        <v>10.220440881763528</v>
      </c>
      <c r="C16" s="264">
        <f>('C-63'!C16/'C-62'!C16)*1000</f>
        <v>9.6952908587257607</v>
      </c>
      <c r="D16" s="264">
        <f>('C-63'!D16/'C-62'!D16)*1000</f>
        <v>9.8430813124108418</v>
      </c>
      <c r="E16" s="264">
        <f>('C-63'!E16/'C-62'!E16)*1000</f>
        <v>9.8976109215017054</v>
      </c>
      <c r="F16" s="264">
        <f>('C-63'!F16/'C-62'!F16)*1000</f>
        <v>9.9216710182767613</v>
      </c>
      <c r="G16" s="264">
        <f>('C-63'!G16/'C-62'!G16)*1000</f>
        <v>9.9521531100478473</v>
      </c>
      <c r="H16" s="264">
        <f>('C-63'!H16/'C-62'!H16)*1000</f>
        <v>9.8859315589353614</v>
      </c>
      <c r="I16" s="264">
        <f>('C-63'!I16/'C-62'!I16)*1000</f>
        <v>9.8491570541259978</v>
      </c>
      <c r="J16" s="264">
        <f>('C-63'!J16/'C-62'!J16)*1000</f>
        <v>10.147299509001636</v>
      </c>
      <c r="K16" s="264">
        <f>('C-63'!K16/'C-62'!K16)*1000</f>
        <v>10.204081632653061</v>
      </c>
      <c r="L16" s="264">
        <f>('C-63'!L16/'C-62'!L16)*1000</f>
        <v>10.648918469217969</v>
      </c>
      <c r="M16" s="264">
        <f>('C-63'!M16/'C-62'!M16)*1000</f>
        <v>11.607142857142858</v>
      </c>
      <c r="N16" s="264">
        <f>('C-63'!N16/'C-62'!N16)*1000</f>
        <v>12.195121951219512</v>
      </c>
      <c r="R16" s="130"/>
      <c r="S16" s="146"/>
      <c r="T16" s="146"/>
      <c r="U16" s="134"/>
      <c r="V16" s="146"/>
      <c r="W16" s="146"/>
      <c r="X16" s="146"/>
      <c r="Y16" s="134"/>
      <c r="AA16" s="160"/>
    </row>
    <row r="17" spans="1:27" ht="12.75" customHeight="1">
      <c r="A17" s="152" t="s">
        <v>29</v>
      </c>
      <c r="B17" s="642">
        <f>('C-63'!B17/'C-62'!B17)*1000</f>
        <v>12.636403317328677</v>
      </c>
      <c r="C17" s="264">
        <f>('C-63'!C17/'C-62'!C17)*1000</f>
        <v>12.5</v>
      </c>
      <c r="D17" s="264">
        <f>('C-63'!D17/'C-62'!D17)*1000</f>
        <v>12.590799031476998</v>
      </c>
      <c r="E17" s="264">
        <f>('C-63'!E17/'C-62'!E17)*1000</f>
        <v>12.582781456953642</v>
      </c>
      <c r="F17" s="264">
        <f>('C-63'!F17/'C-62'!F17)*1000</f>
        <v>12.595419847328245</v>
      </c>
      <c r="G17" s="264">
        <f>('C-63'!G17/'C-62'!G17)*1000</f>
        <v>12.662337662337661</v>
      </c>
      <c r="H17" s="264">
        <f>('C-63'!H17/'C-62'!H17)*1000</f>
        <v>12.865497076023393</v>
      </c>
      <c r="I17" s="264">
        <f>('C-63'!I17/'C-62'!I17)*1000</f>
        <v>12.661498708010337</v>
      </c>
      <c r="J17" s="264">
        <f>('C-63'!J17/'C-62'!J17)*1000</f>
        <v>12.532637075718014</v>
      </c>
      <c r="K17" s="264">
        <f>('C-63'!K17/'C-62'!K17)*1000</f>
        <v>12.740384615384615</v>
      </c>
      <c r="L17" s="264">
        <f>('C-63'!L17/'C-62'!L17)*1000</f>
        <v>12.649164677804297</v>
      </c>
      <c r="M17" s="264">
        <f>('C-63'!M17/'C-62'!M17)*1000</f>
        <v>12.682926829268293</v>
      </c>
      <c r="N17" s="264">
        <f>('C-63'!N17/'C-62'!N17)*1000</f>
        <v>12.6</v>
      </c>
      <c r="R17" s="130"/>
      <c r="S17" s="146"/>
      <c r="T17" s="146"/>
      <c r="U17" s="134"/>
      <c r="V17" s="146"/>
      <c r="W17" s="146"/>
      <c r="X17" s="146"/>
      <c r="Y17" s="134"/>
      <c r="AA17" s="160"/>
    </row>
    <row r="18" spans="1:27" ht="12.75" customHeight="1">
      <c r="A18" s="129" t="s">
        <v>30</v>
      </c>
      <c r="B18" s="642">
        <f>('C-63'!B18/'C-62'!B18)*1000</f>
        <v>10.117056856187288</v>
      </c>
      <c r="C18" s="264">
        <f>('C-63'!C18/'C-62'!C18)*1000</f>
        <v>10.425531914893616</v>
      </c>
      <c r="D18" s="264">
        <f>('C-63'!D18/'C-62'!D18)*1000</f>
        <v>10.066225165562914</v>
      </c>
      <c r="E18" s="264">
        <f>('C-63'!E18/'C-62'!E18)*1000</f>
        <v>10.23720349563046</v>
      </c>
      <c r="F18" s="264">
        <f>('C-63'!F18/'C-62'!F18)*1000</f>
        <v>10.217755443886098</v>
      </c>
      <c r="G18" s="264">
        <f>('C-63'!G18/'C-62'!G18)*1000</f>
        <v>9.9875156054931331</v>
      </c>
      <c r="H18" s="264">
        <f>('C-63'!H18/'C-62'!H18)*1000</f>
        <v>9.9941211052322174</v>
      </c>
      <c r="I18" s="264">
        <f>('C-63'!I18/'C-62'!I18)*1000</f>
        <v>9.8785871964679899</v>
      </c>
      <c r="J18" s="264">
        <f>('C-63'!J18/'C-62'!J18)*1000</f>
        <v>10.029154518950437</v>
      </c>
      <c r="K18" s="264">
        <f>('C-63'!K18/'C-62'!K18)*1000</f>
        <v>10.108509423186749</v>
      </c>
      <c r="L18" s="264">
        <f>('C-63'!L18/'C-62'!L18)*1000</f>
        <v>10.352673492605232</v>
      </c>
      <c r="M18" s="264">
        <f>('C-63'!M18/'C-62'!M18)*1000</f>
        <v>10.216546363131592</v>
      </c>
      <c r="N18" s="264">
        <f>('C-63'!N18/'C-62'!N18)*1000</f>
        <v>9.9521021820117088</v>
      </c>
      <c r="R18" s="130"/>
      <c r="S18" s="146"/>
      <c r="T18" s="146"/>
      <c r="U18" s="134"/>
      <c r="V18" s="146"/>
      <c r="W18" s="146"/>
      <c r="X18" s="146"/>
      <c r="Y18" s="134"/>
      <c r="AA18" s="160"/>
    </row>
    <row r="19" spans="1:27" ht="12.75" customHeight="1">
      <c r="A19" s="129" t="s">
        <v>31</v>
      </c>
      <c r="B19" s="642">
        <f>('C-63'!B19/'C-62'!B19)*1000</f>
        <v>12.844551731881211</v>
      </c>
      <c r="C19" s="264">
        <f>('C-63'!C19/'C-62'!C19)*1000</f>
        <v>13.095671153146599</v>
      </c>
      <c r="D19" s="264">
        <f>('C-63'!D19/'C-62'!D19)*1000</f>
        <v>12.967671630948058</v>
      </c>
      <c r="E19" s="264">
        <f>('C-63'!E19/'C-62'!E19)*1000</f>
        <v>12.632660047928791</v>
      </c>
      <c r="F19" s="264">
        <f>('C-63'!F19/'C-62'!F19)*1000</f>
        <v>12.860705379408623</v>
      </c>
      <c r="G19" s="264">
        <f>('C-63'!G19/'C-62'!G19)*1000</f>
        <v>12.726650701334247</v>
      </c>
      <c r="H19" s="264">
        <f>('C-63'!H19/'C-62'!H19)*1000</f>
        <v>13.554727211114876</v>
      </c>
      <c r="I19" s="264">
        <f>('C-63'!I19/'C-62'!I19)*1000</f>
        <v>12.616019250601582</v>
      </c>
      <c r="J19" s="264">
        <f>('C-63'!J19/'C-62'!J19)*1000</f>
        <v>12.571247625079165</v>
      </c>
      <c r="K19" s="264">
        <f>('C-63'!K19/'C-62'!K19)*1000</f>
        <v>12.725483765168907</v>
      </c>
      <c r="L19" s="264">
        <f>('C-63'!L19/'C-62'!L19)*1000</f>
        <v>12.67561660942866</v>
      </c>
      <c r="M19" s="264">
        <f>('C-63'!M19/'C-62'!M19)*1000</f>
        <v>12.823964994951195</v>
      </c>
      <c r="N19" s="264">
        <f>('C-63'!N19/'C-62'!N19)*1000</f>
        <v>12.933168316831683</v>
      </c>
      <c r="R19" s="130"/>
      <c r="S19" s="146"/>
      <c r="T19" s="146"/>
      <c r="U19" s="134"/>
      <c r="V19" s="146"/>
      <c r="W19" s="146"/>
      <c r="X19" s="146"/>
      <c r="Y19" s="134"/>
      <c r="AA19" s="160"/>
    </row>
    <row r="20" spans="1:27" ht="12.75" customHeight="1">
      <c r="A20" s="152" t="s">
        <v>32</v>
      </c>
      <c r="B20" s="642">
        <f>('C-63'!B20/'C-62'!B20)*1000</f>
        <v>13.07111471353611</v>
      </c>
      <c r="C20" s="264">
        <f>('C-63'!C20/'C-62'!C20)*1000</f>
        <v>13.349084465445955</v>
      </c>
      <c r="D20" s="264">
        <f>('C-63'!D20/'C-62'!D20)*1000</f>
        <v>14.635535307517085</v>
      </c>
      <c r="E20" s="264">
        <f>('C-63'!E20/'C-62'!E20)*1000</f>
        <v>13.419913419913421</v>
      </c>
      <c r="F20" s="264">
        <f>('C-63'!F20/'C-62'!F20)*1000</f>
        <v>13.011923276308968</v>
      </c>
      <c r="G20" s="264">
        <f>('C-63'!G20/'C-62'!G20)*1000</f>
        <v>12.903225806451612</v>
      </c>
      <c r="H20" s="264">
        <f>('C-63'!H20/'C-62'!H20)*1000</f>
        <v>13.136288998357964</v>
      </c>
      <c r="I20" s="264">
        <f>('C-63'!I20/'C-62'!I20)*1000</f>
        <v>12.606303151575787</v>
      </c>
      <c r="J20" s="264">
        <f>('C-63'!J20/'C-62'!J20)*1000</f>
        <v>13.010204081632653</v>
      </c>
      <c r="K20" s="264">
        <f>('C-63'!K20/'C-62'!K20)*1000</f>
        <v>12.979797979797979</v>
      </c>
      <c r="L20" s="264">
        <f>('C-63'!L20/'C-62'!L20)*1000</f>
        <v>13.353263577478824</v>
      </c>
      <c r="M20" s="264">
        <f>('C-63'!M20/'C-62'!M20)*1000</f>
        <v>12.582112177867609</v>
      </c>
      <c r="N20" s="264">
        <f>('C-63'!N20/'C-62'!N20)*1000</f>
        <v>12.317985045257773</v>
      </c>
      <c r="R20" s="130"/>
      <c r="S20" s="146"/>
      <c r="T20" s="146"/>
      <c r="U20" s="134"/>
      <c r="V20" s="146"/>
      <c r="W20" s="146"/>
      <c r="X20" s="146"/>
      <c r="Y20" s="134"/>
      <c r="AA20" s="160"/>
    </row>
    <row r="21" spans="1:27" ht="12.75" customHeight="1">
      <c r="A21" s="152" t="s">
        <v>33</v>
      </c>
      <c r="B21" s="642">
        <f>('C-63'!B21/'C-62'!B21)*1000</f>
        <v>9.821608343736159</v>
      </c>
      <c r="C21" s="264">
        <f>('C-63'!C21/'C-62'!C21)*1000</f>
        <v>9.6828992072480187</v>
      </c>
      <c r="D21" s="264">
        <f>('C-63'!D21/'C-62'!D21)*1000</f>
        <v>9.7493036211699167</v>
      </c>
      <c r="E21" s="264">
        <f>('C-63'!E21/'C-62'!E21)*1000</f>
        <v>10.067873303167422</v>
      </c>
      <c r="F21" s="264">
        <f>('C-63'!F21/'C-62'!F21)*1000</f>
        <v>9.6636412172984532</v>
      </c>
      <c r="G21" s="264">
        <f>('C-63'!G21/'C-62'!G21)*1000</f>
        <v>9.5452273863068466</v>
      </c>
      <c r="H21" s="264">
        <f>('C-63'!H21/'C-62'!H21)*1000</f>
        <v>9.5729013254786466</v>
      </c>
      <c r="I21" s="264">
        <f>('C-63'!I21/'C-62'!I21)*1000</f>
        <v>10.297872340425531</v>
      </c>
      <c r="J21" s="264">
        <f>('C-63'!J21/'C-62'!J21)*1000</f>
        <v>9.7249900358708654</v>
      </c>
      <c r="K21" s="264">
        <f>('C-63'!K21/'C-62'!K21)*1000</f>
        <v>9.7518502394427511</v>
      </c>
      <c r="L21" s="264">
        <f>('C-63'!L21/'C-62'!L21)*1000</f>
        <v>10.124410124410124</v>
      </c>
      <c r="M21" s="264">
        <f>('C-63'!M21/'C-62'!M21)*1000</f>
        <v>9.8661378284581041</v>
      </c>
      <c r="N21" s="264">
        <f>('C-63'!N21/'C-62'!N21)*1000</f>
        <v>9.7175682144566782</v>
      </c>
      <c r="R21" s="130"/>
      <c r="S21" s="146"/>
      <c r="T21" s="146"/>
      <c r="U21" s="134"/>
      <c r="V21" s="146"/>
      <c r="W21" s="146"/>
      <c r="X21" s="146"/>
      <c r="Y21" s="134"/>
      <c r="AA21" s="160"/>
    </row>
    <row r="22" spans="1:27" ht="12.75" customHeight="1">
      <c r="A22" s="152" t="s">
        <v>34</v>
      </c>
      <c r="B22" s="642">
        <f>('C-63'!B22/'C-62'!B22)*1000</f>
        <v>11.849710982658959</v>
      </c>
      <c r="C22" s="264">
        <f>('C-63'!C22/'C-62'!C22)*1000</f>
        <v>11.864406779661016</v>
      </c>
      <c r="D22" s="264">
        <f>('C-63'!D22/'C-62'!D22)*1000</f>
        <v>12.5</v>
      </c>
      <c r="E22" s="264">
        <f>('C-63'!E22/'C-62'!E22)*1000</f>
        <v>11.267605633802818</v>
      </c>
      <c r="F22" s="264">
        <f>('C-63'!F22/'C-62'!F22)*1000</f>
        <v>12.087912087912088</v>
      </c>
      <c r="G22" s="264">
        <f>('C-63'!G22/'C-62'!G22)*1000</f>
        <v>12.037037037037036</v>
      </c>
      <c r="H22" s="264">
        <f>('C-63'!H22/'C-62'!H22)*1000</f>
        <v>11.711711711711711</v>
      </c>
      <c r="I22" s="264">
        <f>('C-63'!I22/'C-62'!I22)*1000</f>
        <v>12.413793103448276</v>
      </c>
      <c r="J22" s="264">
        <f>('C-63'!J22/'C-62'!J22)*1000</f>
        <v>11.111111111111111</v>
      </c>
      <c r="K22" s="264">
        <f>('C-63'!K22/'C-62'!K22)*1000</f>
        <v>11.864406779661016</v>
      </c>
      <c r="L22" s="264">
        <f>('C-63'!L22/'C-62'!L22)*1000</f>
        <v>13.725490196078431</v>
      </c>
      <c r="M22" s="264">
        <f>('C-63'!M22/'C-62'!M22)*1000</f>
        <v>10.989010989010989</v>
      </c>
      <c r="N22" s="264">
        <f>('C-63'!N22/'C-62'!N22)*1000</f>
        <v>11.450381679389313</v>
      </c>
      <c r="R22" s="130"/>
      <c r="T22" s="146"/>
      <c r="U22" s="134"/>
      <c r="V22" s="146"/>
      <c r="W22" s="146"/>
      <c r="X22" s="146"/>
      <c r="Y22" s="134"/>
      <c r="AA22" s="160"/>
    </row>
    <row r="23" spans="1:27" ht="12.75" customHeight="1">
      <c r="A23" s="152" t="s">
        <v>35</v>
      </c>
      <c r="B23" s="642">
        <f>('C-63'!B23/'C-62'!B23)*1000</f>
        <v>10.371287128712874</v>
      </c>
      <c r="C23" s="264">
        <f>('C-63'!C23/'C-62'!C23)*1000</f>
        <v>10.588235294117647</v>
      </c>
      <c r="D23" s="264">
        <f>('C-63'!D23/'C-62'!D23)*1000</f>
        <v>10.101010101010102</v>
      </c>
      <c r="E23" s="264">
        <f>('C-63'!E23/'C-62'!E23)*1000</f>
        <v>10.32448377581121</v>
      </c>
      <c r="F23" s="264">
        <f>('C-63'!F23/'C-62'!F23)*1000</f>
        <v>10.429447852760736</v>
      </c>
      <c r="G23" s="264">
        <f>('C-63'!G23/'C-62'!G23)*1000</f>
        <v>10.204081632653061</v>
      </c>
      <c r="H23" s="264">
        <f>('C-63'!H23/'C-62'!H23)*1000</f>
        <v>10.588235294117647</v>
      </c>
      <c r="I23" s="264">
        <f>('C-63'!I23/'C-62'!I23)*1000</f>
        <v>10.374639769452449</v>
      </c>
      <c r="J23" s="264">
        <f>('C-63'!J23/'C-62'!J23)*1000</f>
        <v>10.344827586206897</v>
      </c>
      <c r="K23" s="264">
        <f>('C-63'!K23/'C-62'!K23)*1000</f>
        <v>10.256410256410257</v>
      </c>
      <c r="L23" s="264">
        <f>('C-63'!L23/'C-62'!L23)*1000</f>
        <v>10.416666666666666</v>
      </c>
      <c r="M23" s="264">
        <f>('C-63'!M23/'C-62'!M23)*1000</f>
        <v>10.526315789473683</v>
      </c>
      <c r="N23" s="264">
        <f>('C-63'!N23/'C-62'!N23)*1000</f>
        <v>10.285714285714285</v>
      </c>
      <c r="R23" s="130"/>
      <c r="T23" s="146"/>
      <c r="U23" s="134"/>
      <c r="V23" s="146"/>
      <c r="W23" s="146"/>
      <c r="X23" s="146"/>
      <c r="Y23" s="134"/>
      <c r="AA23" s="160"/>
    </row>
    <row r="24" spans="1:27" ht="12.75" customHeight="1">
      <c r="A24" s="152" t="s">
        <v>36</v>
      </c>
      <c r="B24" s="642">
        <f>('C-63'!B24/'C-62'!B24)*1000</f>
        <v>13.29155060352832</v>
      </c>
      <c r="C24" s="264">
        <f>('C-63'!C24/'C-62'!C24)*1000</f>
        <v>13.508442776735462</v>
      </c>
      <c r="D24" s="264">
        <f>('C-63'!D24/'C-62'!D24)*1000</f>
        <v>12.499999999999998</v>
      </c>
      <c r="E24" s="264">
        <f>('C-63'!E24/'C-62'!E24)*1000</f>
        <v>13.607038123167156</v>
      </c>
      <c r="F24" s="264">
        <f>('C-63'!F24/'C-62'!F24)*1000</f>
        <v>13.313462493790363</v>
      </c>
      <c r="G24" s="264">
        <f>('C-63'!G24/'C-62'!G24)*1000</f>
        <v>13.077297034516285</v>
      </c>
      <c r="H24" s="264">
        <f>('C-63'!H24/'C-62'!H24)*1000</f>
        <v>12.993262752646775</v>
      </c>
      <c r="I24" s="264">
        <f>('C-63'!I24/'C-62'!I24)*1000</f>
        <v>13.247362250879251</v>
      </c>
      <c r="J24" s="264">
        <f>('C-63'!J24/'C-62'!J24)*1000</f>
        <v>13.30166270783848</v>
      </c>
      <c r="K24" s="264">
        <f>('C-63'!K24/'C-62'!K24)*1000</f>
        <v>13.438967136150234</v>
      </c>
      <c r="L24" s="264">
        <f>('C-63'!L24/'C-62'!L24)*1000</f>
        <v>13.53829557713053</v>
      </c>
      <c r="M24" s="264">
        <f>('C-63'!M24/'C-62'!M24)*1000</f>
        <v>13.808463251670378</v>
      </c>
      <c r="N24" s="264">
        <f>('C-63'!N24/'C-62'!N24)*1000</f>
        <v>13.155021834061136</v>
      </c>
      <c r="R24" s="130"/>
      <c r="T24" s="146"/>
      <c r="U24" s="134"/>
      <c r="V24" s="146"/>
      <c r="W24" s="146"/>
      <c r="X24" s="146"/>
      <c r="Y24" s="134"/>
      <c r="AA24" s="160"/>
    </row>
    <row r="25" spans="1:27" ht="12.75" customHeight="1">
      <c r="A25" s="129" t="s">
        <v>37</v>
      </c>
      <c r="B25" s="642">
        <f>('C-63'!B25/'C-62'!B25)*1000</f>
        <v>11.759301791456133</v>
      </c>
      <c r="C25" s="264">
        <f>('C-63'!C25/'C-62'!C25)*1000</f>
        <v>12.117780294450734</v>
      </c>
      <c r="D25" s="264">
        <f>('C-63'!D25/'C-62'!D25)*1000</f>
        <v>11.428571428571429</v>
      </c>
      <c r="E25" s="264">
        <f>('C-63'!E25/'C-62'!E25)*1000</f>
        <v>11.826697892271662</v>
      </c>
      <c r="F25" s="264">
        <f>('C-63'!F25/'C-62'!F25)*1000</f>
        <v>12.128418549346016</v>
      </c>
      <c r="G25" s="264">
        <f>('C-63'!G25/'C-62'!G25)*1000</f>
        <v>12.004662004662006</v>
      </c>
      <c r="H25" s="264">
        <f>('C-63'!H25/'C-62'!H25)*1000</f>
        <v>11.881188118811881</v>
      </c>
      <c r="I25" s="264">
        <f>('C-63'!I25/'C-62'!I25)*1000</f>
        <v>11.820083682008368</v>
      </c>
      <c r="J25" s="264">
        <f>('C-63'!J25/'C-62'!J25)*1000</f>
        <v>11.727748691099476</v>
      </c>
      <c r="K25" s="264">
        <f>('C-63'!K25/'C-62'!K25)*1000</f>
        <v>11.67192429022082</v>
      </c>
      <c r="L25" s="264">
        <f>('C-63'!L25/'C-62'!L25)*1000</f>
        <v>11.558854718981973</v>
      </c>
      <c r="M25" s="264">
        <f>('C-63'!M25/'C-62'!M25)*1000</f>
        <v>11.571125265392782</v>
      </c>
      <c r="N25" s="264">
        <f>('C-63'!N25/'C-62'!N25)*1000</f>
        <v>11.437565582371459</v>
      </c>
      <c r="R25" s="130"/>
      <c r="T25" s="146"/>
      <c r="U25" s="134"/>
      <c r="V25" s="146"/>
      <c r="W25" s="146"/>
      <c r="X25" s="146"/>
      <c r="Y25" s="134"/>
      <c r="AA25" s="160"/>
    </row>
    <row r="26" spans="1:27" ht="12.75" customHeight="1">
      <c r="A26" s="152" t="s">
        <v>38</v>
      </c>
      <c r="B26" s="642">
        <f>('C-63'!B26/'C-62'!B26)*1000</f>
        <v>16.883116883116884</v>
      </c>
      <c r="C26" s="264">
        <f>('C-63'!C26/'C-62'!C26)*1000</f>
        <v>17.567567567567568</v>
      </c>
      <c r="D26" s="264">
        <f>('C-63'!D26/'C-62'!D26)*1000</f>
        <v>16.666666666666668</v>
      </c>
      <c r="E26" s="264">
        <f>('C-63'!E26/'C-62'!E26)*1000</f>
        <v>18.46153846153846</v>
      </c>
      <c r="F26" s="264">
        <f>('C-63'!F26/'C-62'!F26)*1000</f>
        <v>18.421052631578945</v>
      </c>
      <c r="G26" s="264">
        <f>('C-63'!G26/'C-62'!G26)*1000</f>
        <v>17.241379310344826</v>
      </c>
      <c r="H26" s="264">
        <f>('C-63'!H26/'C-62'!H26)*1000</f>
        <v>16.049382716049383</v>
      </c>
      <c r="I26" s="264">
        <f>('C-63'!I26/'C-62'!I26)*1000</f>
        <v>15.068493150684931</v>
      </c>
      <c r="J26" s="264">
        <f>('C-63'!J26/'C-62'!J26)*1000</f>
        <v>15.384615384615385</v>
      </c>
      <c r="K26" s="264">
        <f>('C-63'!K26/'C-62'!K26)*1000</f>
        <v>18.055555555555557</v>
      </c>
      <c r="L26" s="264">
        <f>('C-63'!L26/'C-62'!L26)*1000</f>
        <v>17.105263157894736</v>
      </c>
      <c r="M26" s="264">
        <f>('C-63'!M26/'C-62'!M26)*1000</f>
        <v>14.754098360655739</v>
      </c>
      <c r="N26" s="264">
        <f>('C-63'!N26/'C-62'!N26)*1000</f>
        <v>17.460317460317462</v>
      </c>
      <c r="R26" s="130"/>
      <c r="T26" s="146"/>
      <c r="U26" s="134"/>
      <c r="V26" s="146"/>
      <c r="W26" s="146"/>
      <c r="X26" s="146"/>
      <c r="Y26" s="134"/>
      <c r="AA26" s="160"/>
    </row>
    <row r="27" spans="1:27" ht="12.75" customHeight="1">
      <c r="A27" s="152" t="s">
        <v>39</v>
      </c>
      <c r="B27" s="642">
        <f>('C-63'!B27/'C-62'!B27)*1000</f>
        <v>14.581196581196581</v>
      </c>
      <c r="C27" s="264">
        <f>('C-63'!C27/'C-62'!C27)*1000</f>
        <v>14.484679665738163</v>
      </c>
      <c r="D27" s="264">
        <f>('C-63'!D27/'C-62'!D27)*1000</f>
        <v>14.609571788413097</v>
      </c>
      <c r="E27" s="264">
        <f>('C-63'!E27/'C-62'!E27)*1000</f>
        <v>14.69879518072289</v>
      </c>
      <c r="F27" s="264">
        <f>('C-63'!F27/'C-62'!F27)*1000</f>
        <v>14.89841986455982</v>
      </c>
      <c r="G27" s="264">
        <f>('C-63'!G27/'C-62'!G27)*1000</f>
        <v>14.17004048582996</v>
      </c>
      <c r="H27" s="264">
        <f>('C-63'!H27/'C-62'!H27)*1000</f>
        <v>13.812154696132596</v>
      </c>
      <c r="I27" s="264">
        <f>('C-63'!I27/'C-62'!I27)*1000</f>
        <v>14.579439252336448</v>
      </c>
      <c r="J27" s="264">
        <f>('C-63'!J27/'C-62'!J27)*1000</f>
        <v>14.821763602251409</v>
      </c>
      <c r="K27" s="264">
        <f>('C-63'!K27/'C-62'!K27)*1000</f>
        <v>14.559386973180075</v>
      </c>
      <c r="L27" s="264">
        <f>('C-63'!L27/'C-62'!L27)*1000</f>
        <v>14.476190476190476</v>
      </c>
      <c r="M27" s="264">
        <f>('C-63'!M27/'C-62'!M27)*1000</f>
        <v>14.446529080675422</v>
      </c>
      <c r="N27" s="264">
        <f>('C-63'!N27/'C-62'!N27)*1000</f>
        <v>15.426497277676951</v>
      </c>
      <c r="R27" s="130"/>
      <c r="T27" s="146"/>
      <c r="U27" s="134"/>
      <c r="V27" s="146"/>
      <c r="W27" s="146"/>
      <c r="X27" s="146"/>
      <c r="Y27" s="134"/>
      <c r="AA27" s="160"/>
    </row>
    <row r="28" spans="1:27" ht="12.75" customHeight="1">
      <c r="A28" s="152" t="s">
        <v>40</v>
      </c>
      <c r="B28" s="642">
        <f>('C-63'!B28/'C-62'!B28)*1000</f>
        <v>12.191715220688003</v>
      </c>
      <c r="C28" s="264">
        <f>('C-63'!C28/'C-62'!C28)*1000</f>
        <v>11.853188929001202</v>
      </c>
      <c r="D28" s="264">
        <f>('C-63'!D28/'C-62'!D28)*1000</f>
        <v>11.569688768606225</v>
      </c>
      <c r="E28" s="264">
        <f>('C-63'!E28/'C-62'!E28)*1000</f>
        <v>11.906976744186048</v>
      </c>
      <c r="F28" s="264">
        <f>('C-63'!F28/'C-62'!F28)*1000</f>
        <v>12.288512911843277</v>
      </c>
      <c r="G28" s="264">
        <f>('C-63'!G28/'C-62'!G28)*1000</f>
        <v>14.732510288065843</v>
      </c>
      <c r="H28" s="264">
        <f>('C-63'!H28/'C-62'!H28)*1000</f>
        <v>12.754880694143166</v>
      </c>
      <c r="I28" s="264">
        <f>('C-63'!I28/'C-62'!I28)*1000</f>
        <v>12.693631669535284</v>
      </c>
      <c r="J28" s="264">
        <f>('C-63'!J28/'C-62'!J28)*1000</f>
        <v>12.435476302205538</v>
      </c>
      <c r="K28" s="264">
        <f>('C-63'!K28/'C-62'!K28)*1000</f>
        <v>11.978609625668449</v>
      </c>
      <c r="L28" s="264">
        <f>('C-63'!L28/'C-62'!L28)*1000</f>
        <v>12.241566920565832</v>
      </c>
      <c r="M28" s="264">
        <f>('C-63'!M28/'C-62'!M28)*1000</f>
        <v>11.98019801980198</v>
      </c>
      <c r="N28" s="264">
        <f>('C-63'!N28/'C-62'!N28)*1000</f>
        <v>9.67741935483871</v>
      </c>
      <c r="R28" s="130"/>
      <c r="T28" s="146"/>
      <c r="U28" s="134"/>
      <c r="V28" s="146"/>
      <c r="W28" s="146"/>
      <c r="X28" s="146"/>
      <c r="Y28" s="134"/>
      <c r="AA28" s="160"/>
    </row>
    <row r="29" spans="1:27" ht="12.75" customHeight="1">
      <c r="A29" s="152" t="s">
        <v>41</v>
      </c>
      <c r="B29" s="642">
        <f>('C-63'!B29/'C-62'!B29)*1000</f>
        <v>11.359820928931169</v>
      </c>
      <c r="C29" s="264">
        <f>('C-63'!C29/'C-62'!C29)*1000</f>
        <v>11.436541143654113</v>
      </c>
      <c r="D29" s="264">
        <f>('C-63'!D29/'C-62'!D29)*1000</f>
        <v>11.353135313531352</v>
      </c>
      <c r="E29" s="264">
        <f>('C-63'!E29/'C-62'!E29)*1000</f>
        <v>11.437699680511182</v>
      </c>
      <c r="F29" s="264">
        <f>('C-63'!F29/'C-62'!F29)*1000</f>
        <v>11.96883852691218</v>
      </c>
      <c r="G29" s="264">
        <f>('C-63'!G29/'C-62'!G29)*1000</f>
        <v>11.160714285714286</v>
      </c>
      <c r="H29" s="264">
        <f>('C-63'!H29/'C-62'!H29)*1000</f>
        <v>11.36701337295691</v>
      </c>
      <c r="I29" s="264">
        <f>('C-63'!I29/'C-62'!I29)*1000</f>
        <v>11.445341159207629</v>
      </c>
      <c r="J29" s="264">
        <f>('C-63'!J29/'C-62'!J29)*1000</f>
        <v>11.189358372456965</v>
      </c>
      <c r="K29" s="264">
        <f>('C-63'!K29/'C-62'!K29)*1000</f>
        <v>11.227786752827141</v>
      </c>
      <c r="L29" s="264">
        <f>('C-63'!L29/'C-62'!L29)*1000</f>
        <v>11.557788944723619</v>
      </c>
      <c r="M29" s="264">
        <f>('C-63'!M29/'C-62'!M29)*1000</f>
        <v>11.331679073614556</v>
      </c>
      <c r="N29" s="264">
        <f>('C-63'!N29/'C-62'!N29)*1000</f>
        <v>10.717299578059071</v>
      </c>
      <c r="R29" s="130"/>
      <c r="T29" s="146"/>
      <c r="U29" s="134"/>
      <c r="V29" s="146"/>
      <c r="W29" s="146"/>
      <c r="X29" s="146"/>
      <c r="Y29" s="134"/>
      <c r="AA29" s="160"/>
    </row>
    <row r="30" spans="1:27" ht="12.75" customHeight="1">
      <c r="A30" s="127" t="s">
        <v>100</v>
      </c>
      <c r="B30" s="642">
        <f>('C-63'!B30/'C-62'!B30)*1000</f>
        <v>12.581063553826199</v>
      </c>
      <c r="C30" s="264">
        <f>('C-63'!C30/'C-62'!C30)*1000</f>
        <v>12.093023255813955</v>
      </c>
      <c r="D30" s="264">
        <f>('C-63'!D30/'C-62'!D30)*1000</f>
        <v>12.345679012345679</v>
      </c>
      <c r="E30" s="264">
        <f>('C-63'!E30/'C-62'!E30)*1000</f>
        <v>12.085308056872037</v>
      </c>
      <c r="F30" s="264">
        <f>('C-63'!F30/'C-62'!F30)*1000</f>
        <v>12.439024390243901</v>
      </c>
      <c r="G30" s="264">
        <f>('C-63'!G30/'C-62'!G30)*1000</f>
        <v>12.594458438287154</v>
      </c>
      <c r="H30" s="264">
        <f>('C-63'!H30/'C-62'!H30)*1000</f>
        <v>12.962962962962964</v>
      </c>
      <c r="I30" s="264">
        <f>('C-63'!I30/'C-62'!I30)*1000</f>
        <v>12.886597938144329</v>
      </c>
      <c r="J30" s="264">
        <f>('C-63'!J30/'C-62'!J30)*1000</f>
        <v>13.461538461538462</v>
      </c>
      <c r="K30" s="264">
        <f>('C-63'!K30/'C-62'!K30)*1000</f>
        <v>13.505747126436781</v>
      </c>
      <c r="L30" s="264">
        <f>('C-63'!L30/'C-62'!L30)*1000</f>
        <v>13.411078717201164</v>
      </c>
      <c r="M30" s="264">
        <f>('C-63'!M30/'C-62'!M30)*1000</f>
        <v>12.777777777777777</v>
      </c>
      <c r="N30" s="264">
        <f>('C-63'!N30/'C-62'!N30)*1000</f>
        <v>10.761154855643044</v>
      </c>
      <c r="R30" s="130"/>
      <c r="T30" s="146"/>
      <c r="U30" s="134"/>
      <c r="V30" s="146"/>
      <c r="W30" s="146"/>
      <c r="X30" s="146"/>
      <c r="Y30" s="134"/>
      <c r="AA30" s="160"/>
    </row>
    <row r="31" spans="1:27" ht="12.75" customHeight="1">
      <c r="A31" s="127" t="s">
        <v>101</v>
      </c>
      <c r="B31" s="642">
        <f>('C-63'!B31/'C-62'!B31)*1000</f>
        <v>10.831805882866366</v>
      </c>
      <c r="C31" s="264">
        <f>('C-63'!C31/'C-62'!C31)*1000</f>
        <v>11.155378486055776</v>
      </c>
      <c r="D31" s="264">
        <f>('C-63'!D31/'C-62'!D31)*1000</f>
        <v>10.990990990990991</v>
      </c>
      <c r="E31" s="264">
        <f>('C-63'!E31/'C-62'!E31)*1000</f>
        <v>11.111111111111109</v>
      </c>
      <c r="F31" s="264">
        <f>('C-63'!F31/'C-62'!F31)*1000</f>
        <v>11.776447105788424</v>
      </c>
      <c r="G31" s="264">
        <f>('C-63'!G31/'C-62'!G31)*1000</f>
        <v>10.559662090813093</v>
      </c>
      <c r="H31" s="264">
        <f>('C-63'!H31/'C-62'!H31)*1000</f>
        <v>10.743801652892563</v>
      </c>
      <c r="I31" s="264">
        <f>('C-63'!I31/'C-62'!I31)*1000</f>
        <v>10.87179487179487</v>
      </c>
      <c r="J31" s="264">
        <f>('C-63'!J31/'C-62'!J31)*1000</f>
        <v>10.175054704595187</v>
      </c>
      <c r="K31" s="264">
        <f>('C-63'!K31/'C-62'!K31)*1000</f>
        <v>10.224719101123595</v>
      </c>
      <c r="L31" s="264">
        <f>('C-63'!L31/'C-62'!L31)*1000</f>
        <v>10.693301997649822</v>
      </c>
      <c r="M31" s="264">
        <f>('C-63'!M31/'C-62'!M31)*1000</f>
        <v>10.718492343934038</v>
      </c>
      <c r="N31" s="264">
        <f>('C-63'!N31/'C-62'!N31)*1000</f>
        <v>10.696517412935322</v>
      </c>
      <c r="R31" s="130"/>
      <c r="T31" s="146"/>
      <c r="U31" s="134"/>
      <c r="V31" s="146"/>
      <c r="W31" s="146"/>
      <c r="X31" s="146"/>
      <c r="Y31" s="134"/>
      <c r="AA31" s="160"/>
    </row>
    <row r="32" spans="1:27" ht="12.75" customHeight="1">
      <c r="A32" s="152" t="s">
        <v>44</v>
      </c>
      <c r="B32" s="642">
        <f>('C-63'!B32/'C-62'!B32)*1000</f>
        <v>12.862275449101796</v>
      </c>
      <c r="C32" s="264">
        <f>('C-63'!C32/'C-62'!C32)*1000</f>
        <v>12.753623188405799</v>
      </c>
      <c r="D32" s="264">
        <f>('C-63'!D32/'C-62'!D32)*1000</f>
        <v>12.753623188405799</v>
      </c>
      <c r="E32" s="264">
        <f>('C-63'!E32/'C-62'!E32)*1000</f>
        <v>12.753623188405799</v>
      </c>
      <c r="F32" s="264">
        <f>('C-63'!F32/'C-62'!F32)*1000</f>
        <v>12.931034482758621</v>
      </c>
      <c r="G32" s="264">
        <f>('C-63'!G32/'C-62'!G32)*1000</f>
        <v>12.931034482758621</v>
      </c>
      <c r="H32" s="264">
        <f>('C-63'!H32/'C-62'!H32)*1000</f>
        <v>12.857142857142858</v>
      </c>
      <c r="I32" s="264">
        <f>('C-63'!I32/'C-62'!I32)*1000</f>
        <v>12.857142857142858</v>
      </c>
      <c r="J32" s="264">
        <f>('C-63'!J32/'C-62'!J32)*1000</f>
        <v>12.931034482758621</v>
      </c>
      <c r="K32" s="264">
        <f>('C-63'!K32/'C-62'!K32)*1000</f>
        <v>12.893982808022923</v>
      </c>
      <c r="L32" s="264">
        <f>('C-63'!L32/'C-62'!L32)*1000</f>
        <v>12.893982808022923</v>
      </c>
      <c r="M32" s="264">
        <f>('C-63'!M32/'C-62'!M32)*1000</f>
        <v>12.893982808022923</v>
      </c>
      <c r="N32" s="264">
        <f>('C-63'!N32/'C-62'!N32)*1000</f>
        <v>12.893982808022923</v>
      </c>
      <c r="R32" s="130"/>
      <c r="T32" s="146"/>
      <c r="U32" s="134"/>
      <c r="V32" s="146"/>
      <c r="W32" s="146"/>
      <c r="X32" s="146"/>
      <c r="Y32" s="134"/>
      <c r="AA32" s="160"/>
    </row>
    <row r="33" spans="1:27" ht="12.75" customHeight="1">
      <c r="A33" s="152" t="s">
        <v>45</v>
      </c>
      <c r="B33" s="642">
        <v>0</v>
      </c>
      <c r="C33" s="264">
        <v>0</v>
      </c>
      <c r="D33" s="264">
        <v>0</v>
      </c>
      <c r="E33" s="264">
        <v>0</v>
      </c>
      <c r="F33" s="264">
        <v>0</v>
      </c>
      <c r="G33" s="264">
        <v>0</v>
      </c>
      <c r="H33" s="264">
        <v>0</v>
      </c>
      <c r="I33" s="264">
        <v>0</v>
      </c>
      <c r="J33" s="264">
        <v>0</v>
      </c>
      <c r="K33" s="264">
        <v>0</v>
      </c>
      <c r="L33" s="264">
        <v>0</v>
      </c>
      <c r="M33" s="264">
        <v>0</v>
      </c>
      <c r="N33" s="264">
        <v>0</v>
      </c>
      <c r="R33" s="130"/>
      <c r="T33" s="146"/>
      <c r="U33" s="134"/>
      <c r="V33" s="146"/>
      <c r="W33" s="146"/>
      <c r="X33" s="146"/>
      <c r="Y33" s="134"/>
      <c r="AA33" s="160"/>
    </row>
    <row r="34" spans="1:27" ht="12.75" customHeight="1">
      <c r="A34" s="129" t="s">
        <v>46</v>
      </c>
      <c r="B34" s="642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R34" s="130"/>
      <c r="T34" s="146"/>
      <c r="U34" s="134"/>
      <c r="V34" s="146"/>
      <c r="W34" s="146"/>
      <c r="X34" s="146"/>
      <c r="Y34" s="134"/>
      <c r="AA34" s="160"/>
    </row>
    <row r="35" spans="1:27" ht="12.75" customHeight="1">
      <c r="A35" s="129" t="s">
        <v>47</v>
      </c>
      <c r="B35" s="642">
        <v>0</v>
      </c>
      <c r="C35" s="264">
        <f>('C-63'!C35/'C-62'!C35)*1000</f>
        <v>10</v>
      </c>
      <c r="D35" s="264">
        <f>('C-63'!D35/'C-62'!D35)*1000</f>
        <v>12.3</v>
      </c>
      <c r="E35" s="264">
        <f>('C-63'!E35/'C-62'!E35)*1000</f>
        <v>10</v>
      </c>
      <c r="F35" s="264">
        <f>('C-63'!F35/'C-62'!F35)*1000</f>
        <v>15</v>
      </c>
      <c r="G35" s="264">
        <f>('C-63'!G35/'C-62'!G35)*1000</f>
        <v>10</v>
      </c>
      <c r="H35" s="264">
        <f>('C-63'!H35/'C-62'!H35)*1000</f>
        <v>12.43</v>
      </c>
      <c r="I35" s="264">
        <f>('C-63'!I35/'C-62'!I35)*1000</f>
        <v>9.4666666666666668</v>
      </c>
      <c r="J35" s="264">
        <f>('C-63'!J35/'C-62'!J35)*1000</f>
        <v>15.100000000000001</v>
      </c>
      <c r="K35" s="264">
        <f>('C-63'!K35/'C-62'!K35)*1000</f>
        <v>11.662000000000001</v>
      </c>
      <c r="L35" s="264">
        <f>('C-63'!L35/'C-62'!L35)*1000</f>
        <v>11.92</v>
      </c>
      <c r="M35" s="264">
        <f>('C-63'!M35/'C-62'!M35)*1000</f>
        <v>10.114285714285712</v>
      </c>
      <c r="N35" s="264">
        <f>('C-63'!N35/'C-62'!N35)*1000</f>
        <v>10.4</v>
      </c>
      <c r="R35" s="130"/>
      <c r="T35" s="146"/>
      <c r="U35" s="134"/>
      <c r="V35" s="146"/>
      <c r="W35" s="146"/>
      <c r="X35" s="146"/>
      <c r="Y35" s="134"/>
      <c r="AA35" s="160"/>
    </row>
    <row r="36" spans="1:27" ht="12.75" customHeight="1">
      <c r="A36" s="129" t="s">
        <v>48</v>
      </c>
      <c r="B36" s="642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R36" s="130"/>
      <c r="T36" s="146"/>
      <c r="U36" s="134"/>
      <c r="V36" s="146"/>
      <c r="W36" s="146"/>
      <c r="X36" s="146"/>
      <c r="Y36" s="134"/>
      <c r="AA36" s="160"/>
    </row>
    <row r="37" spans="1:27" ht="12.75" customHeight="1" thickBot="1">
      <c r="A37" s="154" t="s">
        <v>49</v>
      </c>
      <c r="B37" s="643">
        <v>0</v>
      </c>
      <c r="C37" s="265">
        <v>0</v>
      </c>
      <c r="D37" s="265">
        <v>0</v>
      </c>
      <c r="E37" s="265">
        <v>0</v>
      </c>
      <c r="F37" s="265">
        <v>0</v>
      </c>
      <c r="G37" s="265">
        <v>0</v>
      </c>
      <c r="H37" s="265">
        <v>0</v>
      </c>
      <c r="I37" s="265">
        <v>0</v>
      </c>
      <c r="J37" s="265">
        <v>0</v>
      </c>
      <c r="K37" s="265">
        <v>0</v>
      </c>
      <c r="L37" s="265">
        <v>0</v>
      </c>
      <c r="M37" s="265">
        <v>0</v>
      </c>
      <c r="N37" s="265">
        <v>0</v>
      </c>
      <c r="R37" s="130"/>
      <c r="T37" s="146"/>
      <c r="U37" s="134"/>
      <c r="V37" s="146"/>
      <c r="W37" s="146"/>
      <c r="X37" s="146"/>
      <c r="Y37" s="134"/>
      <c r="AA37" s="160"/>
    </row>
    <row r="38" spans="1:27" ht="9" customHeight="1">
      <c r="A38" s="778" t="s">
        <v>402</v>
      </c>
      <c r="B38" s="811"/>
      <c r="C38" s="811"/>
      <c r="D38" s="811"/>
      <c r="E38" s="811"/>
      <c r="F38" s="255"/>
    </row>
    <row r="39" spans="1:27" ht="9" customHeight="1">
      <c r="A39" s="778" t="s">
        <v>359</v>
      </c>
      <c r="B39" s="811"/>
      <c r="C39" s="811"/>
      <c r="D39" s="811"/>
      <c r="E39" s="811"/>
      <c r="F39" s="255"/>
    </row>
    <row r="40" spans="1:27" ht="9" customHeight="1">
      <c r="A40" s="780" t="s">
        <v>358</v>
      </c>
      <c r="B40" s="811"/>
      <c r="C40" s="811"/>
      <c r="D40" s="811"/>
      <c r="E40" s="811"/>
      <c r="F40" s="255"/>
    </row>
    <row r="41" spans="1:27" ht="13.25" customHeight="1">
      <c r="A41" s="11"/>
    </row>
    <row r="42" spans="1:27" ht="13.25" customHeight="1">
      <c r="A42" s="73"/>
    </row>
    <row r="43" spans="1:27" ht="13.25" customHeight="1">
      <c r="A43" s="73"/>
    </row>
    <row r="44" spans="1:27" ht="13.25" customHeight="1">
      <c r="A44" s="24"/>
    </row>
    <row r="45" spans="1:27" ht="13.25" customHeight="1">
      <c r="A45" s="33"/>
    </row>
    <row r="46" spans="1:27" ht="13.25" customHeight="1">
      <c r="A46" s="24"/>
    </row>
    <row r="47" spans="1:27" ht="13.25" customHeight="1">
      <c r="A47" s="73"/>
    </row>
    <row r="48" spans="1:27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6">
    <tabColor theme="9" tint="0.59999389629810485"/>
  </sheetPr>
  <dimension ref="A4:O46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73" customWidth="1"/>
    <col min="2" max="2" width="9.19921875" style="73" customWidth="1"/>
    <col min="3" max="14" width="9" style="73" customWidth="1"/>
    <col min="15" max="16384" width="7" style="73"/>
  </cols>
  <sheetData>
    <row r="4" spans="1:15" ht="13.25" customHeight="1">
      <c r="A4" s="250" t="s">
        <v>538</v>
      </c>
      <c r="B4" s="246"/>
    </row>
    <row r="5" spans="1:15" ht="13.25" customHeight="1">
      <c r="A5" s="253" t="s">
        <v>238</v>
      </c>
      <c r="B5" s="246"/>
    </row>
    <row r="6" spans="1:15" ht="4" customHeight="1" thickBot="1"/>
    <row r="7" spans="1:15" ht="15" customHeight="1">
      <c r="A7" s="568" t="s">
        <v>18</v>
      </c>
      <c r="B7" s="599" t="s">
        <v>106</v>
      </c>
      <c r="C7" s="568" t="s">
        <v>55</v>
      </c>
      <c r="D7" s="568" t="s">
        <v>56</v>
      </c>
      <c r="E7" s="568" t="s">
        <v>57</v>
      </c>
      <c r="F7" s="568" t="s">
        <v>58</v>
      </c>
      <c r="G7" s="568" t="s">
        <v>59</v>
      </c>
      <c r="H7" s="568" t="s">
        <v>60</v>
      </c>
      <c r="I7" s="568" t="s">
        <v>61</v>
      </c>
      <c r="J7" s="568" t="s">
        <v>62</v>
      </c>
      <c r="K7" s="568" t="s">
        <v>63</v>
      </c>
      <c r="L7" s="568" t="s">
        <v>64</v>
      </c>
      <c r="M7" s="568" t="s">
        <v>65</v>
      </c>
      <c r="N7" s="568" t="s">
        <v>66</v>
      </c>
      <c r="O7" s="159"/>
    </row>
    <row r="8" spans="1:15" ht="15" customHeight="1">
      <c r="A8" s="556" t="s">
        <v>90</v>
      </c>
      <c r="B8" s="557">
        <f t="shared" ref="B8:B37" si="0">SUM(C8:N8)</f>
        <v>476209.91432960896</v>
      </c>
      <c r="C8" s="557">
        <f t="shared" ref="C8:N8" si="1">(C9+C10+C11+C12+C13+C17+C18+C19+C20+C21+C22+C23+C24+C25+C26+C27+C28+C29+C32+C33+C34+C35+C36+C37)</f>
        <v>32140</v>
      </c>
      <c r="D8" s="557">
        <f t="shared" si="1"/>
        <v>37900</v>
      </c>
      <c r="E8" s="557">
        <f t="shared" si="1"/>
        <v>40260</v>
      </c>
      <c r="F8" s="557">
        <f t="shared" si="1"/>
        <v>47341</v>
      </c>
      <c r="G8" s="557">
        <f t="shared" si="1"/>
        <v>46975</v>
      </c>
      <c r="H8" s="557">
        <f t="shared" si="1"/>
        <v>46898.059000000001</v>
      </c>
      <c r="I8" s="557">
        <f t="shared" si="1"/>
        <v>45725.279329608937</v>
      </c>
      <c r="J8" s="557">
        <f t="shared" si="1"/>
        <v>41879.423999999999</v>
      </c>
      <c r="K8" s="557">
        <f t="shared" si="1"/>
        <v>37194.152000000002</v>
      </c>
      <c r="L8" s="557">
        <f t="shared" si="1"/>
        <v>34577</v>
      </c>
      <c r="M8" s="557">
        <f t="shared" si="1"/>
        <v>34102</v>
      </c>
      <c r="N8" s="557">
        <f t="shared" si="1"/>
        <v>31218</v>
      </c>
    </row>
    <row r="9" spans="1:15" ht="12.75" customHeight="1">
      <c r="A9" s="81" t="s">
        <v>21</v>
      </c>
      <c r="B9" s="653">
        <f t="shared" si="0"/>
        <v>0</v>
      </c>
      <c r="C9" s="258">
        <v>0</v>
      </c>
      <c r="D9" s="258">
        <v>0</v>
      </c>
      <c r="E9" s="258">
        <v>0</v>
      </c>
      <c r="F9" s="258">
        <v>0</v>
      </c>
      <c r="G9" s="258">
        <v>0</v>
      </c>
      <c r="H9" s="258">
        <v>0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</row>
    <row r="10" spans="1:15" ht="12.75" customHeight="1">
      <c r="A10" s="81" t="s">
        <v>22</v>
      </c>
      <c r="B10" s="653">
        <f t="shared" si="0"/>
        <v>0</v>
      </c>
      <c r="C10" s="258">
        <v>0</v>
      </c>
      <c r="D10" s="258">
        <v>0</v>
      </c>
      <c r="E10" s="258">
        <v>0</v>
      </c>
      <c r="F10" s="258">
        <v>0</v>
      </c>
      <c r="G10" s="258">
        <v>0</v>
      </c>
      <c r="H10" s="258">
        <v>0</v>
      </c>
      <c r="I10" s="258">
        <v>0</v>
      </c>
      <c r="J10" s="258">
        <v>0</v>
      </c>
      <c r="K10" s="258">
        <v>0</v>
      </c>
      <c r="L10" s="258">
        <v>0</v>
      </c>
      <c r="M10" s="258">
        <v>0</v>
      </c>
      <c r="N10" s="258">
        <v>0</v>
      </c>
    </row>
    <row r="11" spans="1:15" ht="12.75" customHeight="1">
      <c r="A11" s="81" t="s">
        <v>23</v>
      </c>
      <c r="B11" s="653">
        <f t="shared" si="0"/>
        <v>0</v>
      </c>
      <c r="C11" s="258">
        <v>0</v>
      </c>
      <c r="D11" s="258">
        <v>0</v>
      </c>
      <c r="E11" s="258">
        <v>0</v>
      </c>
      <c r="F11" s="258">
        <v>0</v>
      </c>
      <c r="G11" s="258">
        <v>0</v>
      </c>
      <c r="H11" s="258">
        <v>0</v>
      </c>
      <c r="I11" s="258">
        <v>0</v>
      </c>
      <c r="J11" s="258">
        <v>0</v>
      </c>
      <c r="K11" s="258">
        <v>0</v>
      </c>
      <c r="L11" s="258">
        <v>0</v>
      </c>
      <c r="M11" s="258">
        <v>0</v>
      </c>
      <c r="N11" s="258">
        <v>0</v>
      </c>
    </row>
    <row r="12" spans="1:15" ht="12.75" customHeight="1">
      <c r="A12" s="73" t="s">
        <v>24</v>
      </c>
      <c r="B12" s="653">
        <f t="shared" si="0"/>
        <v>1322.8553296089385</v>
      </c>
      <c r="C12" s="258">
        <v>25</v>
      </c>
      <c r="D12" s="258">
        <v>0</v>
      </c>
      <c r="E12" s="258">
        <v>0</v>
      </c>
      <c r="F12" s="258">
        <v>87</v>
      </c>
      <c r="G12" s="258">
        <v>282</v>
      </c>
      <c r="H12" s="258">
        <v>183</v>
      </c>
      <c r="I12" s="258">
        <v>287.27932960893855</v>
      </c>
      <c r="J12" s="258">
        <v>204.42400000000001</v>
      </c>
      <c r="K12" s="258">
        <v>97.152000000000001</v>
      </c>
      <c r="L12" s="258">
        <v>30</v>
      </c>
      <c r="M12" s="258">
        <v>38</v>
      </c>
      <c r="N12" s="258">
        <v>89</v>
      </c>
    </row>
    <row r="13" spans="1:15" ht="12.75" customHeight="1">
      <c r="A13" s="73" t="s">
        <v>25</v>
      </c>
      <c r="B13" s="653">
        <f t="shared" si="0"/>
        <v>0</v>
      </c>
      <c r="C13" s="258">
        <v>0</v>
      </c>
      <c r="D13" s="258">
        <v>0</v>
      </c>
      <c r="E13" s="258">
        <v>0</v>
      </c>
      <c r="F13" s="258">
        <v>0</v>
      </c>
      <c r="G13" s="258">
        <v>0</v>
      </c>
      <c r="H13" s="258">
        <v>0</v>
      </c>
      <c r="I13" s="258">
        <v>0</v>
      </c>
      <c r="J13" s="258">
        <v>0</v>
      </c>
      <c r="K13" s="258">
        <v>0</v>
      </c>
      <c r="L13" s="258">
        <v>0</v>
      </c>
      <c r="M13" s="258">
        <v>0</v>
      </c>
      <c r="N13" s="258">
        <v>0</v>
      </c>
    </row>
    <row r="14" spans="1:15" ht="12.75" customHeight="1">
      <c r="A14" s="105" t="s">
        <v>97</v>
      </c>
      <c r="B14" s="653">
        <f t="shared" si="0"/>
        <v>0</v>
      </c>
      <c r="C14" s="258">
        <v>0</v>
      </c>
      <c r="D14" s="258">
        <v>0</v>
      </c>
      <c r="E14" s="258">
        <v>0</v>
      </c>
      <c r="F14" s="258">
        <v>0</v>
      </c>
      <c r="G14" s="258">
        <v>0</v>
      </c>
      <c r="H14" s="258">
        <v>0</v>
      </c>
      <c r="I14" s="258">
        <v>0</v>
      </c>
      <c r="J14" s="258">
        <v>0</v>
      </c>
      <c r="K14" s="258">
        <v>0</v>
      </c>
      <c r="L14" s="258">
        <v>0</v>
      </c>
      <c r="M14" s="258">
        <v>0</v>
      </c>
      <c r="N14" s="258">
        <v>0</v>
      </c>
    </row>
    <row r="15" spans="1:15" ht="12.75" customHeight="1">
      <c r="A15" s="105" t="s">
        <v>98</v>
      </c>
      <c r="B15" s="653">
        <f t="shared" si="0"/>
        <v>0</v>
      </c>
      <c r="C15" s="258">
        <v>0</v>
      </c>
      <c r="D15" s="258">
        <v>0</v>
      </c>
      <c r="E15" s="258">
        <v>0</v>
      </c>
      <c r="F15" s="258">
        <v>0</v>
      </c>
      <c r="G15" s="258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</row>
    <row r="16" spans="1:15" ht="12.75" customHeight="1">
      <c r="A16" s="105" t="s">
        <v>99</v>
      </c>
      <c r="B16" s="653">
        <f t="shared" si="0"/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</row>
    <row r="17" spans="1:14" ht="12.75" customHeight="1">
      <c r="A17" s="81" t="s">
        <v>29</v>
      </c>
      <c r="B17" s="653">
        <f t="shared" si="0"/>
        <v>0</v>
      </c>
      <c r="C17" s="258">
        <v>0</v>
      </c>
      <c r="D17" s="258">
        <v>0</v>
      </c>
      <c r="E17" s="258">
        <v>0</v>
      </c>
      <c r="F17" s="258">
        <v>0</v>
      </c>
      <c r="G17" s="258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</row>
    <row r="18" spans="1:14" ht="12.75" customHeight="1">
      <c r="A18" s="73" t="s">
        <v>30</v>
      </c>
      <c r="B18" s="653">
        <f t="shared" si="0"/>
        <v>479</v>
      </c>
      <c r="C18" s="258">
        <v>41</v>
      </c>
      <c r="D18" s="258">
        <v>43</v>
      </c>
      <c r="E18" s="258">
        <v>38</v>
      </c>
      <c r="F18" s="258">
        <v>39</v>
      </c>
      <c r="G18" s="258">
        <v>41</v>
      </c>
      <c r="H18" s="258">
        <v>34</v>
      </c>
      <c r="I18" s="258">
        <v>42</v>
      </c>
      <c r="J18" s="258">
        <v>45</v>
      </c>
      <c r="K18" s="258">
        <v>41</v>
      </c>
      <c r="L18" s="258">
        <v>36</v>
      </c>
      <c r="M18" s="258">
        <v>37</v>
      </c>
      <c r="N18" s="258">
        <v>42</v>
      </c>
    </row>
    <row r="19" spans="1:14" ht="12.75" customHeight="1">
      <c r="A19" s="73" t="s">
        <v>31</v>
      </c>
      <c r="B19" s="653">
        <f t="shared" si="0"/>
        <v>2849</v>
      </c>
      <c r="C19" s="258">
        <v>229</v>
      </c>
      <c r="D19" s="258">
        <v>263</v>
      </c>
      <c r="E19" s="258">
        <v>198</v>
      </c>
      <c r="F19" s="258">
        <v>250</v>
      </c>
      <c r="G19" s="258">
        <v>220</v>
      </c>
      <c r="H19" s="258">
        <v>218</v>
      </c>
      <c r="I19" s="258">
        <v>238</v>
      </c>
      <c r="J19" s="258">
        <v>226</v>
      </c>
      <c r="K19" s="258">
        <v>257</v>
      </c>
      <c r="L19" s="258">
        <v>281</v>
      </c>
      <c r="M19" s="258">
        <v>215</v>
      </c>
      <c r="N19" s="258">
        <v>254</v>
      </c>
    </row>
    <row r="20" spans="1:14" ht="12.75" customHeight="1">
      <c r="A20" s="81" t="s">
        <v>32</v>
      </c>
      <c r="B20" s="653">
        <f t="shared" si="0"/>
        <v>0</v>
      </c>
      <c r="C20" s="258">
        <v>0</v>
      </c>
      <c r="D20" s="258">
        <v>0</v>
      </c>
      <c r="E20" s="258">
        <v>0</v>
      </c>
      <c r="F20" s="258">
        <v>0</v>
      </c>
      <c r="G20" s="258">
        <v>0</v>
      </c>
      <c r="H20" s="258">
        <v>0</v>
      </c>
      <c r="I20" s="258">
        <v>0</v>
      </c>
      <c r="J20" s="258">
        <v>0</v>
      </c>
      <c r="K20" s="258">
        <v>0</v>
      </c>
      <c r="L20" s="258">
        <v>0</v>
      </c>
      <c r="M20" s="258">
        <v>0</v>
      </c>
      <c r="N20" s="258">
        <v>0</v>
      </c>
    </row>
    <row r="21" spans="1:14" ht="12.75" customHeight="1">
      <c r="A21" s="81" t="s">
        <v>33</v>
      </c>
      <c r="B21" s="653">
        <f t="shared" si="0"/>
        <v>1665</v>
      </c>
      <c r="C21" s="258">
        <v>135</v>
      </c>
      <c r="D21" s="258">
        <v>125</v>
      </c>
      <c r="E21" s="258">
        <v>123</v>
      </c>
      <c r="F21" s="258">
        <v>114</v>
      </c>
      <c r="G21" s="258">
        <v>151</v>
      </c>
      <c r="H21" s="258">
        <v>134</v>
      </c>
      <c r="I21" s="258">
        <v>168</v>
      </c>
      <c r="J21" s="258">
        <v>161</v>
      </c>
      <c r="K21" s="258">
        <v>137</v>
      </c>
      <c r="L21" s="258">
        <v>129</v>
      </c>
      <c r="M21" s="258">
        <v>152</v>
      </c>
      <c r="N21" s="258">
        <v>136</v>
      </c>
    </row>
    <row r="22" spans="1:14" ht="12.75" customHeight="1">
      <c r="A22" s="81" t="s">
        <v>34</v>
      </c>
      <c r="B22" s="653">
        <f t="shared" si="0"/>
        <v>17941</v>
      </c>
      <c r="C22" s="258">
        <v>918</v>
      </c>
      <c r="D22" s="258">
        <v>1023</v>
      </c>
      <c r="E22" s="258">
        <v>1330</v>
      </c>
      <c r="F22" s="258">
        <v>1579</v>
      </c>
      <c r="G22" s="258">
        <v>1787</v>
      </c>
      <c r="H22" s="258">
        <v>1990</v>
      </c>
      <c r="I22" s="258">
        <v>2229</v>
      </c>
      <c r="J22" s="258">
        <v>1523</v>
      </c>
      <c r="K22" s="258">
        <v>1019</v>
      </c>
      <c r="L22" s="258">
        <v>923</v>
      </c>
      <c r="M22" s="258">
        <v>1479</v>
      </c>
      <c r="N22" s="258">
        <v>2141</v>
      </c>
    </row>
    <row r="23" spans="1:14" ht="12.75" customHeight="1">
      <c r="A23" s="81" t="s">
        <v>35</v>
      </c>
      <c r="B23" s="653">
        <f t="shared" si="0"/>
        <v>14265</v>
      </c>
      <c r="C23" s="258">
        <v>1136</v>
      </c>
      <c r="D23" s="258">
        <v>1106</v>
      </c>
      <c r="E23" s="258">
        <v>1080</v>
      </c>
      <c r="F23" s="258">
        <v>1098</v>
      </c>
      <c r="G23" s="258">
        <v>1165</v>
      </c>
      <c r="H23" s="258">
        <v>1238</v>
      </c>
      <c r="I23" s="258">
        <v>1246</v>
      </c>
      <c r="J23" s="258">
        <v>1229</v>
      </c>
      <c r="K23" s="258">
        <v>1247</v>
      </c>
      <c r="L23" s="258">
        <v>1155</v>
      </c>
      <c r="M23" s="258">
        <v>1230</v>
      </c>
      <c r="N23" s="258">
        <v>1335</v>
      </c>
    </row>
    <row r="24" spans="1:14" ht="12.75" customHeight="1">
      <c r="A24" s="81" t="s">
        <v>36</v>
      </c>
      <c r="B24" s="653">
        <f t="shared" si="0"/>
        <v>19986</v>
      </c>
      <c r="C24" s="258">
        <v>1760</v>
      </c>
      <c r="D24" s="258">
        <v>1682</v>
      </c>
      <c r="E24" s="258">
        <v>1697</v>
      </c>
      <c r="F24" s="258">
        <v>1587</v>
      </c>
      <c r="G24" s="258">
        <v>1840</v>
      </c>
      <c r="H24" s="258">
        <v>1894</v>
      </c>
      <c r="I24" s="258">
        <v>1567</v>
      </c>
      <c r="J24" s="258">
        <v>1608</v>
      </c>
      <c r="K24" s="258">
        <v>1698</v>
      </c>
      <c r="L24" s="258">
        <v>1562</v>
      </c>
      <c r="M24" s="258">
        <v>1502</v>
      </c>
      <c r="N24" s="258">
        <v>1589</v>
      </c>
    </row>
    <row r="25" spans="1:14" ht="12.75" customHeight="1">
      <c r="A25" s="73" t="s">
        <v>37</v>
      </c>
      <c r="B25" s="653">
        <f t="shared" si="0"/>
        <v>45975</v>
      </c>
      <c r="C25" s="258">
        <v>3666</v>
      </c>
      <c r="D25" s="258">
        <v>3962</v>
      </c>
      <c r="E25" s="258">
        <v>4026</v>
      </c>
      <c r="F25" s="258">
        <v>3603</v>
      </c>
      <c r="G25" s="258">
        <v>3475</v>
      </c>
      <c r="H25" s="258">
        <v>3598</v>
      </c>
      <c r="I25" s="258">
        <v>3618</v>
      </c>
      <c r="J25" s="258">
        <v>3668</v>
      </c>
      <c r="K25" s="258">
        <v>3763</v>
      </c>
      <c r="L25" s="258">
        <v>4055</v>
      </c>
      <c r="M25" s="258">
        <v>4178</v>
      </c>
      <c r="N25" s="258">
        <v>4363</v>
      </c>
    </row>
    <row r="26" spans="1:14" ht="12.75" customHeight="1">
      <c r="A26" s="81" t="s">
        <v>38</v>
      </c>
      <c r="B26" s="653">
        <f t="shared" si="0"/>
        <v>4667</v>
      </c>
      <c r="C26" s="258">
        <v>328</v>
      </c>
      <c r="D26" s="258">
        <v>369</v>
      </c>
      <c r="E26" s="258">
        <v>324</v>
      </c>
      <c r="F26" s="258">
        <v>315</v>
      </c>
      <c r="G26" s="258">
        <v>406</v>
      </c>
      <c r="H26" s="258">
        <v>402</v>
      </c>
      <c r="I26" s="258">
        <v>432</v>
      </c>
      <c r="J26" s="258">
        <v>403</v>
      </c>
      <c r="K26" s="258">
        <v>422</v>
      </c>
      <c r="L26" s="258">
        <v>416</v>
      </c>
      <c r="M26" s="258">
        <v>367</v>
      </c>
      <c r="N26" s="258">
        <v>483</v>
      </c>
    </row>
    <row r="27" spans="1:14" ht="12.75" customHeight="1">
      <c r="A27" s="81" t="s">
        <v>39</v>
      </c>
      <c r="B27" s="653">
        <f t="shared" si="0"/>
        <v>8763</v>
      </c>
      <c r="C27" s="258">
        <v>634</v>
      </c>
      <c r="D27" s="258">
        <v>616</v>
      </c>
      <c r="E27" s="258">
        <v>549</v>
      </c>
      <c r="F27" s="258">
        <v>640</v>
      </c>
      <c r="G27" s="258">
        <v>714</v>
      </c>
      <c r="H27" s="258">
        <v>841</v>
      </c>
      <c r="I27" s="258">
        <v>893</v>
      </c>
      <c r="J27" s="258">
        <v>885</v>
      </c>
      <c r="K27" s="258">
        <v>804</v>
      </c>
      <c r="L27" s="258">
        <v>681</v>
      </c>
      <c r="M27" s="258">
        <v>725</v>
      </c>
      <c r="N27" s="258">
        <v>781</v>
      </c>
    </row>
    <row r="28" spans="1:14" ht="12.75" customHeight="1">
      <c r="A28" s="81" t="s">
        <v>40</v>
      </c>
      <c r="B28" s="653">
        <f t="shared" si="0"/>
        <v>33353.059000000001</v>
      </c>
      <c r="C28" s="258">
        <v>2512</v>
      </c>
      <c r="D28" s="258">
        <v>2718</v>
      </c>
      <c r="E28" s="258">
        <v>2779</v>
      </c>
      <c r="F28" s="258">
        <v>3075</v>
      </c>
      <c r="G28" s="258">
        <v>3058</v>
      </c>
      <c r="H28" s="258">
        <v>3203.0590000000002</v>
      </c>
      <c r="I28" s="258">
        <v>2912</v>
      </c>
      <c r="J28" s="258">
        <v>2801</v>
      </c>
      <c r="K28" s="258">
        <v>2384</v>
      </c>
      <c r="L28" s="258">
        <v>2214</v>
      </c>
      <c r="M28" s="258">
        <v>2638</v>
      </c>
      <c r="N28" s="258">
        <v>3059</v>
      </c>
    </row>
    <row r="29" spans="1:14" ht="12.75" customHeight="1">
      <c r="A29" s="73" t="s">
        <v>41</v>
      </c>
      <c r="B29" s="653">
        <f t="shared" si="0"/>
        <v>20060</v>
      </c>
      <c r="C29" s="258">
        <v>1937</v>
      </c>
      <c r="D29" s="258">
        <v>1953</v>
      </c>
      <c r="E29" s="258">
        <v>1922</v>
      </c>
      <c r="F29" s="258">
        <v>1770</v>
      </c>
      <c r="G29" s="258">
        <v>1618</v>
      </c>
      <c r="H29" s="258">
        <v>1629</v>
      </c>
      <c r="I29" s="258">
        <v>1624</v>
      </c>
      <c r="J29" s="258">
        <v>1682</v>
      </c>
      <c r="K29" s="258">
        <v>1514</v>
      </c>
      <c r="L29" s="258">
        <v>1471</v>
      </c>
      <c r="M29" s="258">
        <v>1386</v>
      </c>
      <c r="N29" s="258">
        <v>1554</v>
      </c>
    </row>
    <row r="30" spans="1:14" ht="12.75" customHeight="1">
      <c r="A30" s="105" t="s">
        <v>100</v>
      </c>
      <c r="B30" s="653">
        <f t="shared" si="0"/>
        <v>13583</v>
      </c>
      <c r="C30" s="258">
        <v>1197</v>
      </c>
      <c r="D30" s="258">
        <v>1289</v>
      </c>
      <c r="E30" s="258">
        <v>1310</v>
      </c>
      <c r="F30" s="258">
        <v>1150</v>
      </c>
      <c r="G30" s="258">
        <v>1069</v>
      </c>
      <c r="H30" s="258">
        <v>1088</v>
      </c>
      <c r="I30" s="258">
        <v>1027</v>
      </c>
      <c r="J30" s="258">
        <v>1098</v>
      </c>
      <c r="K30" s="258">
        <v>998</v>
      </c>
      <c r="L30" s="258">
        <v>973</v>
      </c>
      <c r="M30" s="258">
        <v>1097</v>
      </c>
      <c r="N30" s="258">
        <v>1287</v>
      </c>
    </row>
    <row r="31" spans="1:14" ht="12.75" customHeight="1">
      <c r="A31" s="105" t="s">
        <v>101</v>
      </c>
      <c r="B31" s="653">
        <f t="shared" si="0"/>
        <v>6477</v>
      </c>
      <c r="C31" s="258">
        <v>740</v>
      </c>
      <c r="D31" s="258">
        <v>664</v>
      </c>
      <c r="E31" s="258">
        <v>612</v>
      </c>
      <c r="F31" s="258">
        <v>620</v>
      </c>
      <c r="G31" s="258">
        <v>549</v>
      </c>
      <c r="H31" s="258">
        <v>541</v>
      </c>
      <c r="I31" s="258">
        <v>597</v>
      </c>
      <c r="J31" s="258">
        <v>584</v>
      </c>
      <c r="K31" s="258">
        <v>516</v>
      </c>
      <c r="L31" s="258">
        <v>498</v>
      </c>
      <c r="M31" s="258">
        <v>289</v>
      </c>
      <c r="N31" s="258">
        <v>267</v>
      </c>
    </row>
    <row r="32" spans="1:14" ht="12.75" customHeight="1">
      <c r="A32" s="81" t="s">
        <v>44</v>
      </c>
      <c r="B32" s="653">
        <f t="shared" si="0"/>
        <v>95074</v>
      </c>
      <c r="C32" s="258">
        <v>6604</v>
      </c>
      <c r="D32" s="258">
        <v>7465</v>
      </c>
      <c r="E32" s="258">
        <v>7959</v>
      </c>
      <c r="F32" s="258">
        <v>8534</v>
      </c>
      <c r="G32" s="258">
        <v>9148</v>
      </c>
      <c r="H32" s="258">
        <v>9559</v>
      </c>
      <c r="I32" s="258">
        <v>9024</v>
      </c>
      <c r="J32" s="258">
        <v>8569</v>
      </c>
      <c r="K32" s="258">
        <v>8141</v>
      </c>
      <c r="L32" s="258">
        <v>7384</v>
      </c>
      <c r="M32" s="258">
        <v>6665</v>
      </c>
      <c r="N32" s="258">
        <v>6022</v>
      </c>
    </row>
    <row r="33" spans="1:14" ht="12.75" customHeight="1">
      <c r="A33" s="81" t="s">
        <v>45</v>
      </c>
      <c r="B33" s="653">
        <f t="shared" si="0"/>
        <v>209810</v>
      </c>
      <c r="C33" s="258">
        <v>12215</v>
      </c>
      <c r="D33" s="258">
        <v>16575</v>
      </c>
      <c r="E33" s="258">
        <v>18235</v>
      </c>
      <c r="F33" s="258">
        <v>24650</v>
      </c>
      <c r="G33" s="258">
        <v>23070</v>
      </c>
      <c r="H33" s="258">
        <v>21975</v>
      </c>
      <c r="I33" s="258">
        <v>21445</v>
      </c>
      <c r="J33" s="258">
        <v>18875</v>
      </c>
      <c r="K33" s="258">
        <v>15670</v>
      </c>
      <c r="L33" s="258">
        <v>14240</v>
      </c>
      <c r="M33" s="258">
        <v>13490</v>
      </c>
      <c r="N33" s="258">
        <v>9370</v>
      </c>
    </row>
    <row r="34" spans="1:14" ht="12.75" customHeight="1">
      <c r="A34" s="73" t="s">
        <v>46</v>
      </c>
      <c r="B34" s="653">
        <f t="shared" si="0"/>
        <v>0</v>
      </c>
      <c r="C34" s="258">
        <v>0</v>
      </c>
      <c r="D34" s="258">
        <v>0</v>
      </c>
      <c r="E34" s="258">
        <v>0</v>
      </c>
      <c r="F34" s="258">
        <v>0</v>
      </c>
      <c r="G34" s="258">
        <v>0</v>
      </c>
      <c r="H34" s="258">
        <v>0</v>
      </c>
      <c r="I34" s="258">
        <v>0</v>
      </c>
      <c r="J34" s="258">
        <v>0</v>
      </c>
      <c r="K34" s="258">
        <v>0</v>
      </c>
      <c r="L34" s="258">
        <v>0</v>
      </c>
      <c r="M34" s="258">
        <v>0</v>
      </c>
      <c r="N34" s="258">
        <v>0</v>
      </c>
    </row>
    <row r="35" spans="1:14" ht="12.75" customHeight="1">
      <c r="A35" s="73" t="s">
        <v>47</v>
      </c>
      <c r="B35" s="653">
        <f t="shared" si="0"/>
        <v>0</v>
      </c>
      <c r="C35" s="258">
        <v>0</v>
      </c>
      <c r="D35" s="258">
        <v>0</v>
      </c>
      <c r="E35" s="258">
        <v>0</v>
      </c>
      <c r="F35" s="258">
        <v>0</v>
      </c>
      <c r="G35" s="258">
        <v>0</v>
      </c>
      <c r="H35" s="258">
        <v>0</v>
      </c>
      <c r="I35" s="258">
        <v>0</v>
      </c>
      <c r="J35" s="258">
        <v>0</v>
      </c>
      <c r="K35" s="258">
        <v>0</v>
      </c>
      <c r="L35" s="258">
        <v>0</v>
      </c>
      <c r="M35" s="258">
        <v>0</v>
      </c>
      <c r="N35" s="258">
        <v>0</v>
      </c>
    </row>
    <row r="36" spans="1:14" ht="12.75" customHeight="1">
      <c r="A36" s="73" t="s">
        <v>48</v>
      </c>
      <c r="B36" s="653">
        <f t="shared" si="0"/>
        <v>0</v>
      </c>
      <c r="C36" s="258">
        <v>0</v>
      </c>
      <c r="D36" s="258">
        <v>0</v>
      </c>
      <c r="E36" s="258">
        <v>0</v>
      </c>
      <c r="F36" s="258">
        <v>0</v>
      </c>
      <c r="G36" s="258">
        <v>0</v>
      </c>
      <c r="H36" s="258">
        <v>0</v>
      </c>
      <c r="I36" s="258">
        <v>0</v>
      </c>
      <c r="J36" s="258">
        <v>0</v>
      </c>
      <c r="K36" s="258">
        <v>0</v>
      </c>
      <c r="L36" s="258">
        <v>0</v>
      </c>
      <c r="M36" s="258">
        <v>0</v>
      </c>
      <c r="N36" s="258">
        <v>0</v>
      </c>
    </row>
    <row r="37" spans="1:14" ht="12.75" customHeight="1" thickBot="1">
      <c r="A37" s="154" t="s">
        <v>49</v>
      </c>
      <c r="B37" s="654">
        <f t="shared" si="0"/>
        <v>0</v>
      </c>
      <c r="C37" s="259">
        <v>0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</row>
    <row r="38" spans="1:14" ht="9" customHeight="1">
      <c r="A38" s="778" t="s">
        <v>402</v>
      </c>
      <c r="B38" s="794"/>
      <c r="C38" s="794"/>
      <c r="D38" s="794"/>
      <c r="E38" s="794"/>
      <c r="F38" s="188"/>
      <c r="G38" s="77"/>
      <c r="H38" s="77"/>
      <c r="I38" s="77"/>
      <c r="J38" s="77"/>
      <c r="K38" s="77"/>
      <c r="L38" s="77"/>
      <c r="M38" s="77"/>
      <c r="N38" s="77"/>
    </row>
    <row r="39" spans="1:14" ht="9" customHeight="1">
      <c r="A39" s="778" t="s">
        <v>359</v>
      </c>
      <c r="B39" s="794"/>
      <c r="C39" s="794"/>
      <c r="D39" s="794"/>
      <c r="E39" s="794"/>
      <c r="F39" s="188"/>
      <c r="G39" s="77"/>
      <c r="H39" s="77"/>
      <c r="I39" s="77"/>
      <c r="J39" s="77"/>
      <c r="K39" s="77"/>
      <c r="L39" s="77"/>
      <c r="M39" s="77"/>
      <c r="N39" s="77"/>
    </row>
    <row r="40" spans="1:14" ht="9" customHeight="1">
      <c r="A40" s="780" t="s">
        <v>358</v>
      </c>
      <c r="B40" s="794"/>
      <c r="C40" s="794"/>
      <c r="D40" s="794"/>
      <c r="E40" s="794"/>
      <c r="F40" s="188"/>
      <c r="G40" s="77"/>
      <c r="H40" s="77"/>
      <c r="I40" s="77"/>
      <c r="J40" s="77"/>
      <c r="K40" s="77"/>
      <c r="L40" s="77"/>
      <c r="M40" s="77"/>
      <c r="N40" s="77"/>
    </row>
    <row r="41" spans="1:14" ht="13.25" customHeight="1">
      <c r="A41" s="11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7">
    <tabColor theme="9" tint="0.59999389629810485"/>
  </sheetPr>
  <dimension ref="A4:Z46"/>
  <sheetViews>
    <sheetView showGridLines="0" topLeftCell="A3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73" customWidth="1"/>
    <col min="2" max="2" width="9.19921875" style="73" customWidth="1"/>
    <col min="3" max="14" width="9" style="73" customWidth="1"/>
    <col min="15" max="16384" width="7" style="73"/>
  </cols>
  <sheetData>
    <row r="4" spans="1:15" ht="13.25" customHeight="1">
      <c r="A4" s="250" t="s">
        <v>539</v>
      </c>
      <c r="B4" s="246"/>
    </row>
    <row r="5" spans="1:15" ht="13.25" customHeight="1">
      <c r="A5" s="253" t="s">
        <v>236</v>
      </c>
      <c r="B5" s="246"/>
    </row>
    <row r="6" spans="1:15" ht="4" customHeight="1" thickBot="1"/>
    <row r="7" spans="1:15" ht="15" customHeight="1">
      <c r="A7" s="568" t="s">
        <v>18</v>
      </c>
      <c r="B7" s="599" t="s">
        <v>106</v>
      </c>
      <c r="C7" s="568" t="s">
        <v>55</v>
      </c>
      <c r="D7" s="568" t="s">
        <v>56</v>
      </c>
      <c r="E7" s="568" t="s">
        <v>57</v>
      </c>
      <c r="F7" s="568" t="s">
        <v>58</v>
      </c>
      <c r="G7" s="568" t="s">
        <v>59</v>
      </c>
      <c r="H7" s="568" t="s">
        <v>60</v>
      </c>
      <c r="I7" s="568" t="s">
        <v>61</v>
      </c>
      <c r="J7" s="568" t="s">
        <v>62</v>
      </c>
      <c r="K7" s="568" t="s">
        <v>63</v>
      </c>
      <c r="L7" s="568" t="s">
        <v>64</v>
      </c>
      <c r="M7" s="568" t="s">
        <v>65</v>
      </c>
      <c r="N7" s="568" t="s">
        <v>66</v>
      </c>
      <c r="O7" s="159"/>
    </row>
    <row r="8" spans="1:15" ht="15" customHeight="1">
      <c r="A8" s="615" t="s">
        <v>96</v>
      </c>
      <c r="B8" s="617">
        <f t="shared" ref="B8:B37" si="0">SUM(C8:N8)</f>
        <v>12753.268121958756</v>
      </c>
      <c r="C8" s="617">
        <f t="shared" ref="C8:N8" si="1">(C9+C10+C11+C12+C13+C17+C18+C19+C20+C21+C22+C23+C24+C25+C26+C27+C28+C29+C32+C33+C34+C35+C36+C37)</f>
        <v>848.46729949999997</v>
      </c>
      <c r="D8" s="617">
        <f t="shared" si="1"/>
        <v>1014.9</v>
      </c>
      <c r="E8" s="617">
        <f t="shared" si="1"/>
        <v>1088.3000000000002</v>
      </c>
      <c r="F8" s="617">
        <f t="shared" si="1"/>
        <v>1296.592756</v>
      </c>
      <c r="G8" s="617">
        <f t="shared" si="1"/>
        <v>1285.6660645000002</v>
      </c>
      <c r="H8" s="617">
        <f t="shared" si="1"/>
        <v>1277.2190015000001</v>
      </c>
      <c r="I8" s="617">
        <f t="shared" si="1"/>
        <v>1235.2516728887538</v>
      </c>
      <c r="J8" s="617">
        <f t="shared" si="1"/>
        <v>1120.1294999799998</v>
      </c>
      <c r="K8" s="617">
        <f t="shared" si="1"/>
        <v>984.90237874000002</v>
      </c>
      <c r="L8" s="617">
        <f t="shared" si="1"/>
        <v>911.93254795000007</v>
      </c>
      <c r="M8" s="617">
        <f t="shared" si="1"/>
        <v>891.33848390000003</v>
      </c>
      <c r="N8" s="617">
        <f t="shared" si="1"/>
        <v>798.56841699999995</v>
      </c>
    </row>
    <row r="9" spans="1:15" ht="12.75" customHeight="1">
      <c r="A9" s="81" t="s">
        <v>21</v>
      </c>
      <c r="B9" s="651">
        <f t="shared" si="0"/>
        <v>0</v>
      </c>
      <c r="C9" s="262">
        <v>0</v>
      </c>
      <c r="D9" s="262">
        <v>0</v>
      </c>
      <c r="E9" s="262">
        <v>0</v>
      </c>
      <c r="F9" s="262">
        <v>0</v>
      </c>
      <c r="G9" s="262">
        <v>0</v>
      </c>
      <c r="H9" s="262">
        <v>0</v>
      </c>
      <c r="I9" s="262">
        <v>0</v>
      </c>
      <c r="J9" s="262">
        <v>0</v>
      </c>
      <c r="K9" s="262">
        <v>0</v>
      </c>
      <c r="L9" s="262">
        <v>0</v>
      </c>
      <c r="M9" s="262">
        <v>0</v>
      </c>
      <c r="N9" s="262">
        <v>0</v>
      </c>
    </row>
    <row r="10" spans="1:15" ht="12.75" customHeight="1">
      <c r="A10" s="81" t="s">
        <v>22</v>
      </c>
      <c r="B10" s="651">
        <f t="shared" si="0"/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</row>
    <row r="11" spans="1:15" ht="12.75" customHeight="1">
      <c r="A11" s="81" t="s">
        <v>23</v>
      </c>
      <c r="B11" s="651">
        <f t="shared" si="0"/>
        <v>0</v>
      </c>
      <c r="C11" s="262">
        <v>0</v>
      </c>
      <c r="D11" s="262">
        <v>0</v>
      </c>
      <c r="E11" s="262">
        <v>0</v>
      </c>
      <c r="F11" s="262">
        <v>0</v>
      </c>
      <c r="G11" s="262">
        <v>0</v>
      </c>
      <c r="H11" s="262">
        <v>0</v>
      </c>
      <c r="I11" s="262">
        <v>0</v>
      </c>
      <c r="J11" s="262">
        <v>0</v>
      </c>
      <c r="K11" s="262">
        <v>0</v>
      </c>
      <c r="L11" s="262">
        <v>0</v>
      </c>
      <c r="M11" s="262">
        <v>0</v>
      </c>
      <c r="N11" s="262">
        <v>0</v>
      </c>
    </row>
    <row r="12" spans="1:15" ht="12.75" customHeight="1">
      <c r="A12" s="73" t="s">
        <v>24</v>
      </c>
      <c r="B12" s="651">
        <f t="shared" si="0"/>
        <v>41.368121958753768</v>
      </c>
      <c r="C12" s="262">
        <v>0.76729949999999991</v>
      </c>
      <c r="D12" s="262">
        <v>0</v>
      </c>
      <c r="E12" s="262">
        <v>0</v>
      </c>
      <c r="F12" s="262">
        <v>2.5927560000000005</v>
      </c>
      <c r="G12" s="262">
        <v>8.1660645000000009</v>
      </c>
      <c r="H12" s="262">
        <v>5.6190015000000004</v>
      </c>
      <c r="I12" s="262">
        <v>9.1516728887537653</v>
      </c>
      <c r="J12" s="262">
        <v>6.729499979999999</v>
      </c>
      <c r="K12" s="262">
        <v>3.2023787399999999</v>
      </c>
      <c r="L12" s="262">
        <v>1.0325479500000001</v>
      </c>
      <c r="M12" s="262">
        <v>1.2384839000000001</v>
      </c>
      <c r="N12" s="262">
        <v>2.8684170000000004</v>
      </c>
    </row>
    <row r="13" spans="1:15" ht="12.75" customHeight="1">
      <c r="A13" s="73" t="s">
        <v>25</v>
      </c>
      <c r="B13" s="651">
        <f t="shared" si="0"/>
        <v>0</v>
      </c>
      <c r="C13" s="262">
        <v>0</v>
      </c>
      <c r="D13" s="262">
        <v>0</v>
      </c>
      <c r="E13" s="262">
        <v>0</v>
      </c>
      <c r="F13" s="262">
        <v>0</v>
      </c>
      <c r="G13" s="262">
        <v>0</v>
      </c>
      <c r="H13" s="262">
        <v>0</v>
      </c>
      <c r="I13" s="262">
        <v>0</v>
      </c>
      <c r="J13" s="262">
        <v>0</v>
      </c>
      <c r="K13" s="262">
        <v>0</v>
      </c>
      <c r="L13" s="262">
        <v>0</v>
      </c>
      <c r="M13" s="262">
        <v>0</v>
      </c>
      <c r="N13" s="262">
        <v>0</v>
      </c>
    </row>
    <row r="14" spans="1:15" ht="12.75" customHeight="1">
      <c r="A14" s="105" t="s">
        <v>97</v>
      </c>
      <c r="B14" s="651">
        <f t="shared" si="0"/>
        <v>0</v>
      </c>
      <c r="C14" s="262">
        <v>0</v>
      </c>
      <c r="D14" s="262">
        <v>0</v>
      </c>
      <c r="E14" s="262">
        <v>0</v>
      </c>
      <c r="F14" s="262">
        <v>0</v>
      </c>
      <c r="G14" s="262">
        <v>0</v>
      </c>
      <c r="H14" s="262">
        <v>0</v>
      </c>
      <c r="I14" s="262">
        <v>0</v>
      </c>
      <c r="J14" s="262">
        <v>0</v>
      </c>
      <c r="K14" s="262">
        <v>0</v>
      </c>
      <c r="L14" s="262">
        <v>0</v>
      </c>
      <c r="M14" s="262">
        <v>0</v>
      </c>
      <c r="N14" s="262">
        <v>0</v>
      </c>
    </row>
    <row r="15" spans="1:15" ht="12.75" customHeight="1">
      <c r="A15" s="105" t="s">
        <v>98</v>
      </c>
      <c r="B15" s="651">
        <f t="shared" si="0"/>
        <v>0</v>
      </c>
      <c r="C15" s="262">
        <v>0</v>
      </c>
      <c r="D15" s="262">
        <v>0</v>
      </c>
      <c r="E15" s="262">
        <v>0</v>
      </c>
      <c r="F15" s="262">
        <v>0</v>
      </c>
      <c r="G15" s="262">
        <v>0</v>
      </c>
      <c r="H15" s="262">
        <v>0</v>
      </c>
      <c r="I15" s="262">
        <v>0</v>
      </c>
      <c r="J15" s="262">
        <v>0</v>
      </c>
      <c r="K15" s="262">
        <v>0</v>
      </c>
      <c r="L15" s="262">
        <v>0</v>
      </c>
      <c r="M15" s="262">
        <v>0</v>
      </c>
      <c r="N15" s="262">
        <v>0</v>
      </c>
    </row>
    <row r="16" spans="1:15" ht="12.75" customHeight="1">
      <c r="A16" s="105" t="s">
        <v>99</v>
      </c>
      <c r="B16" s="651">
        <f t="shared" si="0"/>
        <v>0</v>
      </c>
      <c r="C16" s="262">
        <v>0</v>
      </c>
      <c r="D16" s="262">
        <v>0</v>
      </c>
      <c r="E16" s="262">
        <v>0</v>
      </c>
      <c r="F16" s="262">
        <v>0</v>
      </c>
      <c r="G16" s="262">
        <v>0</v>
      </c>
      <c r="H16" s="262">
        <v>0</v>
      </c>
      <c r="I16" s="262">
        <v>0</v>
      </c>
      <c r="J16" s="262">
        <v>0</v>
      </c>
      <c r="K16" s="262">
        <v>0</v>
      </c>
      <c r="L16" s="262">
        <v>0</v>
      </c>
      <c r="M16" s="262">
        <v>0</v>
      </c>
      <c r="N16" s="262">
        <v>0</v>
      </c>
    </row>
    <row r="17" spans="1:26" ht="12.75" customHeight="1">
      <c r="A17" s="81" t="s">
        <v>29</v>
      </c>
      <c r="B17" s="651">
        <f t="shared" si="0"/>
        <v>0</v>
      </c>
      <c r="C17" s="262">
        <v>0</v>
      </c>
      <c r="D17" s="262">
        <v>0</v>
      </c>
      <c r="E17" s="262">
        <v>0</v>
      </c>
      <c r="F17" s="262">
        <v>0</v>
      </c>
      <c r="G17" s="262">
        <v>0</v>
      </c>
      <c r="H17" s="262">
        <v>0</v>
      </c>
      <c r="I17" s="262">
        <v>0</v>
      </c>
      <c r="J17" s="262">
        <v>0</v>
      </c>
      <c r="K17" s="262">
        <v>0</v>
      </c>
      <c r="L17" s="262">
        <v>0</v>
      </c>
      <c r="M17" s="262">
        <v>0</v>
      </c>
      <c r="N17" s="262">
        <v>0</v>
      </c>
    </row>
    <row r="18" spans="1:26" ht="12.75" customHeight="1">
      <c r="A18" s="73" t="s">
        <v>30</v>
      </c>
      <c r="B18" s="651">
        <f t="shared" si="0"/>
        <v>12.2</v>
      </c>
      <c r="C18" s="262">
        <v>1</v>
      </c>
      <c r="D18" s="262">
        <v>1.1000000000000001</v>
      </c>
      <c r="E18" s="467">
        <v>1</v>
      </c>
      <c r="F18" s="262">
        <v>0.9</v>
      </c>
      <c r="G18" s="262">
        <v>0.9</v>
      </c>
      <c r="H18" s="262">
        <v>0.9</v>
      </c>
      <c r="I18" s="262">
        <v>1</v>
      </c>
      <c r="J18" s="262">
        <v>1.2</v>
      </c>
      <c r="K18" s="262">
        <v>1.2</v>
      </c>
      <c r="L18" s="262">
        <v>1</v>
      </c>
      <c r="M18" s="262">
        <v>1</v>
      </c>
      <c r="N18" s="262">
        <v>1</v>
      </c>
      <c r="O18" s="427"/>
      <c r="P18" s="427"/>
      <c r="Q18" s="427"/>
      <c r="R18" s="427"/>
      <c r="S18" s="427"/>
      <c r="T18" s="427"/>
      <c r="U18" s="427"/>
      <c r="V18" s="427"/>
      <c r="W18" s="427"/>
      <c r="X18" s="427"/>
      <c r="Y18" s="427"/>
      <c r="Z18" s="427"/>
    </row>
    <row r="19" spans="1:26" ht="12.75" customHeight="1">
      <c r="A19" s="73" t="s">
        <v>31</v>
      </c>
      <c r="B19" s="651">
        <f t="shared" si="0"/>
        <v>79.400000000000006</v>
      </c>
      <c r="C19" s="262">
        <v>6.4</v>
      </c>
      <c r="D19" s="262">
        <v>6.9</v>
      </c>
      <c r="E19" s="262">
        <v>5.0999999999999996</v>
      </c>
      <c r="F19" s="262">
        <v>7.1</v>
      </c>
      <c r="G19" s="262">
        <v>6.3</v>
      </c>
      <c r="H19" s="262">
        <v>6.7</v>
      </c>
      <c r="I19" s="262">
        <v>7.1</v>
      </c>
      <c r="J19" s="262">
        <v>7</v>
      </c>
      <c r="K19" s="262">
        <v>7.6</v>
      </c>
      <c r="L19" s="262">
        <v>7.5</v>
      </c>
      <c r="M19" s="262">
        <v>6</v>
      </c>
      <c r="N19" s="262">
        <v>5.7</v>
      </c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</row>
    <row r="20" spans="1:26" ht="12.75" customHeight="1">
      <c r="A20" s="81" t="s">
        <v>32</v>
      </c>
      <c r="B20" s="651">
        <f t="shared" si="0"/>
        <v>0</v>
      </c>
      <c r="C20" s="262">
        <v>0</v>
      </c>
      <c r="D20" s="262">
        <v>0</v>
      </c>
      <c r="E20" s="262">
        <v>0</v>
      </c>
      <c r="F20" s="262">
        <v>0</v>
      </c>
      <c r="G20" s="262">
        <v>0</v>
      </c>
      <c r="H20" s="262">
        <v>0</v>
      </c>
      <c r="I20" s="262">
        <v>0</v>
      </c>
      <c r="J20" s="262">
        <v>0</v>
      </c>
      <c r="K20" s="262">
        <v>0</v>
      </c>
      <c r="L20" s="262">
        <v>0</v>
      </c>
      <c r="M20" s="262">
        <v>0</v>
      </c>
      <c r="N20" s="262">
        <v>0</v>
      </c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</row>
    <row r="21" spans="1:26" ht="12.75" customHeight="1">
      <c r="A21" s="81" t="s">
        <v>33</v>
      </c>
      <c r="B21" s="651">
        <f t="shared" si="0"/>
        <v>41.7</v>
      </c>
      <c r="C21" s="262">
        <v>3.1</v>
      </c>
      <c r="D21" s="262">
        <v>3.1</v>
      </c>
      <c r="E21" s="262">
        <v>3.3</v>
      </c>
      <c r="F21" s="262">
        <v>3.1</v>
      </c>
      <c r="G21" s="262">
        <v>3.5</v>
      </c>
      <c r="H21" s="262">
        <v>3.1</v>
      </c>
      <c r="I21" s="262">
        <v>3.6</v>
      </c>
      <c r="J21" s="262">
        <v>4.3</v>
      </c>
      <c r="K21" s="262">
        <v>3.7</v>
      </c>
      <c r="L21" s="262">
        <v>3.4</v>
      </c>
      <c r="M21" s="262">
        <v>3.8</v>
      </c>
      <c r="N21" s="262">
        <v>3.7</v>
      </c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</row>
    <row r="22" spans="1:26" ht="12.75" customHeight="1">
      <c r="A22" s="81" t="s">
        <v>34</v>
      </c>
      <c r="B22" s="651">
        <f t="shared" si="0"/>
        <v>406.29999999999995</v>
      </c>
      <c r="C22" s="262">
        <v>21.6</v>
      </c>
      <c r="D22" s="262">
        <v>24.1</v>
      </c>
      <c r="E22" s="262">
        <v>31.1</v>
      </c>
      <c r="F22" s="262">
        <v>36.299999999999997</v>
      </c>
      <c r="G22" s="262">
        <v>40.299999999999997</v>
      </c>
      <c r="H22" s="262">
        <v>44.7</v>
      </c>
      <c r="I22" s="262">
        <v>49.1</v>
      </c>
      <c r="J22" s="262">
        <v>34.6</v>
      </c>
      <c r="K22" s="262">
        <v>22.2</v>
      </c>
      <c r="L22" s="262">
        <v>21.9</v>
      </c>
      <c r="M22" s="262">
        <v>32.9</v>
      </c>
      <c r="N22" s="262">
        <v>47.5</v>
      </c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</row>
    <row r="23" spans="1:26" ht="12.75" customHeight="1">
      <c r="A23" s="81" t="s">
        <v>35</v>
      </c>
      <c r="B23" s="651">
        <f t="shared" si="0"/>
        <v>319.10000000000002</v>
      </c>
      <c r="C23" s="262">
        <v>25.4</v>
      </c>
      <c r="D23" s="262">
        <v>24.9</v>
      </c>
      <c r="E23" s="262">
        <v>24.1</v>
      </c>
      <c r="F23" s="262">
        <v>24.7</v>
      </c>
      <c r="G23" s="262">
        <v>26.2</v>
      </c>
      <c r="H23" s="262">
        <v>27.8</v>
      </c>
      <c r="I23" s="262">
        <v>28</v>
      </c>
      <c r="J23" s="262">
        <v>27.7</v>
      </c>
      <c r="K23" s="262">
        <v>27.3</v>
      </c>
      <c r="L23" s="262">
        <v>26</v>
      </c>
      <c r="M23" s="262">
        <v>27.7</v>
      </c>
      <c r="N23" s="262">
        <v>29.3</v>
      </c>
      <c r="O23" s="427"/>
      <c r="P23" s="427"/>
      <c r="Q23" s="427"/>
      <c r="R23" s="427"/>
      <c r="S23" s="427"/>
      <c r="T23" s="427"/>
      <c r="U23" s="427"/>
      <c r="V23" s="427"/>
      <c r="W23" s="427"/>
      <c r="X23" s="427"/>
      <c r="Y23" s="427"/>
      <c r="Z23" s="427"/>
    </row>
    <row r="24" spans="1:26" ht="12.75" customHeight="1">
      <c r="A24" s="81" t="s">
        <v>36</v>
      </c>
      <c r="B24" s="651">
        <f t="shared" si="0"/>
        <v>514.19999999999993</v>
      </c>
      <c r="C24" s="262">
        <v>41.7</v>
      </c>
      <c r="D24" s="262">
        <v>39.4</v>
      </c>
      <c r="E24" s="262">
        <v>39.9</v>
      </c>
      <c r="F24" s="262">
        <v>38.4</v>
      </c>
      <c r="G24" s="262">
        <v>48.3</v>
      </c>
      <c r="H24" s="262">
        <v>49.4</v>
      </c>
      <c r="I24" s="262">
        <v>40.9</v>
      </c>
      <c r="J24" s="262">
        <v>43.3</v>
      </c>
      <c r="K24" s="262">
        <v>46.6</v>
      </c>
      <c r="L24" s="262">
        <v>42.6</v>
      </c>
      <c r="M24" s="262">
        <v>41.4</v>
      </c>
      <c r="N24" s="262">
        <v>42.3</v>
      </c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</row>
    <row r="25" spans="1:26" ht="12.75" customHeight="1">
      <c r="A25" s="73" t="s">
        <v>37</v>
      </c>
      <c r="B25" s="651">
        <f t="shared" si="0"/>
        <v>1127.8000000000002</v>
      </c>
      <c r="C25" s="262">
        <v>89.7</v>
      </c>
      <c r="D25" s="262">
        <v>95.2</v>
      </c>
      <c r="E25" s="262">
        <v>98.7</v>
      </c>
      <c r="F25" s="262">
        <v>90</v>
      </c>
      <c r="G25" s="262">
        <v>86.9</v>
      </c>
      <c r="H25" s="262">
        <v>90</v>
      </c>
      <c r="I25" s="262">
        <v>90.5</v>
      </c>
      <c r="J25" s="262">
        <v>91</v>
      </c>
      <c r="K25" s="262">
        <v>92.5</v>
      </c>
      <c r="L25" s="262">
        <v>98.7</v>
      </c>
      <c r="M25" s="262">
        <v>100.2</v>
      </c>
      <c r="N25" s="262">
        <v>104.4</v>
      </c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</row>
    <row r="26" spans="1:26" ht="12.75" customHeight="1">
      <c r="A26" s="81" t="s">
        <v>38</v>
      </c>
      <c r="B26" s="651">
        <f t="shared" si="0"/>
        <v>134.9</v>
      </c>
      <c r="C26" s="262">
        <v>8.8000000000000007</v>
      </c>
      <c r="D26" s="262">
        <v>10.4</v>
      </c>
      <c r="E26" s="262">
        <v>10</v>
      </c>
      <c r="F26" s="262">
        <v>9.6</v>
      </c>
      <c r="G26" s="262">
        <v>11.3</v>
      </c>
      <c r="H26" s="262">
        <v>10.1</v>
      </c>
      <c r="I26" s="262">
        <v>11.3</v>
      </c>
      <c r="J26" s="262">
        <v>11.5</v>
      </c>
      <c r="K26" s="262">
        <v>12.5</v>
      </c>
      <c r="L26" s="262">
        <v>13</v>
      </c>
      <c r="M26" s="262">
        <v>11.1</v>
      </c>
      <c r="N26" s="262">
        <v>15.3</v>
      </c>
      <c r="O26" s="427"/>
      <c r="P26" s="427"/>
      <c r="Q26" s="427"/>
      <c r="R26" s="427"/>
      <c r="S26" s="427"/>
      <c r="T26" s="427"/>
      <c r="U26" s="427"/>
      <c r="V26" s="427"/>
      <c r="W26" s="427"/>
      <c r="X26" s="427"/>
      <c r="Y26" s="427"/>
      <c r="Z26" s="427"/>
    </row>
    <row r="27" spans="1:26" ht="12.75" customHeight="1">
      <c r="A27" s="81" t="s">
        <v>39</v>
      </c>
      <c r="B27" s="651">
        <f t="shared" si="0"/>
        <v>247.60000000000002</v>
      </c>
      <c r="C27" s="262">
        <v>18.2</v>
      </c>
      <c r="D27" s="262">
        <v>17.899999999999999</v>
      </c>
      <c r="E27" s="262">
        <v>15.9</v>
      </c>
      <c r="F27" s="262">
        <v>18.5</v>
      </c>
      <c r="G27" s="262">
        <v>20.3</v>
      </c>
      <c r="H27" s="262">
        <v>24.1</v>
      </c>
      <c r="I27" s="262">
        <v>25.4</v>
      </c>
      <c r="J27" s="262">
        <v>22.2</v>
      </c>
      <c r="K27" s="262">
        <v>23</v>
      </c>
      <c r="L27" s="262">
        <v>19.3</v>
      </c>
      <c r="M27" s="262">
        <v>20.399999999999999</v>
      </c>
      <c r="N27" s="262">
        <v>22.4</v>
      </c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</row>
    <row r="28" spans="1:26" ht="12.75" customHeight="1">
      <c r="A28" s="81" t="s">
        <v>40</v>
      </c>
      <c r="B28" s="651">
        <f t="shared" si="0"/>
        <v>864.20000000000016</v>
      </c>
      <c r="C28" s="262">
        <v>67.7</v>
      </c>
      <c r="D28" s="262">
        <v>71.900000000000006</v>
      </c>
      <c r="E28" s="262">
        <v>70.5</v>
      </c>
      <c r="F28" s="262">
        <v>82.6</v>
      </c>
      <c r="G28" s="262">
        <v>82.8</v>
      </c>
      <c r="H28" s="262">
        <v>84.7</v>
      </c>
      <c r="I28" s="262">
        <v>75.599999999999994</v>
      </c>
      <c r="J28" s="262">
        <v>73.7</v>
      </c>
      <c r="K28" s="262">
        <v>61.6</v>
      </c>
      <c r="L28" s="262">
        <v>56.4</v>
      </c>
      <c r="M28" s="262">
        <v>66.599999999999994</v>
      </c>
      <c r="N28" s="262">
        <v>70.099999999999994</v>
      </c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</row>
    <row r="29" spans="1:26" ht="12.75" customHeight="1">
      <c r="A29" s="73" t="s">
        <v>41</v>
      </c>
      <c r="B29" s="651">
        <f t="shared" si="0"/>
        <v>525.4</v>
      </c>
      <c r="C29" s="262">
        <v>45.3</v>
      </c>
      <c r="D29" s="262">
        <v>48.4</v>
      </c>
      <c r="E29" s="262">
        <v>48.8</v>
      </c>
      <c r="F29" s="262">
        <v>44.7</v>
      </c>
      <c r="G29" s="262">
        <v>43</v>
      </c>
      <c r="H29" s="262">
        <v>43</v>
      </c>
      <c r="I29" s="262">
        <v>43.5</v>
      </c>
      <c r="J29" s="262">
        <v>44.3</v>
      </c>
      <c r="K29" s="262">
        <v>42</v>
      </c>
      <c r="L29" s="262">
        <v>41.1</v>
      </c>
      <c r="M29" s="262">
        <v>40.4</v>
      </c>
      <c r="N29" s="262">
        <v>40.9</v>
      </c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</row>
    <row r="30" spans="1:26" ht="12.75" customHeight="1">
      <c r="A30" s="105" t="s">
        <v>100</v>
      </c>
      <c r="B30" s="651">
        <f t="shared" si="0"/>
        <v>357.40000000000003</v>
      </c>
      <c r="C30" s="262">
        <v>28</v>
      </c>
      <c r="D30" s="262">
        <v>32</v>
      </c>
      <c r="E30" s="262">
        <v>32.299999999999997</v>
      </c>
      <c r="F30" s="262">
        <v>29</v>
      </c>
      <c r="G30" s="262">
        <v>28.4</v>
      </c>
      <c r="H30" s="262">
        <v>28.6</v>
      </c>
      <c r="I30" s="262">
        <v>28.4</v>
      </c>
      <c r="J30" s="262">
        <v>29.4</v>
      </c>
      <c r="K30" s="262">
        <v>27.6</v>
      </c>
      <c r="L30" s="262">
        <v>27.1</v>
      </c>
      <c r="M30" s="262">
        <v>32.299999999999997</v>
      </c>
      <c r="N30" s="262">
        <v>34.299999999999997</v>
      </c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</row>
    <row r="31" spans="1:26" ht="12.75" customHeight="1">
      <c r="A31" s="105" t="s">
        <v>101</v>
      </c>
      <c r="B31" s="651">
        <f t="shared" si="0"/>
        <v>168</v>
      </c>
      <c r="C31" s="262">
        <v>17.3</v>
      </c>
      <c r="D31" s="262">
        <v>16.3</v>
      </c>
      <c r="E31" s="262">
        <v>16.5</v>
      </c>
      <c r="F31" s="262">
        <v>15.7</v>
      </c>
      <c r="G31" s="262">
        <v>14.7</v>
      </c>
      <c r="H31" s="262">
        <v>14.4</v>
      </c>
      <c r="I31" s="262">
        <v>15.2</v>
      </c>
      <c r="J31" s="262">
        <v>15</v>
      </c>
      <c r="K31" s="262">
        <v>14.4</v>
      </c>
      <c r="L31" s="262">
        <v>13.9</v>
      </c>
      <c r="M31" s="262">
        <v>8</v>
      </c>
      <c r="N31" s="262">
        <v>6.6</v>
      </c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</row>
    <row r="32" spans="1:26" ht="12.75" customHeight="1">
      <c r="A32" s="81" t="s">
        <v>44</v>
      </c>
      <c r="B32" s="651">
        <f t="shared" si="0"/>
        <v>2566.1</v>
      </c>
      <c r="C32" s="262">
        <v>176.9</v>
      </c>
      <c r="D32" s="262">
        <v>201.7</v>
      </c>
      <c r="E32" s="262">
        <v>216.3</v>
      </c>
      <c r="F32" s="262">
        <v>232.3</v>
      </c>
      <c r="G32" s="262">
        <v>249</v>
      </c>
      <c r="H32" s="262">
        <v>260.10000000000002</v>
      </c>
      <c r="I32" s="262">
        <v>244.8</v>
      </c>
      <c r="J32" s="262">
        <v>230.7</v>
      </c>
      <c r="K32" s="262">
        <v>218.6</v>
      </c>
      <c r="L32" s="262">
        <v>197</v>
      </c>
      <c r="M32" s="262">
        <v>178.1</v>
      </c>
      <c r="N32" s="262">
        <v>160.6</v>
      </c>
      <c r="O32" s="427"/>
      <c r="P32" s="427"/>
      <c r="Q32" s="427"/>
      <c r="R32" s="427"/>
      <c r="S32" s="427"/>
      <c r="T32" s="427"/>
      <c r="U32" s="427"/>
      <c r="V32" s="427"/>
      <c r="W32" s="427"/>
      <c r="X32" s="427"/>
      <c r="Y32" s="427"/>
      <c r="Z32" s="427"/>
    </row>
    <row r="33" spans="1:26" ht="12.75" customHeight="1">
      <c r="A33" s="81" t="s">
        <v>45</v>
      </c>
      <c r="B33" s="651">
        <f t="shared" si="0"/>
        <v>5872.9999999999991</v>
      </c>
      <c r="C33" s="262">
        <v>341.9</v>
      </c>
      <c r="D33" s="262">
        <v>469.9</v>
      </c>
      <c r="E33" s="262">
        <v>523.6</v>
      </c>
      <c r="F33" s="262">
        <v>705.8</v>
      </c>
      <c r="G33" s="262">
        <v>658.7</v>
      </c>
      <c r="H33" s="262">
        <v>627</v>
      </c>
      <c r="I33" s="262">
        <v>605.29999999999995</v>
      </c>
      <c r="J33" s="262">
        <v>521.9</v>
      </c>
      <c r="K33" s="262">
        <v>422.9</v>
      </c>
      <c r="L33" s="262">
        <v>383</v>
      </c>
      <c r="M33" s="262">
        <v>360.5</v>
      </c>
      <c r="N33" s="262">
        <v>252.5</v>
      </c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</row>
    <row r="34" spans="1:26" ht="12.75" customHeight="1">
      <c r="A34" s="73" t="s">
        <v>46</v>
      </c>
      <c r="B34" s="651">
        <f t="shared" si="0"/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</row>
    <row r="35" spans="1:26" ht="12.75" customHeight="1">
      <c r="A35" s="73" t="s">
        <v>47</v>
      </c>
      <c r="B35" s="651">
        <f t="shared" si="0"/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</row>
    <row r="36" spans="1:26" ht="12.75" customHeight="1">
      <c r="A36" s="73" t="s">
        <v>48</v>
      </c>
      <c r="B36" s="651">
        <f t="shared" si="0"/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</row>
    <row r="37" spans="1:26" ht="12.75" customHeight="1" thickBot="1">
      <c r="A37" s="154" t="s">
        <v>49</v>
      </c>
      <c r="B37" s="652">
        <f t="shared" si="0"/>
        <v>0</v>
      </c>
      <c r="C37" s="263">
        <v>0</v>
      </c>
      <c r="D37" s="263">
        <v>0</v>
      </c>
      <c r="E37" s="263">
        <v>0</v>
      </c>
      <c r="F37" s="263">
        <v>0</v>
      </c>
      <c r="G37" s="263">
        <v>0</v>
      </c>
      <c r="H37" s="263">
        <v>0</v>
      </c>
      <c r="I37" s="263">
        <v>0</v>
      </c>
      <c r="J37" s="263">
        <v>0</v>
      </c>
      <c r="K37" s="263">
        <v>0</v>
      </c>
      <c r="L37" s="263">
        <v>0</v>
      </c>
      <c r="M37" s="263">
        <v>0</v>
      </c>
      <c r="N37" s="263">
        <v>0</v>
      </c>
    </row>
    <row r="38" spans="1:26" ht="9" customHeight="1">
      <c r="A38" s="778" t="s">
        <v>402</v>
      </c>
      <c r="B38" s="794"/>
      <c r="C38" s="794"/>
      <c r="D38" s="794"/>
      <c r="E38" s="794"/>
      <c r="F38" s="188"/>
      <c r="G38" s="77"/>
      <c r="H38" s="77"/>
      <c r="I38" s="77"/>
      <c r="J38" s="77"/>
      <c r="K38" s="77"/>
      <c r="L38" s="77"/>
      <c r="M38" s="77"/>
      <c r="N38" s="77"/>
    </row>
    <row r="39" spans="1:26" ht="9" customHeight="1">
      <c r="A39" s="778" t="s">
        <v>359</v>
      </c>
      <c r="B39" s="794"/>
      <c r="C39" s="794"/>
      <c r="D39" s="794"/>
      <c r="E39" s="794"/>
      <c r="F39" s="188"/>
      <c r="G39" s="77"/>
      <c r="H39" s="77"/>
      <c r="I39" s="77"/>
      <c r="J39" s="77"/>
      <c r="K39" s="77"/>
      <c r="L39" s="77"/>
      <c r="M39" s="77"/>
      <c r="N39" s="77"/>
    </row>
    <row r="40" spans="1:26" ht="9" customHeight="1">
      <c r="A40" s="780" t="s">
        <v>358</v>
      </c>
      <c r="B40" s="794"/>
      <c r="C40" s="794"/>
      <c r="D40" s="794"/>
      <c r="E40" s="794"/>
      <c r="F40" s="188"/>
      <c r="G40" s="77"/>
      <c r="H40" s="77"/>
      <c r="I40" s="77"/>
      <c r="J40" s="77"/>
      <c r="K40" s="77"/>
      <c r="L40" s="77"/>
      <c r="M40" s="77"/>
      <c r="N40" s="77"/>
    </row>
    <row r="41" spans="1:26" ht="13.25" customHeight="1">
      <c r="A41" s="11"/>
    </row>
    <row r="44" spans="1:26" ht="13.25" customHeight="1">
      <c r="A44" s="24"/>
    </row>
    <row r="45" spans="1:26" ht="13.25" customHeight="1">
      <c r="A45" s="33"/>
    </row>
    <row r="46" spans="1:26" ht="13.25" customHeight="1">
      <c r="A46" s="24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68">
    <tabColor theme="9" tint="0.59999389629810485"/>
  </sheetPr>
  <dimension ref="A4:N46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73" customWidth="1"/>
    <col min="2" max="2" width="9.19921875" style="73" customWidth="1"/>
    <col min="3" max="14" width="9" style="73" customWidth="1"/>
    <col min="15" max="16384" width="7" style="73"/>
  </cols>
  <sheetData>
    <row r="4" spans="1:14" ht="13.25" customHeight="1">
      <c r="A4" s="250" t="s">
        <v>540</v>
      </c>
      <c r="B4" s="246"/>
    </row>
    <row r="5" spans="1:14" ht="13.25" customHeight="1">
      <c r="A5" s="252" t="s">
        <v>466</v>
      </c>
      <c r="B5" s="245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4" customHeight="1" thickBo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</row>
    <row r="7" spans="1:14" ht="15" customHeight="1">
      <c r="A7" s="568" t="s">
        <v>18</v>
      </c>
      <c r="B7" s="599" t="s">
        <v>106</v>
      </c>
      <c r="C7" s="568" t="s">
        <v>55</v>
      </c>
      <c r="D7" s="568" t="s">
        <v>56</v>
      </c>
      <c r="E7" s="568" t="s">
        <v>57</v>
      </c>
      <c r="F7" s="568" t="s">
        <v>58</v>
      </c>
      <c r="G7" s="568" t="s">
        <v>59</v>
      </c>
      <c r="H7" s="568" t="s">
        <v>60</v>
      </c>
      <c r="I7" s="568" t="s">
        <v>61</v>
      </c>
      <c r="J7" s="568" t="s">
        <v>62</v>
      </c>
      <c r="K7" s="568" t="s">
        <v>63</v>
      </c>
      <c r="L7" s="568" t="s">
        <v>64</v>
      </c>
      <c r="M7" s="568" t="s">
        <v>65</v>
      </c>
      <c r="N7" s="568" t="s">
        <v>66</v>
      </c>
    </row>
    <row r="8" spans="1:14" ht="15" customHeight="1">
      <c r="A8" s="615" t="s">
        <v>96</v>
      </c>
      <c r="B8" s="616">
        <f>('C-66'!B8/'C-65'!B8)*1000</f>
        <v>26.780769862618975</v>
      </c>
      <c r="C8" s="616">
        <f>('C-66'!C8/'C-65'!C8)*1000</f>
        <v>26.399107016179215</v>
      </c>
      <c r="D8" s="616">
        <f>('C-66'!D8/'C-65'!D8)*1000</f>
        <v>26.778364116094988</v>
      </c>
      <c r="E8" s="616">
        <f>('C-66'!E8/'C-65'!E8)*1000</f>
        <v>27.03179334326876</v>
      </c>
      <c r="F8" s="616">
        <f>('C-66'!F8/'C-65'!F8)*1000</f>
        <v>27.38836856002197</v>
      </c>
      <c r="G8" s="616">
        <f>('C-66'!G8/'C-65'!G8)*1000</f>
        <v>27.369155178286327</v>
      </c>
      <c r="H8" s="616">
        <f>('C-66'!H8/'C-65'!H8)*1000</f>
        <v>27.233941632850946</v>
      </c>
      <c r="I8" s="616">
        <f>('C-66'!I8/'C-65'!I8)*1000</f>
        <v>27.014633721195864</v>
      </c>
      <c r="J8" s="616">
        <f>('C-66'!J8/'C-65'!J8)*1000</f>
        <v>26.746535481958865</v>
      </c>
      <c r="K8" s="616">
        <f>('C-66'!K8/'C-65'!K8)*1000</f>
        <v>26.48003317134371</v>
      </c>
      <c r="L8" s="616">
        <f>('C-66'!L8/'C-65'!L8)*1000</f>
        <v>26.373963847355178</v>
      </c>
      <c r="M8" s="616">
        <f>('C-66'!M8/'C-65'!M8)*1000</f>
        <v>26.137425485308782</v>
      </c>
      <c r="N8" s="616">
        <f>('C-66'!N8/'C-65'!N8)*1000</f>
        <v>25.580383656864626</v>
      </c>
    </row>
    <row r="9" spans="1:14" ht="12.75" customHeight="1">
      <c r="A9" s="81" t="s">
        <v>21</v>
      </c>
      <c r="B9" s="649">
        <v>0</v>
      </c>
      <c r="C9" s="266">
        <v>0</v>
      </c>
      <c r="D9" s="266">
        <v>0</v>
      </c>
      <c r="E9" s="266">
        <v>0</v>
      </c>
      <c r="F9" s="266">
        <v>0</v>
      </c>
      <c r="G9" s="266">
        <v>0</v>
      </c>
      <c r="H9" s="266">
        <v>0</v>
      </c>
      <c r="I9" s="266">
        <v>0</v>
      </c>
      <c r="J9" s="266">
        <v>0</v>
      </c>
      <c r="K9" s="266">
        <v>0</v>
      </c>
      <c r="L9" s="266">
        <v>0</v>
      </c>
      <c r="M9" s="266">
        <v>0</v>
      </c>
      <c r="N9" s="266">
        <v>0</v>
      </c>
    </row>
    <row r="10" spans="1:14" ht="12.75" customHeight="1">
      <c r="A10" s="81" t="s">
        <v>22</v>
      </c>
      <c r="B10" s="649">
        <v>0</v>
      </c>
      <c r="C10" s="266">
        <v>0</v>
      </c>
      <c r="D10" s="266">
        <v>0</v>
      </c>
      <c r="E10" s="266">
        <v>0</v>
      </c>
      <c r="F10" s="266">
        <v>0</v>
      </c>
      <c r="G10" s="266">
        <v>0</v>
      </c>
      <c r="H10" s="266">
        <v>0</v>
      </c>
      <c r="I10" s="266">
        <v>0</v>
      </c>
      <c r="J10" s="266">
        <v>0</v>
      </c>
      <c r="K10" s="266">
        <v>0</v>
      </c>
      <c r="L10" s="266">
        <v>0</v>
      </c>
      <c r="M10" s="266">
        <v>0</v>
      </c>
      <c r="N10" s="266">
        <v>0</v>
      </c>
    </row>
    <row r="11" spans="1:14" ht="12.75" customHeight="1">
      <c r="A11" s="81" t="s">
        <v>23</v>
      </c>
      <c r="B11" s="649">
        <v>0</v>
      </c>
      <c r="C11" s="266">
        <v>0</v>
      </c>
      <c r="D11" s="266">
        <v>0</v>
      </c>
      <c r="E11" s="266">
        <v>0</v>
      </c>
      <c r="F11" s="266">
        <v>0</v>
      </c>
      <c r="G11" s="266">
        <v>0</v>
      </c>
      <c r="H11" s="266">
        <v>0</v>
      </c>
      <c r="I11" s="266">
        <v>0</v>
      </c>
      <c r="J11" s="266">
        <v>0</v>
      </c>
      <c r="K11" s="266">
        <v>0</v>
      </c>
      <c r="L11" s="266">
        <v>0</v>
      </c>
      <c r="M11" s="266">
        <v>0</v>
      </c>
      <c r="N11" s="266">
        <v>0</v>
      </c>
    </row>
    <row r="12" spans="1:14" ht="12.75" customHeight="1">
      <c r="A12" s="73" t="s">
        <v>24</v>
      </c>
      <c r="B12" s="649">
        <f>('C-66'!B12/'C-65'!B12)*1000</f>
        <v>31.271841321441389</v>
      </c>
      <c r="C12" s="266">
        <f>('C-66'!C12/'C-65'!C12)*1000</f>
        <v>30.691979999999997</v>
      </c>
      <c r="D12" s="266">
        <v>0</v>
      </c>
      <c r="E12" s="266">
        <v>0</v>
      </c>
      <c r="F12" s="266">
        <f>('C-66'!F12/'C-65'!F12)*1000</f>
        <v>29.801793103448283</v>
      </c>
      <c r="G12" s="266">
        <f>('C-66'!G12/'C-65'!G12)*1000</f>
        <v>28.957675531914898</v>
      </c>
      <c r="H12" s="266">
        <f>('C-66'!H12/'C-65'!H12)*1000</f>
        <v>30.704926229508196</v>
      </c>
      <c r="I12" s="266">
        <f>('C-66'!I12/'C-65'!I12)*1000</f>
        <v>31.856357020923006</v>
      </c>
      <c r="J12" s="266">
        <f>('C-66'!J12/'C-65'!J12)*1000</f>
        <v>32.91932444331389</v>
      </c>
      <c r="K12" s="266">
        <f>('C-66'!K12/'C-65'!K12)*1000</f>
        <v>32.962561141304342</v>
      </c>
      <c r="L12" s="266">
        <f>('C-66'!L12/'C-65'!L12)*1000</f>
        <v>34.418265000000005</v>
      </c>
      <c r="M12" s="266">
        <f>('C-66'!M12/'C-65'!M12)*1000</f>
        <v>32.591681578947373</v>
      </c>
      <c r="N12" s="266">
        <f>('C-66'!N12/'C-65'!N12)*1000</f>
        <v>32.229404494382024</v>
      </c>
    </row>
    <row r="13" spans="1:14" ht="12.75" customHeight="1">
      <c r="A13" s="73" t="s">
        <v>25</v>
      </c>
      <c r="B13" s="649">
        <v>0</v>
      </c>
      <c r="C13" s="266">
        <v>0</v>
      </c>
      <c r="D13" s="266">
        <v>0</v>
      </c>
      <c r="E13" s="266">
        <v>0</v>
      </c>
      <c r="F13" s="266">
        <v>0</v>
      </c>
      <c r="G13" s="266">
        <v>0</v>
      </c>
      <c r="H13" s="266">
        <v>0</v>
      </c>
      <c r="I13" s="266">
        <v>0</v>
      </c>
      <c r="J13" s="266">
        <v>0</v>
      </c>
      <c r="K13" s="266">
        <v>0</v>
      </c>
      <c r="L13" s="266">
        <v>0</v>
      </c>
      <c r="M13" s="266">
        <v>0</v>
      </c>
      <c r="N13" s="266">
        <v>0</v>
      </c>
    </row>
    <row r="14" spans="1:14" ht="12.75" customHeight="1">
      <c r="A14" s="105" t="s">
        <v>97</v>
      </c>
      <c r="B14" s="649">
        <v>0</v>
      </c>
      <c r="C14" s="266">
        <v>0</v>
      </c>
      <c r="D14" s="266">
        <v>0</v>
      </c>
      <c r="E14" s="266">
        <v>0</v>
      </c>
      <c r="F14" s="266">
        <v>0</v>
      </c>
      <c r="G14" s="266">
        <v>0</v>
      </c>
      <c r="H14" s="266">
        <v>0</v>
      </c>
      <c r="I14" s="266">
        <v>0</v>
      </c>
      <c r="J14" s="266">
        <v>0</v>
      </c>
      <c r="K14" s="266">
        <v>0</v>
      </c>
      <c r="L14" s="266">
        <v>0</v>
      </c>
      <c r="M14" s="266">
        <v>0</v>
      </c>
      <c r="N14" s="266">
        <v>0</v>
      </c>
    </row>
    <row r="15" spans="1:14" ht="12.75" customHeight="1">
      <c r="A15" s="105" t="s">
        <v>98</v>
      </c>
      <c r="B15" s="649">
        <v>0</v>
      </c>
      <c r="C15" s="266">
        <v>0</v>
      </c>
      <c r="D15" s="266">
        <v>0</v>
      </c>
      <c r="E15" s="266">
        <v>0</v>
      </c>
      <c r="F15" s="266">
        <v>0</v>
      </c>
      <c r="G15" s="266">
        <v>0</v>
      </c>
      <c r="H15" s="266">
        <v>0</v>
      </c>
      <c r="I15" s="266">
        <v>0</v>
      </c>
      <c r="J15" s="266">
        <v>0</v>
      </c>
      <c r="K15" s="266">
        <v>0</v>
      </c>
      <c r="L15" s="266">
        <v>0</v>
      </c>
      <c r="M15" s="266">
        <v>0</v>
      </c>
      <c r="N15" s="266">
        <v>0</v>
      </c>
    </row>
    <row r="16" spans="1:14" ht="12.75" customHeight="1">
      <c r="A16" s="105" t="s">
        <v>99</v>
      </c>
      <c r="B16" s="649">
        <v>0</v>
      </c>
      <c r="C16" s="266">
        <v>0</v>
      </c>
      <c r="D16" s="266">
        <v>0</v>
      </c>
      <c r="E16" s="266">
        <v>0</v>
      </c>
      <c r="F16" s="266">
        <v>0</v>
      </c>
      <c r="G16" s="266">
        <v>0</v>
      </c>
      <c r="H16" s="266">
        <v>0</v>
      </c>
      <c r="I16" s="266">
        <v>0</v>
      </c>
      <c r="J16" s="266">
        <v>0</v>
      </c>
      <c r="K16" s="266">
        <v>0</v>
      </c>
      <c r="L16" s="266">
        <v>0</v>
      </c>
      <c r="M16" s="266">
        <v>0</v>
      </c>
      <c r="N16" s="266">
        <v>0</v>
      </c>
    </row>
    <row r="17" spans="1:14" ht="12.75" customHeight="1">
      <c r="A17" s="81" t="s">
        <v>29</v>
      </c>
      <c r="B17" s="649">
        <v>0</v>
      </c>
      <c r="C17" s="266">
        <v>0</v>
      </c>
      <c r="D17" s="266">
        <v>0</v>
      </c>
      <c r="E17" s="266">
        <v>0</v>
      </c>
      <c r="F17" s="266">
        <v>0</v>
      </c>
      <c r="G17" s="266">
        <v>0</v>
      </c>
      <c r="H17" s="266">
        <v>0</v>
      </c>
      <c r="I17" s="266">
        <v>0</v>
      </c>
      <c r="J17" s="266">
        <v>0</v>
      </c>
      <c r="K17" s="266">
        <v>0</v>
      </c>
      <c r="L17" s="266">
        <v>0</v>
      </c>
      <c r="M17" s="266">
        <v>0</v>
      </c>
      <c r="N17" s="266">
        <v>0</v>
      </c>
    </row>
    <row r="18" spans="1:14" ht="12.75" customHeight="1">
      <c r="A18" s="73" t="s">
        <v>30</v>
      </c>
      <c r="B18" s="649">
        <f>('C-66'!B18/'C-65'!B18)*1000</f>
        <v>25.469728601252609</v>
      </c>
      <c r="C18" s="266">
        <f>('C-66'!C18/'C-65'!C18)*1000</f>
        <v>24.390243902439025</v>
      </c>
      <c r="D18" s="266">
        <f>('C-66'!D18/'C-65'!D18)*1000</f>
        <v>25.581395348837212</v>
      </c>
      <c r="E18" s="266">
        <f>('C-66'!E18/'C-65'!E18)*1000</f>
        <v>26.315789473684209</v>
      </c>
      <c r="F18" s="266">
        <f>('C-66'!F18/'C-65'!F18)*1000</f>
        <v>23.076923076923077</v>
      </c>
      <c r="G18" s="266">
        <f>('C-66'!G18/'C-65'!G18)*1000</f>
        <v>21.951219512195124</v>
      </c>
      <c r="H18" s="266">
        <f>('C-66'!H18/'C-65'!H18)*1000</f>
        <v>26.470588235294116</v>
      </c>
      <c r="I18" s="266">
        <f>('C-66'!I18/'C-65'!I18)*1000</f>
        <v>23.809523809523807</v>
      </c>
      <c r="J18" s="266">
        <f>('C-66'!J18/'C-65'!J18)*1000</f>
        <v>26.666666666666664</v>
      </c>
      <c r="K18" s="266">
        <f>('C-66'!K18/'C-65'!K18)*1000</f>
        <v>29.268292682926827</v>
      </c>
      <c r="L18" s="266">
        <f>('C-66'!L18/'C-65'!L18)*1000</f>
        <v>27.777777777777775</v>
      </c>
      <c r="M18" s="266">
        <f>('C-66'!M18/'C-65'!M18)*1000</f>
        <v>27.027027027027028</v>
      </c>
      <c r="N18" s="266">
        <f>('C-66'!N18/'C-65'!N18)*1000</f>
        <v>23.809523809523807</v>
      </c>
    </row>
    <row r="19" spans="1:14" ht="12.75" customHeight="1">
      <c r="A19" s="73" t="s">
        <v>31</v>
      </c>
      <c r="B19" s="649">
        <f>('C-66'!B19/'C-65'!B19)*1000</f>
        <v>27.869427869427874</v>
      </c>
      <c r="C19" s="266">
        <f>('C-66'!C19/'C-65'!C19)*1000</f>
        <v>27.94759825327511</v>
      </c>
      <c r="D19" s="266">
        <f>('C-66'!D19/'C-65'!D19)*1000</f>
        <v>26.235741444866921</v>
      </c>
      <c r="E19" s="266">
        <f>('C-66'!E19/'C-65'!E19)*1000</f>
        <v>25.757575757575758</v>
      </c>
      <c r="F19" s="266">
        <f>('C-66'!F19/'C-65'!F19)*1000</f>
        <v>28.4</v>
      </c>
      <c r="G19" s="266">
        <f>('C-66'!G19/'C-65'!G19)*1000</f>
        <v>28.636363636363637</v>
      </c>
      <c r="H19" s="266">
        <f>('C-66'!H19/'C-65'!H19)*1000</f>
        <v>30.733944954128443</v>
      </c>
      <c r="I19" s="266">
        <f>('C-66'!I19/'C-65'!I19)*1000</f>
        <v>29.831932773109241</v>
      </c>
      <c r="J19" s="266">
        <f>('C-66'!J19/'C-65'!J19)*1000</f>
        <v>30.973451327433629</v>
      </c>
      <c r="K19" s="266">
        <f>('C-66'!K19/'C-65'!K19)*1000</f>
        <v>29.571984435797663</v>
      </c>
      <c r="L19" s="266">
        <f>('C-66'!L19/'C-65'!L19)*1000</f>
        <v>26.690391459074736</v>
      </c>
      <c r="M19" s="266">
        <f>('C-66'!M19/'C-65'!M19)*1000</f>
        <v>27.906976744186046</v>
      </c>
      <c r="N19" s="266">
        <f>('C-66'!N19/'C-65'!N19)*1000</f>
        <v>22.440944881889763</v>
      </c>
    </row>
    <row r="20" spans="1:14" ht="12.75" customHeight="1">
      <c r="A20" s="81" t="s">
        <v>32</v>
      </c>
      <c r="B20" s="649">
        <v>0</v>
      </c>
      <c r="C20" s="266">
        <v>0</v>
      </c>
      <c r="D20" s="266">
        <v>0</v>
      </c>
      <c r="E20" s="266">
        <v>0</v>
      </c>
      <c r="F20" s="266">
        <v>0</v>
      </c>
      <c r="G20" s="266">
        <v>0</v>
      </c>
      <c r="H20" s="266">
        <v>0</v>
      </c>
      <c r="I20" s="266">
        <v>0</v>
      </c>
      <c r="J20" s="266">
        <v>0</v>
      </c>
      <c r="K20" s="266">
        <v>0</v>
      </c>
      <c r="L20" s="266">
        <v>0</v>
      </c>
      <c r="M20" s="266">
        <v>0</v>
      </c>
      <c r="N20" s="266">
        <v>0</v>
      </c>
    </row>
    <row r="21" spans="1:14" ht="12.75" customHeight="1">
      <c r="A21" s="81" t="s">
        <v>33</v>
      </c>
      <c r="B21" s="649">
        <f>('C-66'!B21/'C-65'!B21)*1000</f>
        <v>25.045045045045047</v>
      </c>
      <c r="C21" s="266">
        <f>('C-66'!C21/'C-65'!C21)*1000</f>
        <v>22.962962962962962</v>
      </c>
      <c r="D21" s="266">
        <f>('C-66'!D21/'C-65'!D21)*1000</f>
        <v>24.8</v>
      </c>
      <c r="E21" s="266">
        <f>('C-66'!E21/'C-65'!E21)*1000</f>
        <v>26.829268292682926</v>
      </c>
      <c r="F21" s="266">
        <f>('C-66'!F21/'C-65'!F21)*1000</f>
        <v>27.192982456140353</v>
      </c>
      <c r="G21" s="266">
        <f>('C-66'!G21/'C-65'!G21)*1000</f>
        <v>23.17880794701987</v>
      </c>
      <c r="H21" s="266">
        <f>('C-66'!H21/'C-65'!H21)*1000</f>
        <v>23.134328358208954</v>
      </c>
      <c r="I21" s="266">
        <f>('C-66'!I21/'C-65'!I21)*1000</f>
        <v>21.428571428571427</v>
      </c>
      <c r="J21" s="266">
        <f>('C-66'!J21/'C-65'!J21)*1000</f>
        <v>26.70807453416149</v>
      </c>
      <c r="K21" s="266">
        <f>('C-66'!K21/'C-65'!K21)*1000</f>
        <v>27.007299270072995</v>
      </c>
      <c r="L21" s="266">
        <f>('C-66'!L21/'C-65'!L21)*1000</f>
        <v>26.356589147286822</v>
      </c>
      <c r="M21" s="266">
        <f>('C-66'!M21/'C-65'!M21)*1000</f>
        <v>24.999999999999996</v>
      </c>
      <c r="N21" s="266">
        <f>('C-66'!N21/'C-65'!N21)*1000</f>
        <v>27.205882352941178</v>
      </c>
    </row>
    <row r="22" spans="1:14" ht="12.75" customHeight="1">
      <c r="A22" s="81" t="s">
        <v>34</v>
      </c>
      <c r="B22" s="649">
        <f>('C-66'!B22/'C-65'!B22)*1000</f>
        <v>22.646452260186162</v>
      </c>
      <c r="C22" s="266">
        <f>('C-66'!C22/'C-65'!C22)*1000</f>
        <v>23.529411764705884</v>
      </c>
      <c r="D22" s="266">
        <f>('C-66'!D22/'C-65'!D22)*1000</f>
        <v>23.558162267839688</v>
      </c>
      <c r="E22" s="266">
        <f>('C-66'!E22/'C-65'!E22)*1000</f>
        <v>23.383458646616543</v>
      </c>
      <c r="F22" s="266">
        <f>('C-66'!F22/'C-65'!F22)*1000</f>
        <v>22.989233692210259</v>
      </c>
      <c r="G22" s="266">
        <f>('C-66'!G22/'C-65'!G22)*1000</f>
        <v>22.551762730833801</v>
      </c>
      <c r="H22" s="266">
        <f>('C-66'!H22/'C-65'!H22)*1000</f>
        <v>22.462311557788947</v>
      </c>
      <c r="I22" s="266">
        <f>('C-66'!I22/'C-65'!I22)*1000</f>
        <v>22.02781516375056</v>
      </c>
      <c r="J22" s="266">
        <f>('C-66'!J22/'C-65'!J22)*1000</f>
        <v>22.718319107025607</v>
      </c>
      <c r="K22" s="266">
        <f>('C-66'!K22/'C-65'!K22)*1000</f>
        <v>21.786064769381746</v>
      </c>
      <c r="L22" s="266">
        <f>('C-66'!L22/'C-65'!L22)*1000</f>
        <v>23.726977248104006</v>
      </c>
      <c r="M22" s="266">
        <f>('C-66'!M22/'C-65'!M22)*1000</f>
        <v>22.2447599729547</v>
      </c>
      <c r="N22" s="266">
        <f>('C-66'!N22/'C-65'!N22)*1000</f>
        <v>22.185894441849602</v>
      </c>
    </row>
    <row r="23" spans="1:14" ht="12.75" customHeight="1">
      <c r="A23" s="81" t="s">
        <v>35</v>
      </c>
      <c r="B23" s="649">
        <f>('C-66'!B23/'C-65'!B23)*1000</f>
        <v>22.369435681738523</v>
      </c>
      <c r="C23" s="266">
        <f>('C-66'!C23/'C-65'!C23)*1000</f>
        <v>22.359154929577464</v>
      </c>
      <c r="D23" s="266">
        <f>('C-66'!D23/'C-65'!D23)*1000</f>
        <v>22.513562386980109</v>
      </c>
      <c r="E23" s="266">
        <f>('C-66'!E23/'C-65'!E23)*1000</f>
        <v>22.314814814814817</v>
      </c>
      <c r="F23" s="266">
        <f>('C-66'!F23/'C-65'!F23)*1000</f>
        <v>22.495446265938067</v>
      </c>
      <c r="G23" s="266">
        <f>('C-66'!G23/'C-65'!G23)*1000</f>
        <v>22.489270386266096</v>
      </c>
      <c r="H23" s="266">
        <f>('C-66'!H23/'C-65'!H23)*1000</f>
        <v>22.455573505654282</v>
      </c>
      <c r="I23" s="266">
        <f>('C-66'!I23/'C-65'!I23)*1000</f>
        <v>22.471910112359549</v>
      </c>
      <c r="J23" s="266">
        <f>('C-66'!J23/'C-65'!J23)*1000</f>
        <v>22.538649308380798</v>
      </c>
      <c r="K23" s="266">
        <f>('C-66'!K23/'C-65'!K23)*1000</f>
        <v>21.892542101042501</v>
      </c>
      <c r="L23" s="266">
        <f>('C-66'!L23/'C-65'!L23)*1000</f>
        <v>22.510822510822514</v>
      </c>
      <c r="M23" s="266">
        <f>('C-66'!M23/'C-65'!M23)*1000</f>
        <v>22.520325203252032</v>
      </c>
      <c r="N23" s="266">
        <f>('C-66'!N23/'C-65'!N23)*1000</f>
        <v>21.947565543071164</v>
      </c>
    </row>
    <row r="24" spans="1:14" ht="12.75" customHeight="1">
      <c r="A24" s="81" t="s">
        <v>36</v>
      </c>
      <c r="B24" s="649">
        <f>('C-66'!B24/'C-65'!B24)*1000</f>
        <v>25.728009606724704</v>
      </c>
      <c r="C24" s="266">
        <f>('C-66'!C24/'C-65'!C24)*1000</f>
        <v>23.693181818181817</v>
      </c>
      <c r="D24" s="266">
        <f>('C-66'!D24/'C-65'!D24)*1000</f>
        <v>23.42449464922711</v>
      </c>
      <c r="E24" s="266">
        <f>('C-66'!E24/'C-65'!E24)*1000</f>
        <v>23.512080141426047</v>
      </c>
      <c r="F24" s="266">
        <f>('C-66'!F24/'C-65'!F24)*1000</f>
        <v>24.196597353497161</v>
      </c>
      <c r="G24" s="266">
        <f>('C-66'!G24/'C-65'!G24)*1000</f>
        <v>26.25</v>
      </c>
      <c r="H24" s="266">
        <f>('C-66'!H24/'C-65'!H24)*1000</f>
        <v>26.082365364308341</v>
      </c>
      <c r="I24" s="266">
        <f>('C-66'!I24/'C-65'!I24)*1000</f>
        <v>26.100829610721121</v>
      </c>
      <c r="J24" s="266">
        <f>('C-66'!J24/'C-65'!J24)*1000</f>
        <v>26.92786069651741</v>
      </c>
      <c r="K24" s="266">
        <f>('C-66'!K24/'C-65'!K24)*1000</f>
        <v>27.444051825677267</v>
      </c>
      <c r="L24" s="266">
        <f>('C-66'!L24/'C-65'!L24)*1000</f>
        <v>27.272727272727273</v>
      </c>
      <c r="M24" s="266">
        <f>('C-66'!M24/'C-65'!M24)*1000</f>
        <v>27.563249001331556</v>
      </c>
      <c r="N24" s="266">
        <f>('C-66'!N24/'C-65'!N24)*1000</f>
        <v>26.620516047828822</v>
      </c>
    </row>
    <row r="25" spans="1:14" ht="12.75" customHeight="1">
      <c r="A25" s="73" t="s">
        <v>37</v>
      </c>
      <c r="B25" s="649">
        <f>('C-66'!B25/'C-65'!B25)*1000</f>
        <v>24.530723219140842</v>
      </c>
      <c r="C25" s="266">
        <f>('C-66'!C25/'C-65'!C25)*1000</f>
        <v>24.468085106382979</v>
      </c>
      <c r="D25" s="266">
        <f>('C-66'!D25/'C-65'!D25)*1000</f>
        <v>24.028268551236749</v>
      </c>
      <c r="E25" s="266">
        <f>('C-66'!E25/'C-65'!E25)*1000</f>
        <v>24.515648286140092</v>
      </c>
      <c r="F25" s="266">
        <f>('C-66'!F25/'C-65'!F25)*1000</f>
        <v>24.979184013322229</v>
      </c>
      <c r="G25" s="266">
        <f>('C-66'!G25/'C-65'!G25)*1000</f>
        <v>25.007194244604321</v>
      </c>
      <c r="H25" s="266">
        <f>('C-66'!H25/'C-65'!H25)*1000</f>
        <v>25.013896609227348</v>
      </c>
      <c r="I25" s="266">
        <f>('C-66'!I25/'C-65'!I25)*1000</f>
        <v>25.013819789939195</v>
      </c>
      <c r="J25" s="266">
        <f>('C-66'!J25/'C-65'!J25)*1000</f>
        <v>24.809160305343511</v>
      </c>
      <c r="K25" s="266">
        <f>('C-66'!K25/'C-65'!K25)*1000</f>
        <v>24.581450969970767</v>
      </c>
      <c r="L25" s="266">
        <f>('C-66'!L25/'C-65'!L25)*1000</f>
        <v>24.3403205918619</v>
      </c>
      <c r="M25" s="266">
        <f>('C-66'!M25/'C-65'!M25)*1000</f>
        <v>23.982766874102442</v>
      </c>
      <c r="N25" s="266">
        <f>('C-66'!N25/'C-65'!N25)*1000</f>
        <v>23.928489571395829</v>
      </c>
    </row>
    <row r="26" spans="1:14" ht="12.75" customHeight="1">
      <c r="A26" s="81" t="s">
        <v>38</v>
      </c>
      <c r="B26" s="649">
        <f>('C-66'!B26/'C-65'!B26)*1000</f>
        <v>28.905078208699383</v>
      </c>
      <c r="C26" s="266">
        <f>('C-66'!C26/'C-65'!C26)*1000</f>
        <v>26.829268292682929</v>
      </c>
      <c r="D26" s="266">
        <f>('C-66'!D26/'C-65'!D26)*1000</f>
        <v>28.184281842818429</v>
      </c>
      <c r="E26" s="266">
        <f>('C-66'!E26/'C-65'!E26)*1000</f>
        <v>30.864197530864196</v>
      </c>
      <c r="F26" s="266">
        <f>('C-66'!F26/'C-65'!F26)*1000</f>
        <v>30.476190476190474</v>
      </c>
      <c r="G26" s="266">
        <f>('C-66'!G26/'C-65'!G26)*1000</f>
        <v>27.832512315270939</v>
      </c>
      <c r="H26" s="266">
        <f>('C-66'!H26/'C-65'!H26)*1000</f>
        <v>25.124378109452735</v>
      </c>
      <c r="I26" s="266">
        <f>('C-66'!I26/'C-65'!I26)*1000</f>
        <v>26.157407407407412</v>
      </c>
      <c r="J26" s="266">
        <f>('C-66'!J26/'C-65'!J26)*1000</f>
        <v>28.535980148883372</v>
      </c>
      <c r="K26" s="266">
        <f>('C-66'!K26/'C-65'!K26)*1000</f>
        <v>29.620853080568722</v>
      </c>
      <c r="L26" s="266">
        <f>('C-66'!L26/'C-65'!L26)*1000</f>
        <v>31.25</v>
      </c>
      <c r="M26" s="266">
        <f>('C-66'!M26/'C-65'!M26)*1000</f>
        <v>30.245231607629428</v>
      </c>
      <c r="N26" s="266">
        <f>('C-66'!N26/'C-65'!N26)*1000</f>
        <v>31.677018633540374</v>
      </c>
    </row>
    <row r="27" spans="1:14" ht="12.75" customHeight="1">
      <c r="A27" s="81" t="s">
        <v>39</v>
      </c>
      <c r="B27" s="649">
        <f>('C-66'!B27/'C-65'!B27)*1000</f>
        <v>28.255163756704327</v>
      </c>
      <c r="C27" s="266">
        <f>('C-66'!C27/'C-65'!C27)*1000</f>
        <v>28.706624605678233</v>
      </c>
      <c r="D27" s="266">
        <f>('C-66'!D27/'C-65'!D27)*1000</f>
        <v>29.058441558441558</v>
      </c>
      <c r="E27" s="266">
        <f>('C-66'!E27/'C-65'!E27)*1000</f>
        <v>28.961748633879782</v>
      </c>
      <c r="F27" s="266">
        <f>('C-66'!F27/'C-65'!F27)*1000</f>
        <v>28.90625</v>
      </c>
      <c r="G27" s="266">
        <f>('C-66'!G27/'C-65'!G27)*1000</f>
        <v>28.431372549019606</v>
      </c>
      <c r="H27" s="266">
        <f>('C-66'!H27/'C-65'!H27)*1000</f>
        <v>28.656361474435197</v>
      </c>
      <c r="I27" s="266">
        <f>('C-66'!I27/'C-65'!I27)*1000</f>
        <v>28.443449048152292</v>
      </c>
      <c r="J27" s="266">
        <f>('C-66'!J27/'C-65'!J27)*1000</f>
        <v>25.084745762711865</v>
      </c>
      <c r="K27" s="266">
        <f>('C-66'!K27/'C-65'!K27)*1000</f>
        <v>28.606965174129353</v>
      </c>
      <c r="L27" s="266">
        <f>('C-66'!L27/'C-65'!L27)*1000</f>
        <v>28.340675477239355</v>
      </c>
      <c r="M27" s="266">
        <f>('C-66'!M27/'C-65'!M27)*1000</f>
        <v>28.137931034482758</v>
      </c>
      <c r="N27" s="266">
        <f>('C-66'!N27/'C-65'!N27)*1000</f>
        <v>28.681177976952622</v>
      </c>
    </row>
    <row r="28" spans="1:14" ht="12.75" customHeight="1">
      <c r="A28" s="81" t="s">
        <v>40</v>
      </c>
      <c r="B28" s="649">
        <f>('C-66'!B28/'C-65'!B28)*1000</f>
        <v>25.910666844681327</v>
      </c>
      <c r="C28" s="266">
        <f>('C-66'!C28/'C-65'!C28)*1000</f>
        <v>26.95063694267516</v>
      </c>
      <c r="D28" s="266">
        <f>('C-66'!D28/'C-65'!D28)*1000</f>
        <v>26.453274466519503</v>
      </c>
      <c r="E28" s="266">
        <f>('C-66'!E28/'C-65'!E28)*1000</f>
        <v>25.368837711406979</v>
      </c>
      <c r="F28" s="266">
        <f>('C-66'!F28/'C-65'!F28)*1000</f>
        <v>26.861788617886177</v>
      </c>
      <c r="G28" s="266">
        <f>('C-66'!G28/'C-65'!G28)*1000</f>
        <v>27.076520601700455</v>
      </c>
      <c r="H28" s="266">
        <f>('C-66'!H28/'C-65'!H28)*1000</f>
        <v>26.443471693777731</v>
      </c>
      <c r="I28" s="266">
        <f>('C-66'!I28/'C-65'!I28)*1000</f>
        <v>25.96153846153846</v>
      </c>
      <c r="J28" s="266">
        <f>('C-66'!J28/'C-65'!J28)*1000</f>
        <v>26.312031417350948</v>
      </c>
      <c r="K28" s="266">
        <f>('C-66'!K28/'C-65'!K28)*1000</f>
        <v>25.838926174496645</v>
      </c>
      <c r="L28" s="266">
        <f>('C-66'!L28/'C-65'!L28)*1000</f>
        <v>25.474254742547423</v>
      </c>
      <c r="M28" s="266">
        <f>('C-66'!M28/'C-65'!M28)*1000</f>
        <v>25.246398786959816</v>
      </c>
      <c r="N28" s="266">
        <f>('C-66'!N28/'C-65'!N28)*1000</f>
        <v>22.915985616214446</v>
      </c>
    </row>
    <row r="29" spans="1:14" ht="12.75" customHeight="1">
      <c r="A29" s="73" t="s">
        <v>41</v>
      </c>
      <c r="B29" s="649">
        <f>('C-66'!B29/'C-65'!B29)*1000</f>
        <v>26.191425722831504</v>
      </c>
      <c r="C29" s="266">
        <f>('C-66'!C29/'C-65'!C29)*1000</f>
        <v>23.386680433660299</v>
      </c>
      <c r="D29" s="266">
        <f>('C-66'!D29/'C-65'!D29)*1000</f>
        <v>24.78238607270865</v>
      </c>
      <c r="E29" s="266">
        <f>('C-66'!E29/'C-65'!E29)*1000</f>
        <v>25.390218522372525</v>
      </c>
      <c r="F29" s="266">
        <f>('C-66'!F29/'C-65'!F29)*1000</f>
        <v>25.254237288135595</v>
      </c>
      <c r="G29" s="266">
        <f>('C-66'!G29/'C-65'!G29)*1000</f>
        <v>26.576019777503088</v>
      </c>
      <c r="H29" s="266">
        <f>('C-66'!H29/'C-65'!H29)*1000</f>
        <v>26.396562308164516</v>
      </c>
      <c r="I29" s="266">
        <f>('C-66'!I29/'C-65'!I29)*1000</f>
        <v>26.785714285714285</v>
      </c>
      <c r="J29" s="266">
        <f>('C-66'!J29/'C-65'!J29)*1000</f>
        <v>26.337693222354339</v>
      </c>
      <c r="K29" s="266">
        <f>('C-66'!K29/'C-65'!K29)*1000</f>
        <v>27.741083223249667</v>
      </c>
      <c r="L29" s="266">
        <f>('C-66'!L29/'C-65'!L29)*1000</f>
        <v>27.94017675050986</v>
      </c>
      <c r="M29" s="266">
        <f>('C-66'!M29/'C-65'!M29)*1000</f>
        <v>29.148629148629148</v>
      </c>
      <c r="N29" s="266">
        <f>('C-66'!N29/'C-65'!N29)*1000</f>
        <v>26.319176319176318</v>
      </c>
    </row>
    <row r="30" spans="1:14" ht="12.75" customHeight="1">
      <c r="A30" s="105" t="s">
        <v>100</v>
      </c>
      <c r="B30" s="649">
        <f>('C-66'!B30/'C-65'!B30)*1000</f>
        <v>26.312302142383864</v>
      </c>
      <c r="C30" s="266">
        <f>('C-66'!C30/'C-65'!C30)*1000</f>
        <v>23.391812865497073</v>
      </c>
      <c r="D30" s="266">
        <f>('C-66'!D30/'C-65'!D30)*1000</f>
        <v>24.82544608223429</v>
      </c>
      <c r="E30" s="266">
        <f>('C-66'!E30/'C-65'!E30)*1000</f>
        <v>24.656488549618317</v>
      </c>
      <c r="F30" s="266">
        <f>('C-66'!F30/'C-65'!F30)*1000</f>
        <v>25.217391304347828</v>
      </c>
      <c r="G30" s="266">
        <f>('C-66'!G30/'C-65'!G30)*1000</f>
        <v>26.566884939195507</v>
      </c>
      <c r="H30" s="266">
        <f>('C-66'!H30/'C-65'!H30)*1000</f>
        <v>26.286764705882351</v>
      </c>
      <c r="I30" s="266">
        <f>('C-66'!I30/'C-65'!I30)*1000</f>
        <v>27.653359298928919</v>
      </c>
      <c r="J30" s="266">
        <f>('C-66'!J30/'C-65'!J30)*1000</f>
        <v>26.775956284153004</v>
      </c>
      <c r="K30" s="266">
        <f>('C-66'!K30/'C-65'!K30)*1000</f>
        <v>27.655310621242489</v>
      </c>
      <c r="L30" s="266">
        <f>('C-66'!L30/'C-65'!L30)*1000</f>
        <v>27.852004110996919</v>
      </c>
      <c r="M30" s="266">
        <f>('C-66'!M30/'C-65'!M30)*1000</f>
        <v>29.443938012762075</v>
      </c>
      <c r="N30" s="266">
        <f>('C-66'!N30/'C-65'!N30)*1000</f>
        <v>26.651126651126649</v>
      </c>
    </row>
    <row r="31" spans="1:14" ht="12.75" customHeight="1">
      <c r="A31" s="105" t="s">
        <v>101</v>
      </c>
      <c r="B31" s="649">
        <f>('C-66'!B31/'C-65'!B31)*1000</f>
        <v>25.937934228809635</v>
      </c>
      <c r="C31" s="266">
        <f>('C-66'!C31/'C-65'!C31)*1000</f>
        <v>23.378378378378379</v>
      </c>
      <c r="D31" s="266">
        <f>('C-66'!D31/'C-65'!D31)*1000</f>
        <v>24.548192771084338</v>
      </c>
      <c r="E31" s="266">
        <f>('C-66'!E31/'C-65'!E31)*1000</f>
        <v>26.96078431372549</v>
      </c>
      <c r="F31" s="266">
        <f>('C-66'!F31/'C-65'!F31)*1000</f>
        <v>25.322580645161288</v>
      </c>
      <c r="G31" s="266">
        <f>('C-66'!G31/'C-65'!G31)*1000</f>
        <v>26.775956284153004</v>
      </c>
      <c r="H31" s="266">
        <f>('C-66'!H31/'C-65'!H31)*1000</f>
        <v>26.617375231053604</v>
      </c>
      <c r="I31" s="266">
        <f>('C-66'!I31/'C-65'!I31)*1000</f>
        <v>25.460636515912899</v>
      </c>
      <c r="J31" s="266">
        <f>('C-66'!J31/'C-65'!J31)*1000</f>
        <v>25.684931506849313</v>
      </c>
      <c r="K31" s="266">
        <f>('C-66'!K31/'C-65'!K31)*1000</f>
        <v>27.906976744186046</v>
      </c>
      <c r="L31" s="266">
        <f>('C-66'!L31/'C-65'!L31)*1000</f>
        <v>27.911646586345384</v>
      </c>
      <c r="M31" s="266">
        <f>('C-66'!M31/'C-65'!M31)*1000</f>
        <v>27.681660899653981</v>
      </c>
      <c r="N31" s="266">
        <f>('C-66'!N31/'C-65'!N31)*1000</f>
        <v>24.719101123595507</v>
      </c>
    </row>
    <row r="32" spans="1:14" ht="12.75" customHeight="1">
      <c r="A32" s="81" t="s">
        <v>44</v>
      </c>
      <c r="B32" s="649">
        <f>('C-66'!B32/'C-65'!B32)*1000</f>
        <v>26.990554725792542</v>
      </c>
      <c r="C32" s="266">
        <f>('C-66'!C32/'C-65'!C32)*1000</f>
        <v>26.786795881284071</v>
      </c>
      <c r="D32" s="266">
        <f>('C-66'!D32/'C-65'!D32)*1000</f>
        <v>27.019423978566643</v>
      </c>
      <c r="E32" s="266">
        <f>('C-66'!E32/'C-65'!E32)*1000</f>
        <v>27.176781002638524</v>
      </c>
      <c r="F32" s="266">
        <f>('C-66'!F32/'C-65'!F32)*1000</f>
        <v>27.220529646121399</v>
      </c>
      <c r="G32" s="266">
        <f>('C-66'!G32/'C-65'!G32)*1000</f>
        <v>27.219064276344557</v>
      </c>
      <c r="H32" s="266">
        <f>('C-66'!H32/'C-65'!H32)*1000</f>
        <v>27.209959200753218</v>
      </c>
      <c r="I32" s="266">
        <f>('C-66'!I32/'C-65'!I32)*1000</f>
        <v>27.127659574468087</v>
      </c>
      <c r="J32" s="266">
        <f>('C-66'!J32/'C-65'!J32)*1000</f>
        <v>26.922628077955419</v>
      </c>
      <c r="K32" s="266">
        <f>('C-66'!K32/'C-65'!K32)*1000</f>
        <v>26.851738115710599</v>
      </c>
      <c r="L32" s="266">
        <f>('C-66'!L32/'C-65'!L32)*1000</f>
        <v>26.679306608884076</v>
      </c>
      <c r="M32" s="266">
        <f>('C-66'!M32/'C-65'!M32)*1000</f>
        <v>26.721680420105024</v>
      </c>
      <c r="N32" s="266">
        <f>('C-66'!N32/'C-65'!N32)*1000</f>
        <v>26.668880770508135</v>
      </c>
    </row>
    <row r="33" spans="1:14" ht="12.75" customHeight="1">
      <c r="A33" s="81" t="s">
        <v>45</v>
      </c>
      <c r="B33" s="649">
        <f>('C-66'!B33/'C-65'!B33)*1000</f>
        <v>27.991992755350076</v>
      </c>
      <c r="C33" s="266">
        <f>('C-66'!C33/'C-65'!C33)*1000</f>
        <v>27.990176013098647</v>
      </c>
      <c r="D33" s="266">
        <f>('C-66'!D33/'C-65'!D33)*1000</f>
        <v>28.349924585218702</v>
      </c>
      <c r="E33" s="266">
        <f>('C-66'!E33/'C-65'!E33)*1000</f>
        <v>28.71401151631478</v>
      </c>
      <c r="F33" s="266">
        <f>('C-66'!F33/'C-65'!F33)*1000</f>
        <v>28.632860040567948</v>
      </c>
      <c r="G33" s="266">
        <f>('C-66'!G33/'C-65'!G33)*1000</f>
        <v>28.552232336367581</v>
      </c>
      <c r="H33" s="266">
        <f>('C-66'!H33/'C-65'!H33)*1000</f>
        <v>28.532423208191126</v>
      </c>
      <c r="I33" s="266">
        <f>('C-66'!I33/'C-65'!I33)*1000</f>
        <v>28.225693634879924</v>
      </c>
      <c r="J33" s="266">
        <f>('C-66'!J33/'C-65'!J33)*1000</f>
        <v>27.650331125827815</v>
      </c>
      <c r="K33" s="266">
        <f>('C-66'!K33/'C-65'!K33)*1000</f>
        <v>26.987874920229739</v>
      </c>
      <c r="L33" s="266">
        <f>('C-66'!L33/'C-65'!L33)*1000</f>
        <v>26.896067415730339</v>
      </c>
      <c r="M33" s="266">
        <f>('C-66'!M33/'C-65'!M33)*1000</f>
        <v>26.723498888065233</v>
      </c>
      <c r="N33" s="266">
        <f>('C-66'!N33/'C-65'!N33)*1000</f>
        <v>26.94770544290288</v>
      </c>
    </row>
    <row r="34" spans="1:14" ht="12.75" customHeight="1">
      <c r="A34" s="73" t="s">
        <v>46</v>
      </c>
      <c r="B34" s="649">
        <v>0</v>
      </c>
      <c r="C34" s="266">
        <v>0</v>
      </c>
      <c r="D34" s="266">
        <v>0</v>
      </c>
      <c r="E34" s="266">
        <v>0</v>
      </c>
      <c r="F34" s="266">
        <v>0</v>
      </c>
      <c r="G34" s="266">
        <v>0</v>
      </c>
      <c r="H34" s="266">
        <v>0</v>
      </c>
      <c r="I34" s="266">
        <v>0</v>
      </c>
      <c r="J34" s="266">
        <v>0</v>
      </c>
      <c r="K34" s="266">
        <v>0</v>
      </c>
      <c r="L34" s="266">
        <v>0</v>
      </c>
      <c r="M34" s="266">
        <v>0</v>
      </c>
      <c r="N34" s="266">
        <v>0</v>
      </c>
    </row>
    <row r="35" spans="1:14" ht="12.75" customHeight="1">
      <c r="A35" s="73" t="s">
        <v>47</v>
      </c>
      <c r="B35" s="649">
        <v>0</v>
      </c>
      <c r="C35" s="266">
        <v>0</v>
      </c>
      <c r="D35" s="266">
        <v>0</v>
      </c>
      <c r="E35" s="266">
        <v>0</v>
      </c>
      <c r="F35" s="266">
        <v>0</v>
      </c>
      <c r="G35" s="266">
        <v>0</v>
      </c>
      <c r="H35" s="266">
        <v>0</v>
      </c>
      <c r="I35" s="266">
        <v>0</v>
      </c>
      <c r="J35" s="266">
        <v>0</v>
      </c>
      <c r="K35" s="266">
        <v>0</v>
      </c>
      <c r="L35" s="266">
        <v>0</v>
      </c>
      <c r="M35" s="266">
        <v>0</v>
      </c>
      <c r="N35" s="266">
        <v>0</v>
      </c>
    </row>
    <row r="36" spans="1:14" ht="12.75" customHeight="1">
      <c r="A36" s="73" t="s">
        <v>48</v>
      </c>
      <c r="B36" s="649">
        <v>0</v>
      </c>
      <c r="C36" s="266">
        <v>0</v>
      </c>
      <c r="D36" s="266">
        <v>0</v>
      </c>
      <c r="E36" s="266">
        <v>0</v>
      </c>
      <c r="F36" s="266">
        <v>0</v>
      </c>
      <c r="G36" s="266">
        <v>0</v>
      </c>
      <c r="H36" s="266">
        <v>0</v>
      </c>
      <c r="I36" s="266">
        <v>0</v>
      </c>
      <c r="J36" s="266">
        <v>0</v>
      </c>
      <c r="K36" s="266">
        <v>0</v>
      </c>
      <c r="L36" s="266">
        <v>0</v>
      </c>
      <c r="M36" s="266">
        <v>0</v>
      </c>
      <c r="N36" s="266">
        <v>0</v>
      </c>
    </row>
    <row r="37" spans="1:14" ht="12.75" customHeight="1" thickBot="1">
      <c r="A37" s="154" t="s">
        <v>49</v>
      </c>
      <c r="B37" s="650">
        <v>0</v>
      </c>
      <c r="C37" s="267">
        <v>0</v>
      </c>
      <c r="D37" s="267">
        <v>0</v>
      </c>
      <c r="E37" s="267">
        <v>0</v>
      </c>
      <c r="F37" s="267">
        <v>0</v>
      </c>
      <c r="G37" s="267">
        <v>0</v>
      </c>
      <c r="H37" s="267">
        <v>0</v>
      </c>
      <c r="I37" s="267">
        <v>0</v>
      </c>
      <c r="J37" s="267">
        <v>0</v>
      </c>
      <c r="K37" s="267">
        <v>0</v>
      </c>
      <c r="L37" s="267">
        <v>0</v>
      </c>
      <c r="M37" s="267">
        <v>0</v>
      </c>
      <c r="N37" s="267">
        <v>0</v>
      </c>
    </row>
    <row r="38" spans="1:14" ht="9" customHeight="1">
      <c r="A38" s="778" t="s">
        <v>402</v>
      </c>
      <c r="B38" s="796"/>
      <c r="C38" s="796"/>
      <c r="D38" s="796"/>
      <c r="E38" s="796"/>
      <c r="F38" s="190"/>
    </row>
    <row r="39" spans="1:14" ht="9" customHeight="1">
      <c r="A39" s="778" t="s">
        <v>359</v>
      </c>
      <c r="B39" s="796"/>
      <c r="C39" s="796"/>
      <c r="D39" s="796"/>
      <c r="E39" s="796"/>
      <c r="F39" s="190"/>
    </row>
    <row r="40" spans="1:14" ht="9" customHeight="1">
      <c r="A40" s="780" t="s">
        <v>358</v>
      </c>
      <c r="B40" s="796"/>
      <c r="C40" s="796"/>
      <c r="D40" s="796"/>
      <c r="E40" s="796"/>
      <c r="F40" s="190"/>
    </row>
    <row r="41" spans="1:14" ht="13.25" customHeight="1">
      <c r="A41" s="11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Hoja69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541</v>
      </c>
      <c r="B4" s="245"/>
    </row>
    <row r="5" spans="1:14" ht="13.25" customHeight="1">
      <c r="A5" s="253" t="s">
        <v>238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4" ht="4" customHeight="1" thickBot="1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9">
        <f t="shared" ref="B8:B37" si="0">SUM(C8:N8)</f>
        <v>118241.3</v>
      </c>
      <c r="C8" s="614">
        <f t="shared" ref="C8:N8" si="1">(C9+C10+C11+C12+C13+C17+C18+C19+C20+C21+C22+C23+C24+C25+C26+C27+C28+C29+C32+C33+C34+C35+C36+C37)</f>
        <v>8448</v>
      </c>
      <c r="D8" s="614">
        <f t="shared" si="1"/>
        <v>9100</v>
      </c>
      <c r="E8" s="614">
        <f t="shared" si="1"/>
        <v>9751</v>
      </c>
      <c r="F8" s="614">
        <f t="shared" si="1"/>
        <v>10950.3</v>
      </c>
      <c r="G8" s="614">
        <f t="shared" si="1"/>
        <v>11054</v>
      </c>
      <c r="H8" s="614">
        <f t="shared" si="1"/>
        <v>11312</v>
      </c>
      <c r="I8" s="614">
        <f t="shared" si="1"/>
        <v>10860</v>
      </c>
      <c r="J8" s="614">
        <f t="shared" si="1"/>
        <v>10001</v>
      </c>
      <c r="K8" s="614">
        <f t="shared" si="1"/>
        <v>9557</v>
      </c>
      <c r="L8" s="614">
        <f t="shared" si="1"/>
        <v>8849</v>
      </c>
      <c r="M8" s="614">
        <f t="shared" si="1"/>
        <v>8912</v>
      </c>
      <c r="N8" s="614">
        <f t="shared" si="1"/>
        <v>9447</v>
      </c>
    </row>
    <row r="9" spans="1:14" ht="12.75" customHeight="1">
      <c r="A9" s="152" t="s">
        <v>21</v>
      </c>
      <c r="B9" s="637">
        <f t="shared" si="0"/>
        <v>0</v>
      </c>
      <c r="C9" s="262">
        <v>0</v>
      </c>
      <c r="D9" s="262">
        <v>0</v>
      </c>
      <c r="E9" s="262">
        <v>0</v>
      </c>
      <c r="F9" s="262">
        <v>0</v>
      </c>
      <c r="G9" s="262">
        <v>0</v>
      </c>
      <c r="H9" s="262">
        <v>0</v>
      </c>
      <c r="I9" s="262">
        <v>0</v>
      </c>
      <c r="J9" s="262">
        <v>0</v>
      </c>
      <c r="K9" s="262">
        <v>0</v>
      </c>
      <c r="L9" s="262">
        <v>0</v>
      </c>
      <c r="M9" s="262">
        <v>0</v>
      </c>
      <c r="N9" s="262">
        <v>0</v>
      </c>
    </row>
    <row r="10" spans="1:14" ht="12.75" customHeight="1">
      <c r="A10" s="152" t="s">
        <v>22</v>
      </c>
      <c r="B10" s="637">
        <f t="shared" si="0"/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</row>
    <row r="11" spans="1:14" ht="12.75" customHeight="1">
      <c r="A11" s="152" t="s">
        <v>23</v>
      </c>
      <c r="B11" s="637">
        <f t="shared" si="0"/>
        <v>0</v>
      </c>
      <c r="C11" s="262">
        <v>0</v>
      </c>
      <c r="D11" s="262">
        <v>0</v>
      </c>
      <c r="E11" s="262">
        <v>0</v>
      </c>
      <c r="F11" s="262">
        <v>0</v>
      </c>
      <c r="G11" s="262">
        <v>0</v>
      </c>
      <c r="H11" s="262">
        <v>0</v>
      </c>
      <c r="I11" s="262">
        <v>0</v>
      </c>
      <c r="J11" s="262">
        <v>0</v>
      </c>
      <c r="K11" s="262">
        <v>0</v>
      </c>
      <c r="L11" s="262">
        <v>0</v>
      </c>
      <c r="M11" s="262">
        <v>0</v>
      </c>
      <c r="N11" s="262">
        <v>0</v>
      </c>
    </row>
    <row r="12" spans="1:14" ht="12.75" customHeight="1">
      <c r="A12" s="129" t="s">
        <v>24</v>
      </c>
      <c r="B12" s="637">
        <f t="shared" si="0"/>
        <v>0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0</v>
      </c>
      <c r="J12" s="262">
        <v>0</v>
      </c>
      <c r="K12" s="262">
        <v>0</v>
      </c>
      <c r="L12" s="262">
        <v>0</v>
      </c>
      <c r="M12" s="262">
        <v>0</v>
      </c>
      <c r="N12" s="262">
        <v>0</v>
      </c>
    </row>
    <row r="13" spans="1:14" ht="12.75" customHeight="1">
      <c r="A13" s="129" t="s">
        <v>25</v>
      </c>
      <c r="B13" s="637">
        <f t="shared" si="0"/>
        <v>0</v>
      </c>
      <c r="C13" s="262">
        <v>0</v>
      </c>
      <c r="D13" s="262">
        <v>0</v>
      </c>
      <c r="E13" s="262">
        <v>0</v>
      </c>
      <c r="F13" s="262">
        <v>0</v>
      </c>
      <c r="G13" s="262">
        <v>0</v>
      </c>
      <c r="H13" s="262">
        <v>0</v>
      </c>
      <c r="I13" s="262">
        <v>0</v>
      </c>
      <c r="J13" s="262">
        <v>0</v>
      </c>
      <c r="K13" s="262">
        <v>0</v>
      </c>
      <c r="L13" s="262">
        <v>0</v>
      </c>
      <c r="M13" s="262">
        <v>0</v>
      </c>
      <c r="N13" s="262">
        <v>0</v>
      </c>
    </row>
    <row r="14" spans="1:14" ht="12.75" customHeight="1">
      <c r="A14" s="127" t="s">
        <v>97</v>
      </c>
      <c r="B14" s="637">
        <f t="shared" si="0"/>
        <v>0</v>
      </c>
      <c r="C14" s="262">
        <v>0</v>
      </c>
      <c r="D14" s="262">
        <v>0</v>
      </c>
      <c r="E14" s="262">
        <v>0</v>
      </c>
      <c r="F14" s="262">
        <v>0</v>
      </c>
      <c r="G14" s="262">
        <v>0</v>
      </c>
      <c r="H14" s="262">
        <v>0</v>
      </c>
      <c r="I14" s="262">
        <v>0</v>
      </c>
      <c r="J14" s="262">
        <v>0</v>
      </c>
      <c r="K14" s="262">
        <v>0</v>
      </c>
      <c r="L14" s="262">
        <v>0</v>
      </c>
      <c r="M14" s="262">
        <v>0</v>
      </c>
      <c r="N14" s="262">
        <v>0</v>
      </c>
    </row>
    <row r="15" spans="1:14" ht="12.75" customHeight="1">
      <c r="A15" s="127" t="s">
        <v>98</v>
      </c>
      <c r="B15" s="637">
        <f t="shared" si="0"/>
        <v>0</v>
      </c>
      <c r="C15" s="262">
        <v>0</v>
      </c>
      <c r="D15" s="262">
        <v>0</v>
      </c>
      <c r="E15" s="262">
        <v>0</v>
      </c>
      <c r="F15" s="262">
        <v>0</v>
      </c>
      <c r="G15" s="262">
        <v>0</v>
      </c>
      <c r="H15" s="262">
        <v>0</v>
      </c>
      <c r="I15" s="262">
        <v>0</v>
      </c>
      <c r="J15" s="262">
        <v>0</v>
      </c>
      <c r="K15" s="262">
        <v>0</v>
      </c>
      <c r="L15" s="262">
        <v>0</v>
      </c>
      <c r="M15" s="262">
        <v>0</v>
      </c>
      <c r="N15" s="262">
        <v>0</v>
      </c>
    </row>
    <row r="16" spans="1:14" ht="12.75" customHeight="1">
      <c r="A16" s="127" t="s">
        <v>99</v>
      </c>
      <c r="B16" s="637">
        <f t="shared" si="0"/>
        <v>0</v>
      </c>
      <c r="C16" s="262">
        <v>0</v>
      </c>
      <c r="D16" s="262">
        <v>0</v>
      </c>
      <c r="E16" s="262">
        <v>0</v>
      </c>
      <c r="F16" s="262">
        <v>0</v>
      </c>
      <c r="G16" s="262">
        <v>0</v>
      </c>
      <c r="H16" s="262">
        <v>0</v>
      </c>
      <c r="I16" s="262">
        <v>0</v>
      </c>
      <c r="J16" s="262">
        <v>0</v>
      </c>
      <c r="K16" s="262">
        <v>0</v>
      </c>
      <c r="L16" s="262">
        <v>0</v>
      </c>
      <c r="M16" s="262">
        <v>0</v>
      </c>
      <c r="N16" s="262">
        <v>0</v>
      </c>
    </row>
    <row r="17" spans="1:14" ht="12.75" customHeight="1">
      <c r="A17" s="152" t="s">
        <v>29</v>
      </c>
      <c r="B17" s="637">
        <f t="shared" si="0"/>
        <v>0</v>
      </c>
      <c r="C17" s="262">
        <v>0</v>
      </c>
      <c r="D17" s="262">
        <v>0</v>
      </c>
      <c r="E17" s="262">
        <v>0</v>
      </c>
      <c r="F17" s="262">
        <v>0</v>
      </c>
      <c r="G17" s="262">
        <v>0</v>
      </c>
      <c r="H17" s="262">
        <v>0</v>
      </c>
      <c r="I17" s="262">
        <v>0</v>
      </c>
      <c r="J17" s="262">
        <v>0</v>
      </c>
      <c r="K17" s="262">
        <v>0</v>
      </c>
      <c r="L17" s="262">
        <v>0</v>
      </c>
      <c r="M17" s="262">
        <v>0</v>
      </c>
      <c r="N17" s="262">
        <v>0</v>
      </c>
    </row>
    <row r="18" spans="1:14" ht="12.75" customHeight="1">
      <c r="A18" s="129" t="s">
        <v>30</v>
      </c>
      <c r="B18" s="637">
        <f t="shared" si="0"/>
        <v>0</v>
      </c>
      <c r="C18" s="262">
        <v>0</v>
      </c>
      <c r="D18" s="262">
        <v>0</v>
      </c>
      <c r="E18" s="262">
        <v>0</v>
      </c>
      <c r="F18" s="262">
        <v>0</v>
      </c>
      <c r="G18" s="262">
        <v>0</v>
      </c>
      <c r="H18" s="262">
        <v>0</v>
      </c>
      <c r="I18" s="262">
        <v>0</v>
      </c>
      <c r="J18" s="262">
        <v>0</v>
      </c>
      <c r="K18" s="262">
        <v>0</v>
      </c>
      <c r="L18" s="262">
        <v>0</v>
      </c>
      <c r="M18" s="262">
        <v>0</v>
      </c>
      <c r="N18" s="262">
        <v>0</v>
      </c>
    </row>
    <row r="19" spans="1:14" ht="12.75" customHeight="1">
      <c r="A19" s="129" t="s">
        <v>31</v>
      </c>
      <c r="B19" s="637">
        <f t="shared" si="0"/>
        <v>1963</v>
      </c>
      <c r="C19" s="262">
        <v>144</v>
      </c>
      <c r="D19" s="262">
        <v>170</v>
      </c>
      <c r="E19" s="262">
        <v>213</v>
      </c>
      <c r="F19" s="262">
        <v>162</v>
      </c>
      <c r="G19" s="262">
        <v>185</v>
      </c>
      <c r="H19" s="262">
        <v>186</v>
      </c>
      <c r="I19" s="262">
        <v>196</v>
      </c>
      <c r="J19" s="262">
        <v>121</v>
      </c>
      <c r="K19" s="262">
        <v>148</v>
      </c>
      <c r="L19" s="262">
        <v>103</v>
      </c>
      <c r="M19" s="262">
        <v>171</v>
      </c>
      <c r="N19" s="262">
        <v>164</v>
      </c>
    </row>
    <row r="20" spans="1:14" ht="12.75" customHeight="1">
      <c r="A20" s="152" t="s">
        <v>32</v>
      </c>
      <c r="B20" s="637">
        <f t="shared" si="0"/>
        <v>0</v>
      </c>
      <c r="C20" s="262">
        <v>0</v>
      </c>
      <c r="D20" s="262">
        <v>0</v>
      </c>
      <c r="E20" s="262">
        <v>0</v>
      </c>
      <c r="F20" s="262">
        <v>0</v>
      </c>
      <c r="G20" s="262">
        <v>0</v>
      </c>
      <c r="H20" s="262">
        <v>0</v>
      </c>
      <c r="I20" s="262">
        <v>0</v>
      </c>
      <c r="J20" s="262">
        <v>0</v>
      </c>
      <c r="K20" s="262">
        <v>0</v>
      </c>
      <c r="L20" s="262">
        <v>0</v>
      </c>
      <c r="M20" s="262">
        <v>0</v>
      </c>
      <c r="N20" s="262">
        <v>0</v>
      </c>
    </row>
    <row r="21" spans="1:14" ht="12.75" customHeight="1">
      <c r="A21" s="152" t="s">
        <v>33</v>
      </c>
      <c r="B21" s="637">
        <f t="shared" si="0"/>
        <v>0</v>
      </c>
      <c r="C21" s="262">
        <v>0</v>
      </c>
      <c r="D21" s="262">
        <v>0</v>
      </c>
      <c r="E21" s="262">
        <v>0</v>
      </c>
      <c r="F21" s="262">
        <v>0</v>
      </c>
      <c r="G21" s="262">
        <v>0</v>
      </c>
      <c r="H21" s="262">
        <v>0</v>
      </c>
      <c r="I21" s="262">
        <v>0</v>
      </c>
      <c r="J21" s="262">
        <v>0</v>
      </c>
      <c r="K21" s="262">
        <v>0</v>
      </c>
      <c r="L21" s="262">
        <v>0</v>
      </c>
      <c r="M21" s="262">
        <v>0</v>
      </c>
      <c r="N21" s="262">
        <v>0</v>
      </c>
    </row>
    <row r="22" spans="1:14" ht="12.75" customHeight="1">
      <c r="A22" s="152" t="s">
        <v>34</v>
      </c>
      <c r="B22" s="637">
        <f t="shared" si="0"/>
        <v>4193</v>
      </c>
      <c r="C22" s="262">
        <v>206</v>
      </c>
      <c r="D22" s="262">
        <v>196</v>
      </c>
      <c r="E22" s="262">
        <v>287</v>
      </c>
      <c r="F22" s="262">
        <v>369</v>
      </c>
      <c r="G22" s="262">
        <v>423</v>
      </c>
      <c r="H22" s="262">
        <v>495</v>
      </c>
      <c r="I22" s="262">
        <v>491</v>
      </c>
      <c r="J22" s="262">
        <v>381</v>
      </c>
      <c r="K22" s="262">
        <v>330</v>
      </c>
      <c r="L22" s="262">
        <v>183</v>
      </c>
      <c r="M22" s="262">
        <v>321</v>
      </c>
      <c r="N22" s="262">
        <v>511</v>
      </c>
    </row>
    <row r="23" spans="1:14" ht="12.75" customHeight="1">
      <c r="A23" s="152" t="s">
        <v>35</v>
      </c>
      <c r="B23" s="637">
        <f t="shared" si="0"/>
        <v>8850</v>
      </c>
      <c r="C23" s="262">
        <v>776</v>
      </c>
      <c r="D23" s="262">
        <v>706</v>
      </c>
      <c r="E23" s="262">
        <v>700</v>
      </c>
      <c r="F23" s="262">
        <v>547</v>
      </c>
      <c r="G23" s="262">
        <v>669</v>
      </c>
      <c r="H23" s="262">
        <v>731</v>
      </c>
      <c r="I23" s="262">
        <v>756</v>
      </c>
      <c r="J23" s="262">
        <v>770</v>
      </c>
      <c r="K23" s="262">
        <v>795</v>
      </c>
      <c r="L23" s="262">
        <v>728</v>
      </c>
      <c r="M23" s="262">
        <v>809</v>
      </c>
      <c r="N23" s="262">
        <v>863</v>
      </c>
    </row>
    <row r="24" spans="1:14" ht="12.75" customHeight="1">
      <c r="A24" s="152" t="s">
        <v>36</v>
      </c>
      <c r="B24" s="637">
        <f t="shared" si="0"/>
        <v>8444</v>
      </c>
      <c r="C24" s="262">
        <v>560</v>
      </c>
      <c r="D24" s="262">
        <v>630</v>
      </c>
      <c r="E24" s="262">
        <v>645</v>
      </c>
      <c r="F24" s="262">
        <v>680</v>
      </c>
      <c r="G24" s="262">
        <v>722</v>
      </c>
      <c r="H24" s="262">
        <v>748</v>
      </c>
      <c r="I24" s="262">
        <v>679</v>
      </c>
      <c r="J24" s="262">
        <v>688</v>
      </c>
      <c r="K24" s="262">
        <v>706</v>
      </c>
      <c r="L24" s="262">
        <v>764</v>
      </c>
      <c r="M24" s="262">
        <v>834</v>
      </c>
      <c r="N24" s="262">
        <v>788</v>
      </c>
    </row>
    <row r="25" spans="1:14" ht="12.75" customHeight="1">
      <c r="A25" s="129" t="s">
        <v>37</v>
      </c>
      <c r="B25" s="637">
        <f t="shared" si="0"/>
        <v>12838</v>
      </c>
      <c r="C25" s="262">
        <v>1065</v>
      </c>
      <c r="D25" s="262">
        <v>1136</v>
      </c>
      <c r="E25" s="262">
        <v>1111</v>
      </c>
      <c r="F25" s="262">
        <v>948</v>
      </c>
      <c r="G25" s="262">
        <v>909</v>
      </c>
      <c r="H25" s="262">
        <v>994</v>
      </c>
      <c r="I25" s="262">
        <v>1023</v>
      </c>
      <c r="J25" s="262">
        <v>1049</v>
      </c>
      <c r="K25" s="262">
        <v>1067</v>
      </c>
      <c r="L25" s="262">
        <v>1131</v>
      </c>
      <c r="M25" s="262">
        <v>1191</v>
      </c>
      <c r="N25" s="262">
        <v>1214</v>
      </c>
    </row>
    <row r="26" spans="1:14" ht="12.75" customHeight="1">
      <c r="A26" s="152" t="s">
        <v>38</v>
      </c>
      <c r="B26" s="637">
        <f t="shared" si="0"/>
        <v>1689</v>
      </c>
      <c r="C26" s="262">
        <v>122</v>
      </c>
      <c r="D26" s="262">
        <v>130</v>
      </c>
      <c r="E26" s="262">
        <v>147</v>
      </c>
      <c r="F26" s="262">
        <v>119</v>
      </c>
      <c r="G26" s="262">
        <v>109</v>
      </c>
      <c r="H26" s="262">
        <v>141</v>
      </c>
      <c r="I26" s="262">
        <v>147</v>
      </c>
      <c r="J26" s="262">
        <v>131</v>
      </c>
      <c r="K26" s="262">
        <v>121</v>
      </c>
      <c r="L26" s="262">
        <v>179</v>
      </c>
      <c r="M26" s="262">
        <v>161</v>
      </c>
      <c r="N26" s="262">
        <v>182</v>
      </c>
    </row>
    <row r="27" spans="1:14" ht="12.75" customHeight="1">
      <c r="A27" s="152" t="s">
        <v>39</v>
      </c>
      <c r="B27" s="637">
        <f t="shared" si="0"/>
        <v>5134</v>
      </c>
      <c r="C27" s="262">
        <v>331</v>
      </c>
      <c r="D27" s="262">
        <v>359</v>
      </c>
      <c r="E27" s="262">
        <v>363</v>
      </c>
      <c r="F27" s="262">
        <v>394</v>
      </c>
      <c r="G27" s="262">
        <v>425</v>
      </c>
      <c r="H27" s="262">
        <v>471</v>
      </c>
      <c r="I27" s="262">
        <v>462</v>
      </c>
      <c r="J27" s="262">
        <v>466</v>
      </c>
      <c r="K27" s="262">
        <v>471</v>
      </c>
      <c r="L27" s="262">
        <v>440</v>
      </c>
      <c r="M27" s="262">
        <v>463</v>
      </c>
      <c r="N27" s="262">
        <v>489</v>
      </c>
    </row>
    <row r="28" spans="1:14" ht="12.75" customHeight="1">
      <c r="A28" s="152" t="s">
        <v>40</v>
      </c>
      <c r="B28" s="637">
        <f t="shared" si="0"/>
        <v>5586</v>
      </c>
      <c r="C28" s="262">
        <v>433</v>
      </c>
      <c r="D28" s="262">
        <v>276</v>
      </c>
      <c r="E28" s="262">
        <v>432</v>
      </c>
      <c r="F28" s="262">
        <v>479</v>
      </c>
      <c r="G28" s="262">
        <v>569</v>
      </c>
      <c r="H28" s="262">
        <v>511</v>
      </c>
      <c r="I28" s="262">
        <v>634</v>
      </c>
      <c r="J28" s="262">
        <v>469</v>
      </c>
      <c r="K28" s="262">
        <v>411</v>
      </c>
      <c r="L28" s="262">
        <v>342</v>
      </c>
      <c r="M28" s="262">
        <v>450</v>
      </c>
      <c r="N28" s="262">
        <v>580</v>
      </c>
    </row>
    <row r="29" spans="1:14" ht="12.75" customHeight="1">
      <c r="A29" s="129" t="s">
        <v>41</v>
      </c>
      <c r="B29" s="637">
        <f t="shared" si="0"/>
        <v>10042.299999999999</v>
      </c>
      <c r="C29" s="262">
        <v>888</v>
      </c>
      <c r="D29" s="262">
        <v>873</v>
      </c>
      <c r="E29" s="262">
        <v>894</v>
      </c>
      <c r="F29" s="262">
        <v>929.3</v>
      </c>
      <c r="G29" s="262">
        <v>869</v>
      </c>
      <c r="H29" s="262">
        <v>854</v>
      </c>
      <c r="I29" s="262">
        <v>897</v>
      </c>
      <c r="J29" s="262">
        <v>837</v>
      </c>
      <c r="K29" s="262">
        <v>788</v>
      </c>
      <c r="L29" s="262">
        <v>772</v>
      </c>
      <c r="M29" s="262">
        <v>701</v>
      </c>
      <c r="N29" s="262">
        <v>740</v>
      </c>
    </row>
    <row r="30" spans="1:14" ht="12.75" customHeight="1">
      <c r="A30" s="127" t="s">
        <v>100</v>
      </c>
      <c r="B30" s="637">
        <f t="shared" si="0"/>
        <v>5222.3</v>
      </c>
      <c r="C30" s="262">
        <v>438</v>
      </c>
      <c r="D30" s="262">
        <v>457</v>
      </c>
      <c r="E30" s="262">
        <v>468</v>
      </c>
      <c r="F30" s="262">
        <v>476.3</v>
      </c>
      <c r="G30" s="262">
        <v>448</v>
      </c>
      <c r="H30" s="262">
        <v>442</v>
      </c>
      <c r="I30" s="262">
        <v>459</v>
      </c>
      <c r="J30" s="262">
        <v>436</v>
      </c>
      <c r="K30" s="262">
        <v>394</v>
      </c>
      <c r="L30" s="262">
        <v>406</v>
      </c>
      <c r="M30" s="262">
        <v>397</v>
      </c>
      <c r="N30" s="262">
        <v>401</v>
      </c>
    </row>
    <row r="31" spans="1:14" ht="12.75" customHeight="1">
      <c r="A31" s="127" t="s">
        <v>101</v>
      </c>
      <c r="B31" s="637">
        <f t="shared" si="0"/>
        <v>4820</v>
      </c>
      <c r="C31" s="262">
        <v>450</v>
      </c>
      <c r="D31" s="262">
        <v>416</v>
      </c>
      <c r="E31" s="262">
        <v>426</v>
      </c>
      <c r="F31" s="262">
        <v>453</v>
      </c>
      <c r="G31" s="262">
        <v>421</v>
      </c>
      <c r="H31" s="262">
        <v>412</v>
      </c>
      <c r="I31" s="262">
        <v>438</v>
      </c>
      <c r="J31" s="262">
        <v>401</v>
      </c>
      <c r="K31" s="262">
        <v>394</v>
      </c>
      <c r="L31" s="262">
        <v>366</v>
      </c>
      <c r="M31" s="262">
        <v>304</v>
      </c>
      <c r="N31" s="262">
        <v>339</v>
      </c>
    </row>
    <row r="32" spans="1:14" ht="12.75" customHeight="1">
      <c r="A32" s="152" t="s">
        <v>44</v>
      </c>
      <c r="B32" s="637">
        <f t="shared" si="0"/>
        <v>20037</v>
      </c>
      <c r="C32" s="262">
        <v>1358</v>
      </c>
      <c r="D32" s="262">
        <v>1514</v>
      </c>
      <c r="E32" s="262">
        <v>1649</v>
      </c>
      <c r="F32" s="262">
        <v>1813</v>
      </c>
      <c r="G32" s="262">
        <v>1959</v>
      </c>
      <c r="H32" s="262">
        <v>2086</v>
      </c>
      <c r="I32" s="262">
        <v>1980</v>
      </c>
      <c r="J32" s="262">
        <v>1839</v>
      </c>
      <c r="K32" s="262">
        <v>1705</v>
      </c>
      <c r="L32" s="262">
        <v>1532</v>
      </c>
      <c r="M32" s="262">
        <v>1371</v>
      </c>
      <c r="N32" s="262">
        <v>1231</v>
      </c>
    </row>
    <row r="33" spans="1:14" ht="12.75" customHeight="1">
      <c r="A33" s="152" t="s">
        <v>45</v>
      </c>
      <c r="B33" s="637">
        <f t="shared" si="0"/>
        <v>39465</v>
      </c>
      <c r="C33" s="262">
        <v>2565</v>
      </c>
      <c r="D33" s="262">
        <v>3110</v>
      </c>
      <c r="E33" s="262">
        <v>3310</v>
      </c>
      <c r="F33" s="262">
        <v>4510</v>
      </c>
      <c r="G33" s="262">
        <v>4215</v>
      </c>
      <c r="H33" s="262">
        <v>4095</v>
      </c>
      <c r="I33" s="262">
        <v>3595</v>
      </c>
      <c r="J33" s="262">
        <v>3250</v>
      </c>
      <c r="K33" s="262">
        <v>3015</v>
      </c>
      <c r="L33" s="262">
        <v>2675</v>
      </c>
      <c r="M33" s="262">
        <v>2440</v>
      </c>
      <c r="N33" s="262">
        <v>2685</v>
      </c>
    </row>
    <row r="34" spans="1:14" ht="12.75" customHeight="1">
      <c r="A34" s="129" t="s">
        <v>46</v>
      </c>
      <c r="B34" s="637">
        <f t="shared" si="0"/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</row>
    <row r="35" spans="1:14" ht="12.75" customHeight="1">
      <c r="A35" s="129" t="s">
        <v>47</v>
      </c>
      <c r="B35" s="637">
        <f t="shared" si="0"/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</row>
    <row r="36" spans="1:14" ht="12.75" customHeight="1">
      <c r="A36" s="129" t="s">
        <v>48</v>
      </c>
      <c r="B36" s="637">
        <f t="shared" si="0"/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</row>
    <row r="37" spans="1:14" ht="12.75" customHeight="1" thickBot="1">
      <c r="A37" s="154" t="s">
        <v>49</v>
      </c>
      <c r="B37" s="645">
        <f t="shared" si="0"/>
        <v>0</v>
      </c>
      <c r="C37" s="263">
        <v>0</v>
      </c>
      <c r="D37" s="263">
        <v>0</v>
      </c>
      <c r="E37" s="263">
        <v>0</v>
      </c>
      <c r="F37" s="263">
        <v>0</v>
      </c>
      <c r="G37" s="263">
        <v>0</v>
      </c>
      <c r="H37" s="263">
        <v>0</v>
      </c>
      <c r="I37" s="263">
        <v>0</v>
      </c>
      <c r="J37" s="263">
        <v>0</v>
      </c>
      <c r="K37" s="263">
        <v>0</v>
      </c>
      <c r="L37" s="263">
        <v>0</v>
      </c>
      <c r="M37" s="263">
        <v>0</v>
      </c>
      <c r="N37" s="263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70">
    <tabColor theme="9" tint="0.59999389629810485"/>
  </sheetPr>
  <dimension ref="A4:P54"/>
  <sheetViews>
    <sheetView showGridLines="0" topLeftCell="A4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6" ht="13.25" customHeight="1">
      <c r="A4" s="249" t="s">
        <v>542</v>
      </c>
      <c r="B4" s="245"/>
    </row>
    <row r="5" spans="1:16" ht="13.25" customHeight="1">
      <c r="A5" s="253" t="s">
        <v>236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6" ht="4" customHeight="1" thickBot="1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16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56"/>
      <c r="P7" s="156"/>
    </row>
    <row r="8" spans="1:16" ht="15" customHeight="1">
      <c r="A8" s="604" t="s">
        <v>90</v>
      </c>
      <c r="B8" s="614">
        <f t="shared" ref="B8:B37" si="0">SUM(C8:N8)</f>
        <v>3971.8</v>
      </c>
      <c r="C8" s="614">
        <f t="shared" ref="C8:N8" si="1">(C9+C10+C11+C12+C13+C17+C18+C19+C20+C21+C22+C23+C24+C25+C26+C27+C28+C29+C32+C33+C34+C35+C36+C37)</f>
        <v>281.5</v>
      </c>
      <c r="D8" s="614">
        <f t="shared" si="1"/>
        <v>309.10000000000002</v>
      </c>
      <c r="E8" s="614">
        <f t="shared" si="1"/>
        <v>331.09999999999997</v>
      </c>
      <c r="F8" s="614">
        <f t="shared" si="1"/>
        <v>381.20000000000005</v>
      </c>
      <c r="G8" s="614">
        <f t="shared" si="1"/>
        <v>380</v>
      </c>
      <c r="H8" s="614">
        <f t="shared" si="1"/>
        <v>389.5</v>
      </c>
      <c r="I8" s="614">
        <f t="shared" si="1"/>
        <v>364.9</v>
      </c>
      <c r="J8" s="614">
        <f t="shared" si="1"/>
        <v>334.8</v>
      </c>
      <c r="K8" s="614">
        <f t="shared" si="1"/>
        <v>315.10000000000002</v>
      </c>
      <c r="L8" s="614">
        <f t="shared" si="1"/>
        <v>288.7</v>
      </c>
      <c r="M8" s="614">
        <f t="shared" si="1"/>
        <v>288.39999999999998</v>
      </c>
      <c r="N8" s="614">
        <f t="shared" si="1"/>
        <v>307.5</v>
      </c>
    </row>
    <row r="9" spans="1:16" ht="12.75" customHeight="1">
      <c r="A9" s="152" t="s">
        <v>21</v>
      </c>
      <c r="B9" s="640">
        <f t="shared" si="0"/>
        <v>0</v>
      </c>
      <c r="C9" s="262">
        <v>0</v>
      </c>
      <c r="D9" s="262">
        <v>0</v>
      </c>
      <c r="E9" s="262">
        <v>0</v>
      </c>
      <c r="F9" s="262">
        <v>0</v>
      </c>
      <c r="G9" s="262">
        <v>0</v>
      </c>
      <c r="H9" s="262">
        <v>0</v>
      </c>
      <c r="I9" s="262">
        <v>0</v>
      </c>
      <c r="J9" s="262">
        <v>0</v>
      </c>
      <c r="K9" s="262">
        <v>0</v>
      </c>
      <c r="L9" s="262">
        <v>0</v>
      </c>
      <c r="M9" s="262">
        <v>0</v>
      </c>
      <c r="N9" s="262">
        <v>0</v>
      </c>
    </row>
    <row r="10" spans="1:16" ht="12.75" customHeight="1">
      <c r="A10" s="152" t="s">
        <v>22</v>
      </c>
      <c r="B10" s="640">
        <f t="shared" si="0"/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</row>
    <row r="11" spans="1:16" ht="12.75" customHeight="1">
      <c r="A11" s="152" t="s">
        <v>23</v>
      </c>
      <c r="B11" s="640">
        <f t="shared" si="0"/>
        <v>0</v>
      </c>
      <c r="C11" s="262">
        <v>0</v>
      </c>
      <c r="D11" s="262">
        <v>0</v>
      </c>
      <c r="E11" s="262">
        <v>0</v>
      </c>
      <c r="F11" s="262">
        <v>0</v>
      </c>
      <c r="G11" s="262">
        <v>0</v>
      </c>
      <c r="H11" s="262">
        <v>0</v>
      </c>
      <c r="I11" s="262">
        <v>0</v>
      </c>
      <c r="J11" s="262">
        <v>0</v>
      </c>
      <c r="K11" s="262">
        <v>0</v>
      </c>
      <c r="L11" s="262">
        <v>0</v>
      </c>
      <c r="M11" s="262">
        <v>0</v>
      </c>
      <c r="N11" s="262">
        <v>0</v>
      </c>
    </row>
    <row r="12" spans="1:16" ht="12.75" customHeight="1">
      <c r="A12" s="129" t="s">
        <v>24</v>
      </c>
      <c r="B12" s="640">
        <f t="shared" si="0"/>
        <v>0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0</v>
      </c>
      <c r="J12" s="262">
        <v>0</v>
      </c>
      <c r="K12" s="262">
        <v>0</v>
      </c>
      <c r="L12" s="262">
        <v>0</v>
      </c>
      <c r="M12" s="262">
        <v>0</v>
      </c>
      <c r="N12" s="262">
        <v>0</v>
      </c>
    </row>
    <row r="13" spans="1:16" ht="12.75" customHeight="1">
      <c r="A13" s="129" t="s">
        <v>25</v>
      </c>
      <c r="B13" s="640">
        <f t="shared" si="0"/>
        <v>0</v>
      </c>
      <c r="C13" s="262">
        <v>0</v>
      </c>
      <c r="D13" s="262">
        <v>0</v>
      </c>
      <c r="E13" s="262">
        <v>0</v>
      </c>
      <c r="F13" s="262">
        <v>0</v>
      </c>
      <c r="G13" s="262">
        <v>0</v>
      </c>
      <c r="H13" s="262">
        <v>0</v>
      </c>
      <c r="I13" s="262">
        <v>0</v>
      </c>
      <c r="J13" s="262">
        <v>0</v>
      </c>
      <c r="K13" s="262">
        <v>0</v>
      </c>
      <c r="L13" s="262">
        <v>0</v>
      </c>
      <c r="M13" s="262">
        <v>0</v>
      </c>
      <c r="N13" s="262">
        <v>0</v>
      </c>
    </row>
    <row r="14" spans="1:16" ht="12.75" customHeight="1">
      <c r="A14" s="127" t="s">
        <v>97</v>
      </c>
      <c r="B14" s="640">
        <f t="shared" si="0"/>
        <v>0</v>
      </c>
      <c r="C14" s="262">
        <v>0</v>
      </c>
      <c r="D14" s="262">
        <v>0</v>
      </c>
      <c r="E14" s="262">
        <v>0</v>
      </c>
      <c r="F14" s="262">
        <v>0</v>
      </c>
      <c r="G14" s="262">
        <v>0</v>
      </c>
      <c r="H14" s="262">
        <v>0</v>
      </c>
      <c r="I14" s="262">
        <v>0</v>
      </c>
      <c r="J14" s="262">
        <v>0</v>
      </c>
      <c r="K14" s="262">
        <v>0</v>
      </c>
      <c r="L14" s="262">
        <v>0</v>
      </c>
      <c r="M14" s="262">
        <v>0</v>
      </c>
      <c r="N14" s="262">
        <v>0</v>
      </c>
    </row>
    <row r="15" spans="1:16" ht="12.75" customHeight="1">
      <c r="A15" s="127" t="s">
        <v>98</v>
      </c>
      <c r="B15" s="640">
        <f t="shared" si="0"/>
        <v>0</v>
      </c>
      <c r="C15" s="262">
        <v>0</v>
      </c>
      <c r="D15" s="262">
        <v>0</v>
      </c>
      <c r="E15" s="262">
        <v>0</v>
      </c>
      <c r="F15" s="262">
        <v>0</v>
      </c>
      <c r="G15" s="262">
        <v>0</v>
      </c>
      <c r="H15" s="262">
        <v>0</v>
      </c>
      <c r="I15" s="262">
        <v>0</v>
      </c>
      <c r="J15" s="262">
        <v>0</v>
      </c>
      <c r="K15" s="262">
        <v>0</v>
      </c>
      <c r="L15" s="262">
        <v>0</v>
      </c>
      <c r="M15" s="262">
        <v>0</v>
      </c>
      <c r="N15" s="262">
        <v>0</v>
      </c>
    </row>
    <row r="16" spans="1:16" ht="12.75" customHeight="1">
      <c r="A16" s="127" t="s">
        <v>99</v>
      </c>
      <c r="B16" s="640">
        <f t="shared" si="0"/>
        <v>0</v>
      </c>
      <c r="C16" s="262">
        <v>0</v>
      </c>
      <c r="D16" s="262">
        <v>0</v>
      </c>
      <c r="E16" s="262">
        <v>0</v>
      </c>
      <c r="F16" s="262">
        <v>0</v>
      </c>
      <c r="G16" s="262">
        <v>0</v>
      </c>
      <c r="H16" s="262">
        <v>0</v>
      </c>
      <c r="I16" s="262">
        <v>0</v>
      </c>
      <c r="J16" s="262">
        <v>0</v>
      </c>
      <c r="K16" s="262">
        <v>0</v>
      </c>
      <c r="L16" s="262">
        <v>0</v>
      </c>
      <c r="M16" s="262">
        <v>0</v>
      </c>
      <c r="N16" s="262">
        <v>0</v>
      </c>
    </row>
    <row r="17" spans="1:14" ht="12.75" customHeight="1">
      <c r="A17" s="152" t="s">
        <v>29</v>
      </c>
      <c r="B17" s="640">
        <f t="shared" si="0"/>
        <v>0</v>
      </c>
      <c r="C17" s="262">
        <v>0</v>
      </c>
      <c r="D17" s="262">
        <v>0</v>
      </c>
      <c r="E17" s="262">
        <v>0</v>
      </c>
      <c r="F17" s="262">
        <v>0</v>
      </c>
      <c r="G17" s="262">
        <v>0</v>
      </c>
      <c r="H17" s="262">
        <v>0</v>
      </c>
      <c r="I17" s="262">
        <v>0</v>
      </c>
      <c r="J17" s="262">
        <v>0</v>
      </c>
      <c r="K17" s="262">
        <v>0</v>
      </c>
      <c r="L17" s="262">
        <v>0</v>
      </c>
      <c r="M17" s="262">
        <v>0</v>
      </c>
      <c r="N17" s="262">
        <v>0</v>
      </c>
    </row>
    <row r="18" spans="1:14" ht="12.75" customHeight="1">
      <c r="A18" s="129" t="s">
        <v>30</v>
      </c>
      <c r="B18" s="640">
        <f t="shared" si="0"/>
        <v>0</v>
      </c>
      <c r="C18" s="262">
        <v>0</v>
      </c>
      <c r="D18" s="262">
        <v>0</v>
      </c>
      <c r="E18" s="262">
        <v>0</v>
      </c>
      <c r="F18" s="262">
        <v>0</v>
      </c>
      <c r="G18" s="262">
        <v>0</v>
      </c>
      <c r="H18" s="262">
        <v>0</v>
      </c>
      <c r="I18" s="262">
        <v>0</v>
      </c>
      <c r="J18" s="262">
        <v>0</v>
      </c>
      <c r="K18" s="262">
        <v>0</v>
      </c>
      <c r="L18" s="262">
        <v>0</v>
      </c>
      <c r="M18" s="262">
        <v>0</v>
      </c>
      <c r="N18" s="262">
        <v>0</v>
      </c>
    </row>
    <row r="19" spans="1:14" ht="12.75" customHeight="1">
      <c r="A19" s="129" t="s">
        <v>31</v>
      </c>
      <c r="B19" s="640">
        <f t="shared" si="0"/>
        <v>59.699999999999996</v>
      </c>
      <c r="C19" s="262">
        <v>4.7</v>
      </c>
      <c r="D19" s="262">
        <v>5</v>
      </c>
      <c r="E19" s="262">
        <v>6.2</v>
      </c>
      <c r="F19" s="262">
        <v>4.5999999999999996</v>
      </c>
      <c r="G19" s="262">
        <v>4.9000000000000004</v>
      </c>
      <c r="H19" s="262">
        <v>5.4</v>
      </c>
      <c r="I19" s="262">
        <v>6.1</v>
      </c>
      <c r="J19" s="262">
        <v>3.9</v>
      </c>
      <c r="K19" s="262">
        <v>5</v>
      </c>
      <c r="L19" s="262">
        <v>3.4</v>
      </c>
      <c r="M19" s="262">
        <v>5.2</v>
      </c>
      <c r="N19" s="262">
        <v>5.3</v>
      </c>
    </row>
    <row r="20" spans="1:14" ht="12.75" customHeight="1">
      <c r="A20" s="152" t="s">
        <v>32</v>
      </c>
      <c r="B20" s="640">
        <f t="shared" si="0"/>
        <v>0</v>
      </c>
      <c r="C20" s="262">
        <v>0</v>
      </c>
      <c r="D20" s="262">
        <v>0</v>
      </c>
      <c r="E20" s="262">
        <v>0</v>
      </c>
      <c r="F20" s="262">
        <v>0</v>
      </c>
      <c r="G20" s="262">
        <v>0</v>
      </c>
      <c r="H20" s="262">
        <v>0</v>
      </c>
      <c r="I20" s="262">
        <v>0</v>
      </c>
      <c r="J20" s="262">
        <v>0</v>
      </c>
      <c r="K20" s="262">
        <v>0</v>
      </c>
      <c r="L20" s="262">
        <v>0</v>
      </c>
      <c r="M20" s="262">
        <v>0</v>
      </c>
      <c r="N20" s="262">
        <v>0</v>
      </c>
    </row>
    <row r="21" spans="1:14" ht="12.75" customHeight="1">
      <c r="A21" s="152" t="s">
        <v>33</v>
      </c>
      <c r="B21" s="640">
        <f t="shared" si="0"/>
        <v>0</v>
      </c>
      <c r="C21" s="262">
        <v>0</v>
      </c>
      <c r="D21" s="262">
        <v>0</v>
      </c>
      <c r="E21" s="262">
        <v>0</v>
      </c>
      <c r="F21" s="262">
        <v>0</v>
      </c>
      <c r="G21" s="262">
        <v>0</v>
      </c>
      <c r="H21" s="262">
        <v>0</v>
      </c>
      <c r="I21" s="262">
        <v>0</v>
      </c>
      <c r="J21" s="262">
        <v>0</v>
      </c>
      <c r="K21" s="262">
        <v>0</v>
      </c>
      <c r="L21" s="262">
        <v>0</v>
      </c>
      <c r="M21" s="262">
        <v>0</v>
      </c>
      <c r="N21" s="262">
        <v>0</v>
      </c>
    </row>
    <row r="22" spans="1:14" ht="12.75" customHeight="1">
      <c r="A22" s="152" t="s">
        <v>34</v>
      </c>
      <c r="B22" s="640">
        <f t="shared" si="0"/>
        <v>122.10000000000001</v>
      </c>
      <c r="C22" s="262">
        <v>6</v>
      </c>
      <c r="D22" s="262">
        <v>5.7</v>
      </c>
      <c r="E22" s="262">
        <v>8.3000000000000007</v>
      </c>
      <c r="F22" s="262">
        <v>11</v>
      </c>
      <c r="G22" s="262">
        <v>11.9</v>
      </c>
      <c r="H22" s="262">
        <v>14.4</v>
      </c>
      <c r="I22" s="262">
        <v>14.3</v>
      </c>
      <c r="J22" s="262">
        <v>10.7</v>
      </c>
      <c r="K22" s="262">
        <v>9.6</v>
      </c>
      <c r="L22" s="262">
        <v>5.9</v>
      </c>
      <c r="M22" s="262">
        <v>9.4</v>
      </c>
      <c r="N22" s="262">
        <v>14.9</v>
      </c>
    </row>
    <row r="23" spans="1:14" ht="12.75" customHeight="1">
      <c r="A23" s="152" t="s">
        <v>35</v>
      </c>
      <c r="B23" s="640">
        <f t="shared" si="0"/>
        <v>248.59999999999997</v>
      </c>
      <c r="C23" s="262">
        <v>22.1</v>
      </c>
      <c r="D23" s="262">
        <v>19.600000000000001</v>
      </c>
      <c r="E23" s="262">
        <v>19.5</v>
      </c>
      <c r="F23" s="262">
        <v>15.7</v>
      </c>
      <c r="G23" s="262">
        <v>18.8</v>
      </c>
      <c r="H23" s="262">
        <v>20.399999999999999</v>
      </c>
      <c r="I23" s="262">
        <v>21.1</v>
      </c>
      <c r="J23" s="262">
        <v>21.6</v>
      </c>
      <c r="K23" s="262">
        <v>21.9</v>
      </c>
      <c r="L23" s="262">
        <v>20.6</v>
      </c>
      <c r="M23" s="262">
        <v>23.1</v>
      </c>
      <c r="N23" s="262">
        <v>24.2</v>
      </c>
    </row>
    <row r="24" spans="1:14" ht="12.75" customHeight="1">
      <c r="A24" s="152" t="s">
        <v>36</v>
      </c>
      <c r="B24" s="640">
        <f t="shared" si="0"/>
        <v>252.5</v>
      </c>
      <c r="C24" s="262">
        <v>17.399999999999999</v>
      </c>
      <c r="D24" s="262">
        <v>19.8</v>
      </c>
      <c r="E24" s="262">
        <v>19.3</v>
      </c>
      <c r="F24" s="262">
        <v>20.7</v>
      </c>
      <c r="G24" s="262">
        <v>21.5</v>
      </c>
      <c r="H24" s="262">
        <v>22</v>
      </c>
      <c r="I24" s="262">
        <v>19</v>
      </c>
      <c r="J24" s="262">
        <v>19.3</v>
      </c>
      <c r="K24" s="262">
        <v>19.399999999999999</v>
      </c>
      <c r="L24" s="262">
        <v>23.4</v>
      </c>
      <c r="M24" s="262">
        <v>25.1</v>
      </c>
      <c r="N24" s="262">
        <v>25.6</v>
      </c>
    </row>
    <row r="25" spans="1:14" ht="12.75" customHeight="1">
      <c r="A25" s="129" t="s">
        <v>37</v>
      </c>
      <c r="B25" s="640">
        <f t="shared" si="0"/>
        <v>443.40000000000003</v>
      </c>
      <c r="C25" s="262">
        <v>36.700000000000003</v>
      </c>
      <c r="D25" s="262">
        <v>38.6</v>
      </c>
      <c r="E25" s="262">
        <v>38.299999999999997</v>
      </c>
      <c r="F25" s="262">
        <v>33.200000000000003</v>
      </c>
      <c r="G25" s="262">
        <v>31.8</v>
      </c>
      <c r="H25" s="262">
        <v>34.799999999999997</v>
      </c>
      <c r="I25" s="262">
        <v>35.799999999999997</v>
      </c>
      <c r="J25" s="262">
        <v>36.5</v>
      </c>
      <c r="K25" s="262">
        <v>36.9</v>
      </c>
      <c r="L25" s="262">
        <v>38.9</v>
      </c>
      <c r="M25" s="262">
        <v>40.6</v>
      </c>
      <c r="N25" s="262">
        <v>41.3</v>
      </c>
    </row>
    <row r="26" spans="1:14" ht="12.75" customHeight="1">
      <c r="A26" s="152" t="s">
        <v>38</v>
      </c>
      <c r="B26" s="640">
        <f t="shared" si="0"/>
        <v>61.300000000000004</v>
      </c>
      <c r="C26" s="262">
        <v>4.9000000000000004</v>
      </c>
      <c r="D26" s="262">
        <v>5.2</v>
      </c>
      <c r="E26" s="262">
        <v>5.4</v>
      </c>
      <c r="F26" s="262">
        <v>4.3</v>
      </c>
      <c r="G26" s="262">
        <v>3.8</v>
      </c>
      <c r="H26" s="262">
        <v>5.2</v>
      </c>
      <c r="I26" s="262">
        <v>5.3</v>
      </c>
      <c r="J26" s="262">
        <v>4.8</v>
      </c>
      <c r="K26" s="262">
        <v>4.5999999999999996</v>
      </c>
      <c r="L26" s="262">
        <v>5.5</v>
      </c>
      <c r="M26" s="262">
        <v>5.7</v>
      </c>
      <c r="N26" s="262">
        <v>6.6</v>
      </c>
    </row>
    <row r="27" spans="1:14" ht="12.75" customHeight="1">
      <c r="A27" s="152" t="s">
        <v>39</v>
      </c>
      <c r="B27" s="640">
        <f t="shared" si="0"/>
        <v>149.30000000000001</v>
      </c>
      <c r="C27" s="262">
        <v>9.6999999999999993</v>
      </c>
      <c r="D27" s="262">
        <v>10.4</v>
      </c>
      <c r="E27" s="262">
        <v>10.6</v>
      </c>
      <c r="F27" s="262">
        <v>11.6</v>
      </c>
      <c r="G27" s="262">
        <v>12.1</v>
      </c>
      <c r="H27" s="262">
        <v>13.7</v>
      </c>
      <c r="I27" s="262">
        <v>13.5</v>
      </c>
      <c r="J27" s="262">
        <v>13.6</v>
      </c>
      <c r="K27" s="262">
        <v>13.7</v>
      </c>
      <c r="L27" s="262">
        <v>12.9</v>
      </c>
      <c r="M27" s="262">
        <v>13.2</v>
      </c>
      <c r="N27" s="262">
        <v>14.3</v>
      </c>
    </row>
    <row r="28" spans="1:14" ht="12.75" customHeight="1">
      <c r="A28" s="152" t="s">
        <v>40</v>
      </c>
      <c r="B28" s="640">
        <f t="shared" si="0"/>
        <v>167.6</v>
      </c>
      <c r="C28" s="262">
        <v>13.3</v>
      </c>
      <c r="D28" s="262">
        <v>8.5</v>
      </c>
      <c r="E28" s="262">
        <v>13.3</v>
      </c>
      <c r="F28" s="262">
        <v>14.7</v>
      </c>
      <c r="G28" s="262">
        <v>17.600000000000001</v>
      </c>
      <c r="H28" s="262">
        <v>15.6</v>
      </c>
      <c r="I28" s="262">
        <v>19.100000000000001</v>
      </c>
      <c r="J28" s="262">
        <v>14.2</v>
      </c>
      <c r="K28" s="262">
        <v>12.2</v>
      </c>
      <c r="L28" s="262">
        <v>10.199999999999999</v>
      </c>
      <c r="M28" s="262">
        <v>13</v>
      </c>
      <c r="N28" s="262">
        <v>15.9</v>
      </c>
    </row>
    <row r="29" spans="1:14" ht="12.75" customHeight="1">
      <c r="A29" s="129" t="s">
        <v>41</v>
      </c>
      <c r="B29" s="640">
        <f t="shared" si="0"/>
        <v>284.50000000000006</v>
      </c>
      <c r="C29" s="262">
        <v>25.2</v>
      </c>
      <c r="D29" s="262">
        <v>24.9</v>
      </c>
      <c r="E29" s="262">
        <v>25.2</v>
      </c>
      <c r="F29" s="262">
        <v>25.3</v>
      </c>
      <c r="G29" s="262">
        <v>24.5</v>
      </c>
      <c r="H29" s="262">
        <v>24.5</v>
      </c>
      <c r="I29" s="262">
        <v>24.9</v>
      </c>
      <c r="J29" s="262">
        <v>23.9</v>
      </c>
      <c r="K29" s="262">
        <v>21.8</v>
      </c>
      <c r="L29" s="262">
        <v>22</v>
      </c>
      <c r="M29" s="262">
        <v>21.2</v>
      </c>
      <c r="N29" s="262">
        <v>21.1</v>
      </c>
    </row>
    <row r="30" spans="1:14" ht="12.75" customHeight="1">
      <c r="A30" s="127" t="s">
        <v>100</v>
      </c>
      <c r="B30" s="640">
        <f t="shared" si="0"/>
        <v>144.80000000000001</v>
      </c>
      <c r="C30" s="262">
        <v>12</v>
      </c>
      <c r="D30" s="262">
        <v>12.4</v>
      </c>
      <c r="E30" s="262">
        <v>12.6</v>
      </c>
      <c r="F30" s="262">
        <v>12.5</v>
      </c>
      <c r="G30" s="262">
        <v>12.4</v>
      </c>
      <c r="H30" s="262">
        <v>12.4</v>
      </c>
      <c r="I30" s="262">
        <v>12.7</v>
      </c>
      <c r="J30" s="262">
        <v>12</v>
      </c>
      <c r="K30" s="262">
        <v>10.199999999999999</v>
      </c>
      <c r="L30" s="262">
        <v>10.6</v>
      </c>
      <c r="M30" s="262">
        <v>12.5</v>
      </c>
      <c r="N30" s="262">
        <v>12.5</v>
      </c>
    </row>
    <row r="31" spans="1:14" ht="12.75" customHeight="1">
      <c r="A31" s="127" t="s">
        <v>101</v>
      </c>
      <c r="B31" s="640">
        <f t="shared" si="0"/>
        <v>139.19999999999999</v>
      </c>
      <c r="C31" s="262">
        <v>13.1</v>
      </c>
      <c r="D31" s="262">
        <v>12.5</v>
      </c>
      <c r="E31" s="262">
        <v>12.6</v>
      </c>
      <c r="F31" s="262">
        <v>12.8</v>
      </c>
      <c r="G31" s="262">
        <v>12.1</v>
      </c>
      <c r="H31" s="262">
        <v>12</v>
      </c>
      <c r="I31" s="262">
        <v>12.2</v>
      </c>
      <c r="J31" s="262">
        <v>11.8</v>
      </c>
      <c r="K31" s="262">
        <v>11.5</v>
      </c>
      <c r="L31" s="262">
        <v>11.3</v>
      </c>
      <c r="M31" s="262">
        <v>8.6999999999999993</v>
      </c>
      <c r="N31" s="262">
        <v>8.6</v>
      </c>
    </row>
    <row r="32" spans="1:14" ht="12.75" customHeight="1">
      <c r="A32" s="152" t="s">
        <v>44</v>
      </c>
      <c r="B32" s="640">
        <f t="shared" si="0"/>
        <v>614.59999999999991</v>
      </c>
      <c r="C32" s="262">
        <v>41.4</v>
      </c>
      <c r="D32" s="262">
        <v>46.5</v>
      </c>
      <c r="E32" s="262">
        <v>50.8</v>
      </c>
      <c r="F32" s="262">
        <v>56.2</v>
      </c>
      <c r="G32" s="262">
        <v>61.1</v>
      </c>
      <c r="H32" s="262">
        <v>64.7</v>
      </c>
      <c r="I32" s="262">
        <v>61.3</v>
      </c>
      <c r="J32" s="262">
        <v>56.4</v>
      </c>
      <c r="K32" s="262">
        <v>52.2</v>
      </c>
      <c r="L32" s="262">
        <v>46.6</v>
      </c>
      <c r="M32" s="262">
        <v>41.1</v>
      </c>
      <c r="N32" s="262">
        <v>36.299999999999997</v>
      </c>
    </row>
    <row r="33" spans="1:14" ht="12.75" customHeight="1">
      <c r="A33" s="152" t="s">
        <v>45</v>
      </c>
      <c r="B33" s="640">
        <f t="shared" si="0"/>
        <v>1568.2</v>
      </c>
      <c r="C33" s="262">
        <v>100.1</v>
      </c>
      <c r="D33" s="262">
        <v>124.9</v>
      </c>
      <c r="E33" s="262">
        <v>134.19999999999999</v>
      </c>
      <c r="F33" s="262">
        <v>183.9</v>
      </c>
      <c r="G33" s="262">
        <v>172</v>
      </c>
      <c r="H33" s="262">
        <v>168.8</v>
      </c>
      <c r="I33" s="262">
        <v>144.5</v>
      </c>
      <c r="J33" s="262">
        <v>129.9</v>
      </c>
      <c r="K33" s="262">
        <v>117.8</v>
      </c>
      <c r="L33" s="262">
        <v>99.3</v>
      </c>
      <c r="M33" s="262">
        <v>90.8</v>
      </c>
      <c r="N33" s="262">
        <v>102</v>
      </c>
    </row>
    <row r="34" spans="1:14" ht="12.75" customHeight="1">
      <c r="A34" s="129" t="s">
        <v>46</v>
      </c>
      <c r="B34" s="640">
        <f t="shared" si="0"/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</row>
    <row r="35" spans="1:14" ht="12.75" customHeight="1">
      <c r="A35" s="129" t="s">
        <v>47</v>
      </c>
      <c r="B35" s="640">
        <f t="shared" si="0"/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</row>
    <row r="36" spans="1:14" ht="12.75" customHeight="1">
      <c r="A36" s="129" t="s">
        <v>48</v>
      </c>
      <c r="B36" s="640">
        <f t="shared" si="0"/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</row>
    <row r="37" spans="1:14" ht="12.75" customHeight="1" thickBot="1">
      <c r="A37" s="154" t="s">
        <v>49</v>
      </c>
      <c r="B37" s="648">
        <f t="shared" si="0"/>
        <v>0</v>
      </c>
      <c r="C37" s="263">
        <v>0</v>
      </c>
      <c r="D37" s="263">
        <v>0</v>
      </c>
      <c r="E37" s="263">
        <v>0</v>
      </c>
      <c r="F37" s="263">
        <v>0</v>
      </c>
      <c r="G37" s="263">
        <v>0</v>
      </c>
      <c r="H37" s="263">
        <v>0</v>
      </c>
      <c r="I37" s="263">
        <v>0</v>
      </c>
      <c r="J37" s="263">
        <v>0</v>
      </c>
      <c r="K37" s="263">
        <v>0</v>
      </c>
      <c r="L37" s="263">
        <v>0</v>
      </c>
      <c r="M37" s="263">
        <v>0</v>
      </c>
      <c r="N37" s="263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Hoja71">
    <tabColor theme="9" tint="0.59999389629810485"/>
  </sheetPr>
  <dimension ref="A4:O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5" ht="13.25" customHeight="1">
      <c r="A4" s="249" t="s">
        <v>543</v>
      </c>
      <c r="B4" s="245"/>
    </row>
    <row r="5" spans="1:15" ht="13.25" customHeight="1">
      <c r="A5" s="252" t="s">
        <v>466</v>
      </c>
      <c r="B5" s="245"/>
    </row>
    <row r="6" spans="1:15" ht="4" customHeight="1" thickBot="1"/>
    <row r="7" spans="1:15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56"/>
    </row>
    <row r="8" spans="1:15" ht="15" customHeight="1">
      <c r="A8" s="604" t="s">
        <v>90</v>
      </c>
      <c r="B8" s="610">
        <f>'C-69'!B8/'C-68'!B8*1000</f>
        <v>33.590632038044234</v>
      </c>
      <c r="C8" s="610">
        <f>'C-69'!C8/'C-68'!C8*1000</f>
        <v>33.321496212121218</v>
      </c>
      <c r="D8" s="610">
        <f>('C-69'!D8/'C-68'!D8)*1000</f>
        <v>33.967032967032971</v>
      </c>
      <c r="E8" s="610">
        <f>('C-69'!E8/'C-68'!E8)*1000</f>
        <v>33.955491744436458</v>
      </c>
      <c r="F8" s="610">
        <f>('C-69'!F8/'C-68'!F8)*1000</f>
        <v>34.811831639315827</v>
      </c>
      <c r="G8" s="610">
        <f>('C-69'!G8/'C-68'!G8)*1000</f>
        <v>34.376696218563417</v>
      </c>
      <c r="H8" s="610">
        <f>('C-69'!H8/'C-68'!H8)*1000</f>
        <v>34.432461103253182</v>
      </c>
      <c r="I8" s="610">
        <f>('C-69'!I8/'C-68'!I8)*1000</f>
        <v>33.600368324125228</v>
      </c>
      <c r="J8" s="610">
        <f>('C-69'!J8/'C-68'!J8)*1000</f>
        <v>33.47665233476652</v>
      </c>
      <c r="K8" s="610">
        <f>('C-69'!K8/'C-68'!K8)*1000</f>
        <v>32.970597467824632</v>
      </c>
      <c r="L8" s="610">
        <f>('C-69'!L8/'C-68'!L8)*1000</f>
        <v>32.625155384789238</v>
      </c>
      <c r="M8" s="610">
        <f>('C-69'!M8/'C-68'!M8)*1000</f>
        <v>32.360861759425489</v>
      </c>
      <c r="N8" s="610">
        <f>('C-69'!N8/'C-68'!N8)*1000</f>
        <v>32.550015878056527</v>
      </c>
    </row>
    <row r="9" spans="1:15" ht="12.75" customHeight="1">
      <c r="A9" s="152" t="s">
        <v>21</v>
      </c>
      <c r="B9" s="642">
        <v>0</v>
      </c>
      <c r="C9" s="264">
        <v>0</v>
      </c>
      <c r="D9" s="264">
        <v>0</v>
      </c>
      <c r="E9" s="264">
        <v>0</v>
      </c>
      <c r="F9" s="264">
        <v>0</v>
      </c>
      <c r="G9" s="264">
        <v>0</v>
      </c>
      <c r="H9" s="264">
        <v>0</v>
      </c>
      <c r="I9" s="264">
        <v>0</v>
      </c>
      <c r="J9" s="264">
        <v>0</v>
      </c>
      <c r="K9" s="264">
        <v>0</v>
      </c>
      <c r="L9" s="264">
        <v>0</v>
      </c>
      <c r="M9" s="264">
        <v>0</v>
      </c>
      <c r="N9" s="264">
        <v>0</v>
      </c>
    </row>
    <row r="10" spans="1:15" ht="12.75" customHeight="1">
      <c r="A10" s="152" t="s">
        <v>22</v>
      </c>
      <c r="B10" s="642">
        <v>0</v>
      </c>
      <c r="C10" s="264">
        <v>0</v>
      </c>
      <c r="D10" s="264">
        <v>0</v>
      </c>
      <c r="E10" s="264">
        <v>0</v>
      </c>
      <c r="F10" s="264">
        <v>0</v>
      </c>
      <c r="G10" s="264">
        <v>0</v>
      </c>
      <c r="H10" s="264">
        <v>0</v>
      </c>
      <c r="I10" s="264">
        <v>0</v>
      </c>
      <c r="J10" s="264">
        <v>0</v>
      </c>
      <c r="K10" s="264">
        <v>0</v>
      </c>
      <c r="L10" s="264">
        <v>0</v>
      </c>
      <c r="M10" s="264">
        <v>0</v>
      </c>
      <c r="N10" s="264">
        <v>0</v>
      </c>
    </row>
    <row r="11" spans="1:15" ht="12.75" customHeight="1">
      <c r="A11" s="152" t="s">
        <v>23</v>
      </c>
      <c r="B11" s="642">
        <v>0</v>
      </c>
      <c r="C11" s="264">
        <v>0</v>
      </c>
      <c r="D11" s="264">
        <v>0</v>
      </c>
      <c r="E11" s="264">
        <v>0</v>
      </c>
      <c r="F11" s="264">
        <v>0</v>
      </c>
      <c r="G11" s="264">
        <v>0</v>
      </c>
      <c r="H11" s="264">
        <v>0</v>
      </c>
      <c r="I11" s="264">
        <v>0</v>
      </c>
      <c r="J11" s="264">
        <v>0</v>
      </c>
      <c r="K11" s="264">
        <v>0</v>
      </c>
      <c r="L11" s="264">
        <v>0</v>
      </c>
      <c r="M11" s="264">
        <v>0</v>
      </c>
      <c r="N11" s="264">
        <v>0</v>
      </c>
    </row>
    <row r="12" spans="1:15" ht="12.75" customHeight="1">
      <c r="A12" s="129" t="s">
        <v>24</v>
      </c>
      <c r="B12" s="642">
        <v>0</v>
      </c>
      <c r="C12" s="264">
        <v>0</v>
      </c>
      <c r="D12" s="264">
        <v>0</v>
      </c>
      <c r="E12" s="264">
        <v>0</v>
      </c>
      <c r="F12" s="264">
        <v>0</v>
      </c>
      <c r="G12" s="264">
        <v>0</v>
      </c>
      <c r="H12" s="264">
        <v>0</v>
      </c>
      <c r="I12" s="264">
        <v>0</v>
      </c>
      <c r="J12" s="264">
        <v>0</v>
      </c>
      <c r="K12" s="264">
        <v>0</v>
      </c>
      <c r="L12" s="264">
        <v>0</v>
      </c>
      <c r="M12" s="264">
        <v>0</v>
      </c>
      <c r="N12" s="264">
        <v>0</v>
      </c>
    </row>
    <row r="13" spans="1:15" ht="12.75" customHeight="1">
      <c r="A13" s="129" t="s">
        <v>25</v>
      </c>
      <c r="B13" s="642">
        <v>0</v>
      </c>
      <c r="C13" s="264">
        <v>0</v>
      </c>
      <c r="D13" s="264">
        <v>0</v>
      </c>
      <c r="E13" s="264">
        <v>0</v>
      </c>
      <c r="F13" s="264">
        <v>0</v>
      </c>
      <c r="G13" s="264">
        <v>0</v>
      </c>
      <c r="H13" s="264">
        <v>0</v>
      </c>
      <c r="I13" s="264">
        <v>0</v>
      </c>
      <c r="J13" s="264">
        <v>0</v>
      </c>
      <c r="K13" s="264">
        <v>0</v>
      </c>
      <c r="L13" s="264">
        <v>0</v>
      </c>
      <c r="M13" s="264">
        <v>0</v>
      </c>
      <c r="N13" s="264">
        <v>0</v>
      </c>
    </row>
    <row r="14" spans="1:15" ht="12.75" customHeight="1">
      <c r="A14" s="127" t="s">
        <v>97</v>
      </c>
      <c r="B14" s="642">
        <v>0</v>
      </c>
      <c r="C14" s="264">
        <v>0</v>
      </c>
      <c r="D14" s="264">
        <v>0</v>
      </c>
      <c r="E14" s="264">
        <v>0</v>
      </c>
      <c r="F14" s="264">
        <v>0</v>
      </c>
      <c r="G14" s="264">
        <v>0</v>
      </c>
      <c r="H14" s="264">
        <v>0</v>
      </c>
      <c r="I14" s="264">
        <v>0</v>
      </c>
      <c r="J14" s="264">
        <v>0</v>
      </c>
      <c r="K14" s="264">
        <v>0</v>
      </c>
      <c r="L14" s="264">
        <v>0</v>
      </c>
      <c r="M14" s="264">
        <v>0</v>
      </c>
      <c r="N14" s="264">
        <v>0</v>
      </c>
    </row>
    <row r="15" spans="1:15" ht="12.75" customHeight="1">
      <c r="A15" s="127" t="s">
        <v>98</v>
      </c>
      <c r="B15" s="642">
        <v>0</v>
      </c>
      <c r="C15" s="264">
        <v>0</v>
      </c>
      <c r="D15" s="264">
        <v>0</v>
      </c>
      <c r="E15" s="264">
        <v>0</v>
      </c>
      <c r="F15" s="264">
        <v>0</v>
      </c>
      <c r="G15" s="264">
        <v>0</v>
      </c>
      <c r="H15" s="264">
        <v>0</v>
      </c>
      <c r="I15" s="264">
        <v>0</v>
      </c>
      <c r="J15" s="264">
        <v>0</v>
      </c>
      <c r="K15" s="264">
        <v>0</v>
      </c>
      <c r="L15" s="264">
        <v>0</v>
      </c>
      <c r="M15" s="264">
        <v>0</v>
      </c>
      <c r="N15" s="264">
        <v>0</v>
      </c>
    </row>
    <row r="16" spans="1:15" ht="12.75" customHeight="1">
      <c r="A16" s="127" t="s">
        <v>99</v>
      </c>
      <c r="B16" s="642">
        <v>0</v>
      </c>
      <c r="C16" s="264">
        <v>0</v>
      </c>
      <c r="D16" s="264">
        <v>0</v>
      </c>
      <c r="E16" s="264">
        <v>0</v>
      </c>
      <c r="F16" s="264">
        <v>0</v>
      </c>
      <c r="G16" s="264">
        <v>0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</row>
    <row r="17" spans="1:14" ht="12.75" customHeight="1">
      <c r="A17" s="152" t="s">
        <v>29</v>
      </c>
      <c r="B17" s="642">
        <v>0</v>
      </c>
      <c r="C17" s="264">
        <v>0</v>
      </c>
      <c r="D17" s="264">
        <v>0</v>
      </c>
      <c r="E17" s="264">
        <v>0</v>
      </c>
      <c r="F17" s="264">
        <v>0</v>
      </c>
      <c r="G17" s="264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</row>
    <row r="18" spans="1:14" ht="12.75" customHeight="1">
      <c r="A18" s="129" t="s">
        <v>30</v>
      </c>
      <c r="B18" s="642">
        <v>0</v>
      </c>
      <c r="C18" s="264">
        <v>0</v>
      </c>
      <c r="D18" s="264">
        <v>0</v>
      </c>
      <c r="E18" s="264">
        <v>0</v>
      </c>
      <c r="F18" s="264">
        <v>0</v>
      </c>
      <c r="G18" s="264">
        <v>0</v>
      </c>
      <c r="H18" s="264">
        <v>0</v>
      </c>
      <c r="I18" s="264">
        <v>0</v>
      </c>
      <c r="J18" s="264">
        <v>0</v>
      </c>
      <c r="K18" s="264">
        <v>0</v>
      </c>
      <c r="L18" s="264">
        <v>0</v>
      </c>
      <c r="M18" s="264">
        <v>0</v>
      </c>
      <c r="N18" s="264">
        <v>0</v>
      </c>
    </row>
    <row r="19" spans="1:14" ht="12.75" customHeight="1">
      <c r="A19" s="129" t="s">
        <v>31</v>
      </c>
      <c r="B19" s="642">
        <f>('C-69'!B19/'C-68'!B19)*1000</f>
        <v>30.412633723892</v>
      </c>
      <c r="C19" s="264">
        <f>('C-69'!C19/'C-68'!C19)*1000</f>
        <v>32.638888888888893</v>
      </c>
      <c r="D19" s="264">
        <f>('C-69'!D19/'C-68'!D19)*1000</f>
        <v>29.411764705882351</v>
      </c>
      <c r="E19" s="264">
        <f>('C-69'!E19/'C-68'!E19)*1000</f>
        <v>29.10798122065728</v>
      </c>
      <c r="F19" s="264">
        <f>('C-69'!F19/'C-68'!F19)*1000</f>
        <v>28.39506172839506</v>
      </c>
      <c r="G19" s="264">
        <f>('C-69'!G19/'C-68'!G19)*1000</f>
        <v>26.486486486486491</v>
      </c>
      <c r="H19" s="264">
        <f>('C-69'!H19/'C-68'!H19)*1000</f>
        <v>29.032258064516132</v>
      </c>
      <c r="I19" s="264">
        <f>('C-69'!I19/'C-68'!I19)*1000</f>
        <v>31.122448979591834</v>
      </c>
      <c r="J19" s="264">
        <f>('C-69'!J19/'C-68'!J19)*1000</f>
        <v>32.231404958677686</v>
      </c>
      <c r="K19" s="264">
        <f>('C-69'!K19/'C-68'!K19)*1000</f>
        <v>33.783783783783782</v>
      </c>
      <c r="L19" s="264">
        <f>('C-69'!L19/'C-68'!L19)*1000</f>
        <v>33.009708737864074</v>
      </c>
      <c r="M19" s="264">
        <f>('C-69'!M19/'C-68'!M19)*1000</f>
        <v>30.4093567251462</v>
      </c>
      <c r="N19" s="264">
        <f>('C-69'!N19/'C-68'!N19)*1000</f>
        <v>32.31707317073171</v>
      </c>
    </row>
    <row r="20" spans="1:14" ht="12.75" customHeight="1">
      <c r="A20" s="152" t="s">
        <v>32</v>
      </c>
      <c r="B20" s="642">
        <v>0</v>
      </c>
      <c r="C20" s="264">
        <v>0</v>
      </c>
      <c r="D20" s="264">
        <v>0</v>
      </c>
      <c r="E20" s="264">
        <v>0</v>
      </c>
      <c r="F20" s="264">
        <v>0</v>
      </c>
      <c r="G20" s="264">
        <v>0</v>
      </c>
      <c r="H20" s="264">
        <v>0</v>
      </c>
      <c r="I20" s="264">
        <v>0</v>
      </c>
      <c r="J20" s="264">
        <v>0</v>
      </c>
      <c r="K20" s="264">
        <v>0</v>
      </c>
      <c r="L20" s="264">
        <v>0</v>
      </c>
      <c r="M20" s="264">
        <v>0</v>
      </c>
      <c r="N20" s="264">
        <v>0</v>
      </c>
    </row>
    <row r="21" spans="1:14" ht="12.75" customHeight="1">
      <c r="A21" s="152" t="s">
        <v>33</v>
      </c>
      <c r="B21" s="642">
        <v>0</v>
      </c>
      <c r="C21" s="264">
        <v>0</v>
      </c>
      <c r="D21" s="264">
        <v>0</v>
      </c>
      <c r="E21" s="264">
        <v>0</v>
      </c>
      <c r="F21" s="264">
        <v>0</v>
      </c>
      <c r="G21" s="264">
        <v>0</v>
      </c>
      <c r="H21" s="264">
        <v>0</v>
      </c>
      <c r="I21" s="264">
        <v>0</v>
      </c>
      <c r="J21" s="264">
        <v>0</v>
      </c>
      <c r="K21" s="264">
        <v>0</v>
      </c>
      <c r="L21" s="264">
        <v>0</v>
      </c>
      <c r="M21" s="264">
        <v>0</v>
      </c>
      <c r="N21" s="264">
        <v>0</v>
      </c>
    </row>
    <row r="22" spans="1:14" ht="12.75" customHeight="1">
      <c r="A22" s="152" t="s">
        <v>34</v>
      </c>
      <c r="B22" s="642">
        <f>('C-69'!B22/'C-68'!B22)*1000</f>
        <v>29.119961841163846</v>
      </c>
      <c r="C22" s="264">
        <f>('C-69'!C22/'C-68'!C22)*1000</f>
        <v>29.126213592233011</v>
      </c>
      <c r="D22" s="264">
        <f>('C-69'!D22/'C-68'!D22)*1000</f>
        <v>29.081632653061227</v>
      </c>
      <c r="E22" s="264">
        <f>('C-69'!E22/'C-68'!E22)*1000</f>
        <v>28.919860627177705</v>
      </c>
      <c r="F22" s="264">
        <f>('C-69'!F22/'C-68'!F22)*1000</f>
        <v>29.810298102981029</v>
      </c>
      <c r="G22" s="264">
        <f>('C-69'!G22/'C-68'!G22)*1000</f>
        <v>28.132387706855795</v>
      </c>
      <c r="H22" s="264">
        <f>('C-69'!H22/'C-68'!H22)*1000</f>
        <v>29.09090909090909</v>
      </c>
      <c r="I22" s="264">
        <f>('C-69'!I22/'C-68'!I22)*1000</f>
        <v>29.124236252545824</v>
      </c>
      <c r="J22" s="264">
        <f>('C-69'!J22/'C-68'!J22)*1000</f>
        <v>28.083989501312335</v>
      </c>
      <c r="K22" s="264">
        <f>('C-69'!K22/'C-68'!K22)*1000</f>
        <v>29.09090909090909</v>
      </c>
      <c r="L22" s="264">
        <f>('C-69'!L22/'C-68'!L22)*1000</f>
        <v>32.240437158469952</v>
      </c>
      <c r="M22" s="264">
        <f>('C-69'!M22/'C-68'!M22)*1000</f>
        <v>29.283489096573209</v>
      </c>
      <c r="N22" s="264">
        <f>('C-69'!N22/'C-68'!N22)*1000</f>
        <v>29.158512720156558</v>
      </c>
    </row>
    <row r="23" spans="1:14" ht="12.75" customHeight="1">
      <c r="A23" s="152" t="s">
        <v>35</v>
      </c>
      <c r="B23" s="642">
        <f>('C-69'!B23/'C-68'!B23)*1000</f>
        <v>28.090395480225986</v>
      </c>
      <c r="C23" s="264">
        <f>('C-69'!C23/'C-68'!C23)*1000</f>
        <v>28.479381443298973</v>
      </c>
      <c r="D23" s="264">
        <f>('C-69'!D23/'C-68'!D23)*1000</f>
        <v>27.762039660056661</v>
      </c>
      <c r="E23" s="264">
        <f>('C-69'!E23/'C-68'!E23)*1000</f>
        <v>27.857142857142858</v>
      </c>
      <c r="F23" s="264">
        <f>('C-69'!F23/'C-68'!F23)*1000</f>
        <v>28.702010968921389</v>
      </c>
      <c r="G23" s="264">
        <f>('C-69'!G23/'C-68'!G23)*1000</f>
        <v>28.101644245142001</v>
      </c>
      <c r="H23" s="264">
        <f>('C-69'!H23/'C-68'!H23)*1000</f>
        <v>27.906976744186046</v>
      </c>
      <c r="I23" s="264">
        <f>('C-69'!I23/'C-68'!I23)*1000</f>
        <v>27.910052910052912</v>
      </c>
      <c r="J23" s="264">
        <f>('C-69'!J23/'C-68'!J23)*1000</f>
        <v>28.051948051948052</v>
      </c>
      <c r="K23" s="264">
        <f>('C-69'!K23/'C-68'!K23)*1000</f>
        <v>27.547169811320753</v>
      </c>
      <c r="L23" s="264">
        <f>('C-69'!L23/'C-68'!L23)*1000</f>
        <v>28.296703296703299</v>
      </c>
      <c r="M23" s="264">
        <f>('C-69'!M23/'C-68'!M23)*1000</f>
        <v>28.553770086526576</v>
      </c>
      <c r="N23" s="264">
        <f>('C-69'!N23/'C-68'!N23)*1000</f>
        <v>28.041714947856313</v>
      </c>
    </row>
    <row r="24" spans="1:14" ht="12.75" customHeight="1">
      <c r="A24" s="152" t="s">
        <v>36</v>
      </c>
      <c r="B24" s="642">
        <f>('C-69'!B24/'C-68'!B24)*1000</f>
        <v>29.902889625769777</v>
      </c>
      <c r="C24" s="264">
        <f>('C-69'!C24/'C-68'!C24)*1000</f>
        <v>31.071428571428569</v>
      </c>
      <c r="D24" s="264">
        <f>('C-69'!D24/'C-68'!D24)*1000</f>
        <v>31.428571428571431</v>
      </c>
      <c r="E24" s="264">
        <f>('C-69'!E24/'C-68'!E24)*1000</f>
        <v>29.922480620155039</v>
      </c>
      <c r="F24" s="264">
        <f>('C-69'!F24/'C-68'!F24)*1000</f>
        <v>30.441176470588236</v>
      </c>
      <c r="G24" s="264">
        <f>('C-69'!G24/'C-68'!G24)*1000</f>
        <v>29.778393351800553</v>
      </c>
      <c r="H24" s="264">
        <f>('C-69'!H24/'C-68'!H24)*1000</f>
        <v>29.411764705882351</v>
      </c>
      <c r="I24" s="264">
        <f>('C-69'!I24/'C-68'!I24)*1000</f>
        <v>27.982326951399116</v>
      </c>
      <c r="J24" s="264">
        <f>('C-69'!J24/'C-68'!J24)*1000</f>
        <v>28.052325581395351</v>
      </c>
      <c r="K24" s="264">
        <f>('C-69'!K24/'C-68'!K24)*1000</f>
        <v>27.478753541076482</v>
      </c>
      <c r="L24" s="264">
        <f>('C-69'!L24/'C-68'!L24)*1000</f>
        <v>30.6282722513089</v>
      </c>
      <c r="M24" s="264">
        <f>('C-69'!M24/'C-68'!M24)*1000</f>
        <v>30.095923261390887</v>
      </c>
      <c r="N24" s="264">
        <f>('C-69'!N24/'C-68'!N24)*1000</f>
        <v>32.487309644670056</v>
      </c>
    </row>
    <row r="25" spans="1:14" ht="12.75" customHeight="1">
      <c r="A25" s="129" t="s">
        <v>37</v>
      </c>
      <c r="B25" s="642">
        <f>('C-69'!B25/'C-68'!B25)*1000</f>
        <v>34.538090045178379</v>
      </c>
      <c r="C25" s="264">
        <f>('C-69'!C25/'C-68'!C25)*1000</f>
        <v>34.460093896713616</v>
      </c>
      <c r="D25" s="264">
        <f>('C-69'!D25/'C-68'!D25)*1000</f>
        <v>33.978873239436624</v>
      </c>
      <c r="E25" s="264">
        <f>('C-69'!E25/'C-68'!E25)*1000</f>
        <v>34.473447344734467</v>
      </c>
      <c r="F25" s="264">
        <f>('C-69'!F25/'C-68'!F25)*1000</f>
        <v>35.021097046413509</v>
      </c>
      <c r="G25" s="264">
        <f>('C-69'!G25/'C-68'!G25)*1000</f>
        <v>34.983498349834981</v>
      </c>
      <c r="H25" s="264">
        <f>('C-69'!H25/'C-68'!H25)*1000</f>
        <v>35.010060362173036</v>
      </c>
      <c r="I25" s="264">
        <f>('C-69'!I25/'C-68'!I25)*1000</f>
        <v>34.995112414467251</v>
      </c>
      <c r="J25" s="264">
        <f>('C-69'!J25/'C-68'!J25)*1000</f>
        <v>34.795042897998094</v>
      </c>
      <c r="K25" s="264">
        <f>('C-69'!K25/'C-68'!K25)*1000</f>
        <v>34.582942830365511</v>
      </c>
      <c r="L25" s="264">
        <f>('C-69'!L25/'C-68'!L25)*1000</f>
        <v>34.39434129089301</v>
      </c>
      <c r="M25" s="264">
        <f>('C-69'!M25/'C-68'!M25)*1000</f>
        <v>34.089000839630557</v>
      </c>
      <c r="N25" s="264">
        <f>('C-69'!N25/'C-68'!N25)*1000</f>
        <v>34.019769357495882</v>
      </c>
    </row>
    <row r="26" spans="1:14" ht="12.75" customHeight="1">
      <c r="A26" s="152" t="s">
        <v>38</v>
      </c>
      <c r="B26" s="642">
        <f>('C-69'!B26/'C-68'!B26)*1000</f>
        <v>36.293664890467738</v>
      </c>
      <c r="C26" s="264">
        <f>('C-69'!C26/'C-68'!C26)*1000</f>
        <v>40.16393442622951</v>
      </c>
      <c r="D26" s="264">
        <f>('C-69'!D26/'C-68'!D26)*1000</f>
        <v>40</v>
      </c>
      <c r="E26" s="264">
        <f>('C-69'!E26/'C-68'!E26)*1000</f>
        <v>36.734693877551024</v>
      </c>
      <c r="F26" s="264">
        <f>('C-69'!F26/'C-68'!F26)*1000</f>
        <v>36.134453781512605</v>
      </c>
      <c r="G26" s="264">
        <f>('C-69'!G26/'C-68'!G26)*1000</f>
        <v>34.862385321100909</v>
      </c>
      <c r="H26" s="264">
        <f>('C-69'!H26/'C-68'!H26)*1000</f>
        <v>36.879432624113477</v>
      </c>
      <c r="I26" s="264">
        <f>('C-69'!I26/'C-68'!I26)*1000</f>
        <v>36.054421768707485</v>
      </c>
      <c r="J26" s="264">
        <f>('C-69'!J26/'C-68'!J26)*1000</f>
        <v>36.641221374045806</v>
      </c>
      <c r="K26" s="264">
        <f>('C-69'!K26/'C-68'!K26)*1000</f>
        <v>38.016528925619831</v>
      </c>
      <c r="L26" s="264">
        <f>('C-69'!L26/'C-68'!L26)*1000</f>
        <v>30.726256983240223</v>
      </c>
      <c r="M26" s="264">
        <f>('C-69'!M26/'C-68'!M26)*1000</f>
        <v>35.403726708074529</v>
      </c>
      <c r="N26" s="264">
        <f>('C-69'!N26/'C-68'!N26)*1000</f>
        <v>36.263736263736263</v>
      </c>
    </row>
    <row r="27" spans="1:14" ht="12.75" customHeight="1">
      <c r="A27" s="152" t="s">
        <v>39</v>
      </c>
      <c r="B27" s="642">
        <f>('C-69'!B27/'C-68'!B27)*1000</f>
        <v>29.080638878067784</v>
      </c>
      <c r="C27" s="264">
        <f>('C-69'!C27/'C-68'!C27)*1000</f>
        <v>29.305135951661629</v>
      </c>
      <c r="D27" s="264">
        <f>('C-69'!D27/'C-68'!D27)*1000</f>
        <v>28.969359331476326</v>
      </c>
      <c r="E27" s="264">
        <f>('C-69'!E27/'C-68'!E27)*1000</f>
        <v>29.201101928374655</v>
      </c>
      <c r="F27" s="264">
        <f>('C-69'!F27/'C-68'!F27)*1000</f>
        <v>29.441624365482234</v>
      </c>
      <c r="G27" s="264">
        <f>('C-69'!G27/'C-68'!G27)*1000</f>
        <v>28.470588235294116</v>
      </c>
      <c r="H27" s="264">
        <f>('C-69'!H27/'C-68'!H27)*1000</f>
        <v>29.087048832271758</v>
      </c>
      <c r="I27" s="264">
        <f>('C-69'!I27/'C-68'!I27)*1000</f>
        <v>29.220779220779221</v>
      </c>
      <c r="J27" s="264">
        <f>('C-69'!J27/'C-68'!J27)*1000</f>
        <v>29.184549356223176</v>
      </c>
      <c r="K27" s="264">
        <f>('C-69'!K27/'C-68'!K27)*1000</f>
        <v>29.087048832271758</v>
      </c>
      <c r="L27" s="264">
        <f>('C-69'!L27/'C-68'!L27)*1000</f>
        <v>29.31818181818182</v>
      </c>
      <c r="M27" s="264">
        <f>('C-69'!M27/'C-68'!M27)*1000</f>
        <v>28.509719222462202</v>
      </c>
      <c r="N27" s="264">
        <f>('C-69'!N27/'C-68'!N27)*1000</f>
        <v>29.243353783231083</v>
      </c>
    </row>
    <row r="28" spans="1:14" ht="12.75" customHeight="1">
      <c r="A28" s="152" t="s">
        <v>40</v>
      </c>
      <c r="B28" s="642">
        <f>('C-69'!B28/'C-68'!B28)*1000</f>
        <v>30.00358037952023</v>
      </c>
      <c r="C28" s="264">
        <f>('C-69'!C28/'C-68'!C28)*1000</f>
        <v>30.715935334872981</v>
      </c>
      <c r="D28" s="264">
        <f>('C-69'!D28/'C-68'!D28)*1000</f>
        <v>30.797101449275363</v>
      </c>
      <c r="E28" s="264">
        <f>('C-69'!E28/'C-68'!E28)*1000</f>
        <v>30.787037037037038</v>
      </c>
      <c r="F28" s="264">
        <f>('C-69'!F28/'C-68'!F28)*1000</f>
        <v>30.688935281837157</v>
      </c>
      <c r="G28" s="264">
        <f>('C-69'!G28/'C-68'!G28)*1000</f>
        <v>30.931458699472763</v>
      </c>
      <c r="H28" s="264">
        <f>('C-69'!H28/'C-68'!H28)*1000</f>
        <v>30.528375733855185</v>
      </c>
      <c r="I28" s="264">
        <f>('C-69'!I28/'C-68'!I28)*1000</f>
        <v>30.126182965299684</v>
      </c>
      <c r="J28" s="264">
        <f>('C-69'!J28/'C-68'!J28)*1000</f>
        <v>30.277185501066096</v>
      </c>
      <c r="K28" s="264">
        <f>('C-69'!K28/'C-68'!K28)*1000</f>
        <v>29.68369829683698</v>
      </c>
      <c r="L28" s="264">
        <f>('C-69'!L28/'C-68'!L28)*1000</f>
        <v>29.82456140350877</v>
      </c>
      <c r="M28" s="264">
        <f>('C-69'!M28/'C-68'!M28)*1000</f>
        <v>28.888888888888889</v>
      </c>
      <c r="N28" s="264">
        <f>('C-69'!N28/'C-68'!N28)*1000</f>
        <v>27.413793103448278</v>
      </c>
    </row>
    <row r="29" spans="1:14" ht="12.75" customHeight="1">
      <c r="A29" s="129" t="s">
        <v>41</v>
      </c>
      <c r="B29" s="642">
        <f>('C-69'!B29/'C-68'!B29)*1000</f>
        <v>28.330163408780866</v>
      </c>
      <c r="C29" s="264">
        <f>('C-69'!C29/'C-68'!C29)*1000</f>
        <v>28.378378378378375</v>
      </c>
      <c r="D29" s="264">
        <f>('C-69'!D29/'C-68'!D29)*1000</f>
        <v>28.522336769759448</v>
      </c>
      <c r="E29" s="264">
        <f>('C-69'!E29/'C-68'!E29)*1000</f>
        <v>28.187919463087248</v>
      </c>
      <c r="F29" s="264">
        <f>('C-69'!F29/'C-68'!F29)*1000</f>
        <v>27.224792854836977</v>
      </c>
      <c r="G29" s="264">
        <f>('C-69'!G29/'C-68'!G29)*1000</f>
        <v>28.193325661680092</v>
      </c>
      <c r="H29" s="264">
        <f>('C-69'!H29/'C-68'!H29)*1000</f>
        <v>28.688524590163937</v>
      </c>
      <c r="I29" s="264">
        <f>('C-69'!I29/'C-68'!I29)*1000</f>
        <v>27.759197324414714</v>
      </c>
      <c r="J29" s="264">
        <f>('C-69'!J29/'C-68'!J29)*1000</f>
        <v>28.554360812425326</v>
      </c>
      <c r="K29" s="264">
        <f>('C-69'!K29/'C-68'!K29)*1000</f>
        <v>27.664974619289339</v>
      </c>
      <c r="L29" s="264">
        <f>('C-69'!L29/'C-68'!L29)*1000</f>
        <v>28.497409326424872</v>
      </c>
      <c r="M29" s="264">
        <f>('C-69'!M29/'C-68'!M29)*1000</f>
        <v>30.242510699001425</v>
      </c>
      <c r="N29" s="264">
        <f>('C-69'!N29/'C-68'!N29)*1000</f>
        <v>28.513513513513512</v>
      </c>
    </row>
    <row r="30" spans="1:14" ht="12.75" customHeight="1">
      <c r="A30" s="127" t="s">
        <v>100</v>
      </c>
      <c r="B30" s="642">
        <f>('C-69'!B30/'C-68'!B30)*1000</f>
        <v>27.727246615475941</v>
      </c>
      <c r="C30" s="264">
        <f>('C-69'!C30/'C-68'!C30)*1000</f>
        <v>27.397260273972602</v>
      </c>
      <c r="D30" s="264">
        <f>('C-69'!D30/'C-68'!D30)*1000</f>
        <v>27.133479212253832</v>
      </c>
      <c r="E30" s="264">
        <f>('C-69'!E30/'C-68'!E30)*1000</f>
        <v>26.92307692307692</v>
      </c>
      <c r="F30" s="264">
        <f>('C-69'!F30/'C-68'!F30)*1000</f>
        <v>26.243963888305689</v>
      </c>
      <c r="G30" s="264">
        <f>('C-69'!G30/'C-68'!G30)*1000</f>
        <v>27.678571428571431</v>
      </c>
      <c r="H30" s="264">
        <f>('C-69'!H30/'C-68'!H30)*1000</f>
        <v>28.054298642533936</v>
      </c>
      <c r="I30" s="264">
        <f>('C-69'!I30/'C-68'!I30)*1000</f>
        <v>27.668845315904136</v>
      </c>
      <c r="J30" s="264">
        <f>('C-69'!J30/'C-68'!J30)*1000</f>
        <v>27.522935779816514</v>
      </c>
      <c r="K30" s="264">
        <f>('C-69'!K30/'C-68'!K30)*1000</f>
        <v>25.888324873096447</v>
      </c>
      <c r="L30" s="264">
        <f>('C-69'!L30/'C-68'!L30)*1000</f>
        <v>26.108374384236452</v>
      </c>
      <c r="M30" s="264">
        <f>('C-69'!M30/'C-68'!M30)*1000</f>
        <v>31.486146095717885</v>
      </c>
      <c r="N30" s="264">
        <f>('C-69'!N30/'C-68'!N30)*1000</f>
        <v>31.172069825436409</v>
      </c>
    </row>
    <row r="31" spans="1:14" ht="12.75" customHeight="1">
      <c r="A31" s="127" t="s">
        <v>101</v>
      </c>
      <c r="B31" s="642">
        <f>('C-69'!B31/'C-68'!B31)*1000</f>
        <v>28.879668049792528</v>
      </c>
      <c r="C31" s="264">
        <f>('C-69'!C31/'C-68'!C31)*1000</f>
        <v>29.111111111111111</v>
      </c>
      <c r="D31" s="264">
        <f>('C-69'!D31/'C-68'!D31)*1000</f>
        <v>30.048076923076923</v>
      </c>
      <c r="E31" s="264">
        <f>('C-69'!E31/'C-68'!E31)*1000</f>
        <v>29.577464788732392</v>
      </c>
      <c r="F31" s="264">
        <f>('C-69'!F31/'C-68'!F31)*1000</f>
        <v>28.256070640176599</v>
      </c>
      <c r="G31" s="264">
        <f>('C-69'!G31/'C-68'!G31)*1000</f>
        <v>28.741092636579573</v>
      </c>
      <c r="H31" s="264">
        <f>('C-69'!H31/'C-68'!H31)*1000</f>
        <v>29.126213592233011</v>
      </c>
      <c r="I31" s="264">
        <f>('C-69'!I31/'C-68'!I31)*1000</f>
        <v>27.853881278538811</v>
      </c>
      <c r="J31" s="264">
        <f>('C-69'!J31/'C-68'!J31)*1000</f>
        <v>29.42643391521197</v>
      </c>
      <c r="K31" s="264">
        <f>('C-69'!K31/'C-68'!K31)*1000</f>
        <v>29.18781725888325</v>
      </c>
      <c r="L31" s="264">
        <f>('C-69'!L31/'C-68'!L31)*1000</f>
        <v>30.874316939890711</v>
      </c>
      <c r="M31" s="264">
        <f>('C-69'!M31/'C-68'!M31)*1000</f>
        <v>28.618421052631579</v>
      </c>
      <c r="N31" s="264">
        <f>('C-69'!N31/'C-68'!N31)*1000</f>
        <v>25.368731563421829</v>
      </c>
    </row>
    <row r="32" spans="1:14" ht="12.75" customHeight="1">
      <c r="A32" s="152" t="s">
        <v>44</v>
      </c>
      <c r="B32" s="642">
        <f>('C-69'!B32/'C-68'!B32)*1000</f>
        <v>30.673254479213451</v>
      </c>
      <c r="C32" s="264">
        <f>('C-69'!C32/'C-68'!C32)*1000</f>
        <v>30.486008836524299</v>
      </c>
      <c r="D32" s="264">
        <f>('C-69'!D32/'C-68'!D32)*1000</f>
        <v>30.71334214002642</v>
      </c>
      <c r="E32" s="264">
        <f>('C-69'!E32/'C-68'!E32)*1000</f>
        <v>30.806549423893266</v>
      </c>
      <c r="F32" s="264">
        <f>('C-69'!F32/'C-68'!F32)*1000</f>
        <v>30.998345284059571</v>
      </c>
      <c r="G32" s="264">
        <f>('C-69'!G32/'C-68'!G32)*1000</f>
        <v>31.189382337927515</v>
      </c>
      <c r="H32" s="264">
        <f>('C-69'!H32/'C-68'!H32)*1000</f>
        <v>31.016299137104507</v>
      </c>
      <c r="I32" s="264">
        <f>('C-69'!I32/'C-68'!I32)*1000</f>
        <v>30.959595959595958</v>
      </c>
      <c r="J32" s="264">
        <f>('C-69'!J32/'C-68'!J32)*1000</f>
        <v>30.668841761827078</v>
      </c>
      <c r="K32" s="264">
        <f>('C-69'!K32/'C-68'!K32)*1000</f>
        <v>30.615835777126101</v>
      </c>
      <c r="L32" s="264">
        <f>('C-69'!L32/'C-68'!L32)*1000</f>
        <v>30.417754569190603</v>
      </c>
      <c r="M32" s="264">
        <f>('C-69'!M32/'C-68'!M32)*1000</f>
        <v>29.978118161925604</v>
      </c>
      <c r="N32" s="264">
        <f>('C-69'!N32/'C-68'!N32)*1000</f>
        <v>29.488220958570267</v>
      </c>
    </row>
    <row r="33" spans="1:14" ht="12.75" customHeight="1">
      <c r="A33" s="152" t="s">
        <v>45</v>
      </c>
      <c r="B33" s="642">
        <f>('C-69'!B33/'C-68'!B33)*1000</f>
        <v>39.736475357912077</v>
      </c>
      <c r="C33" s="264">
        <f>('C-69'!C33/'C-68'!C33)*1000</f>
        <v>39.025341130604289</v>
      </c>
      <c r="D33" s="264">
        <f>('C-69'!D33/'C-68'!D33)*1000</f>
        <v>40.160771704180064</v>
      </c>
      <c r="E33" s="264">
        <f>('C-69'!E33/'C-68'!E33)*1000</f>
        <v>40.543806646525674</v>
      </c>
      <c r="F33" s="264">
        <f>('C-69'!F33/'C-68'!F33)*1000</f>
        <v>40.77605321507761</v>
      </c>
      <c r="G33" s="264">
        <f>('C-69'!G33/'C-68'!G33)*1000</f>
        <v>40.806642941874259</v>
      </c>
      <c r="H33" s="264">
        <f>('C-69'!H33/'C-68'!H33)*1000</f>
        <v>41.221001221001224</v>
      </c>
      <c r="I33" s="264">
        <f>('C-69'!I33/'C-68'!I33)*1000</f>
        <v>40.19471488178025</v>
      </c>
      <c r="J33" s="264">
        <f>('C-69'!J33/'C-68'!J33)*1000</f>
        <v>39.969230769230769</v>
      </c>
      <c r="K33" s="264">
        <f>('C-69'!K33/'C-68'!K33)*1000</f>
        <v>39.071310116086238</v>
      </c>
      <c r="L33" s="264">
        <f>('C-69'!L33/'C-68'!L33)*1000</f>
        <v>37.121495327102799</v>
      </c>
      <c r="M33" s="264">
        <f>('C-69'!M33/'C-68'!M33)*1000</f>
        <v>37.213114754098356</v>
      </c>
      <c r="N33" s="264">
        <f>('C-69'!N33/'C-68'!N33)*1000</f>
        <v>37.988826815642462</v>
      </c>
    </row>
    <row r="34" spans="1:14" ht="12.75" customHeight="1">
      <c r="A34" s="129" t="s">
        <v>46</v>
      </c>
      <c r="B34" s="642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</row>
    <row r="35" spans="1:14" ht="12.75" customHeight="1">
      <c r="A35" s="129" t="s">
        <v>47</v>
      </c>
      <c r="B35" s="642">
        <v>0</v>
      </c>
      <c r="C35" s="264">
        <v>0</v>
      </c>
      <c r="D35" s="264">
        <v>0</v>
      </c>
      <c r="E35" s="264">
        <v>0</v>
      </c>
      <c r="F35" s="264">
        <v>0</v>
      </c>
      <c r="G35" s="264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4">
        <v>0</v>
      </c>
    </row>
    <row r="36" spans="1:14" ht="12.75" customHeight="1">
      <c r="A36" s="129" t="s">
        <v>48</v>
      </c>
      <c r="B36" s="642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</row>
    <row r="37" spans="1:14" ht="12.75" customHeight="1" thickBot="1">
      <c r="A37" s="154" t="s">
        <v>49</v>
      </c>
      <c r="B37" s="643">
        <v>0</v>
      </c>
      <c r="C37" s="265">
        <v>0</v>
      </c>
      <c r="D37" s="265">
        <v>0</v>
      </c>
      <c r="E37" s="265">
        <v>0</v>
      </c>
      <c r="F37" s="265">
        <v>0</v>
      </c>
      <c r="G37" s="265">
        <v>0</v>
      </c>
      <c r="H37" s="265">
        <v>0</v>
      </c>
      <c r="I37" s="265">
        <v>0</v>
      </c>
      <c r="J37" s="265">
        <v>0</v>
      </c>
      <c r="K37" s="265">
        <v>0</v>
      </c>
      <c r="L37" s="265">
        <v>0</v>
      </c>
      <c r="M37" s="265">
        <v>0</v>
      </c>
      <c r="N37" s="265">
        <v>0</v>
      </c>
    </row>
    <row r="38" spans="1:14" ht="9" customHeight="1">
      <c r="A38" s="778" t="s">
        <v>402</v>
      </c>
      <c r="B38" s="811"/>
      <c r="C38" s="811"/>
      <c r="D38" s="811"/>
      <c r="E38" s="811"/>
      <c r="F38" s="255"/>
    </row>
    <row r="39" spans="1:14" ht="9" customHeight="1">
      <c r="A39" s="778" t="s">
        <v>359</v>
      </c>
      <c r="B39" s="811"/>
      <c r="C39" s="811"/>
      <c r="D39" s="811"/>
      <c r="E39" s="811"/>
      <c r="F39" s="255"/>
    </row>
    <row r="40" spans="1:14" ht="9" customHeight="1">
      <c r="A40" s="780" t="s">
        <v>358</v>
      </c>
      <c r="B40" s="811"/>
      <c r="C40" s="811"/>
      <c r="D40" s="811"/>
      <c r="E40" s="811"/>
      <c r="F40" s="255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72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544</v>
      </c>
      <c r="B4" s="245"/>
    </row>
    <row r="5" spans="1:14" ht="13.25" customHeight="1">
      <c r="A5" s="253" t="s">
        <v>238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4" ht="4" customHeight="1" thickBo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8">
        <f>(B9+B10+B11+B12+B13+B17+B18+B19+B20+B21+B22+B23+B24+B25+B26+B27+B28+B29+B32+B33+B34+B35+B36+B37)</f>
        <v>29494581.58333334</v>
      </c>
      <c r="C8" s="613">
        <f>(C9+C10+C11+C12+C13+C17+C18+C19+C20+C21+C22+C23+C24+C25+C26+C27+C28+C29+C32+C33+C34+C35+C36+C37)</f>
        <v>28864976</v>
      </c>
      <c r="D8" s="613">
        <f>(D9+D10+D11+D12+D13+D17+D18+D19+D20+D21+D22+D23+D24+D25+D26+D27+D28+D29+D32+D33+D34+D35+D36+D37)</f>
        <v>29132458</v>
      </c>
      <c r="E8" s="613">
        <f t="shared" ref="E8:N8" si="0">(E9+E10+E11+E12+E13+E17+E18+E19+E20+E21+E22+E23+E24+E25+E26+E27+E28+E29+E32+E33+E34+E35+E36+E37)</f>
        <v>29468779</v>
      </c>
      <c r="F8" s="613">
        <f t="shared" si="0"/>
        <v>29638127</v>
      </c>
      <c r="G8" s="613">
        <f t="shared" si="0"/>
        <v>29611650</v>
      </c>
      <c r="H8" s="613">
        <f t="shared" si="0"/>
        <v>29757926</v>
      </c>
      <c r="I8" s="613">
        <f t="shared" si="0"/>
        <v>29945328</v>
      </c>
      <c r="J8" s="613">
        <f t="shared" si="0"/>
        <v>29672794</v>
      </c>
      <c r="K8" s="613">
        <f t="shared" si="0"/>
        <v>29796082</v>
      </c>
      <c r="L8" s="613">
        <f t="shared" si="0"/>
        <v>29814930</v>
      </c>
      <c r="M8" s="613">
        <f t="shared" si="0"/>
        <v>29210403</v>
      </c>
      <c r="N8" s="613">
        <f t="shared" si="0"/>
        <v>29021526</v>
      </c>
    </row>
    <row r="9" spans="1:14" ht="12.75" customHeight="1">
      <c r="A9" s="152" t="s">
        <v>21</v>
      </c>
      <c r="B9" s="631">
        <f t="shared" ref="B9:B37" si="1">AVERAGE(C9:N9)</f>
        <v>12593.416666666666</v>
      </c>
      <c r="C9" s="146">
        <v>12261</v>
      </c>
      <c r="D9" s="146">
        <v>11388</v>
      </c>
      <c r="E9" s="146">
        <v>11907</v>
      </c>
      <c r="F9" s="146">
        <v>11897</v>
      </c>
      <c r="G9" s="146">
        <v>13213</v>
      </c>
      <c r="H9" s="146">
        <v>17607</v>
      </c>
      <c r="I9" s="146">
        <v>14038</v>
      </c>
      <c r="J9" s="146">
        <v>14199</v>
      </c>
      <c r="K9" s="146">
        <v>14026</v>
      </c>
      <c r="L9" s="146">
        <v>13250</v>
      </c>
      <c r="M9" s="146">
        <v>8539</v>
      </c>
      <c r="N9" s="146">
        <v>8796</v>
      </c>
    </row>
    <row r="10" spans="1:14" ht="12.75" customHeight="1">
      <c r="A10" s="152" t="s">
        <v>22</v>
      </c>
      <c r="B10" s="631">
        <f t="shared" si="1"/>
        <v>373403.25</v>
      </c>
      <c r="C10" s="146">
        <v>362268</v>
      </c>
      <c r="D10" s="146">
        <v>416670</v>
      </c>
      <c r="E10" s="146">
        <v>401729</v>
      </c>
      <c r="F10" s="146">
        <v>383261</v>
      </c>
      <c r="G10" s="146">
        <v>331232</v>
      </c>
      <c r="H10" s="146">
        <v>337477</v>
      </c>
      <c r="I10" s="146">
        <v>337556</v>
      </c>
      <c r="J10" s="146">
        <v>463351</v>
      </c>
      <c r="K10" s="146">
        <v>388320</v>
      </c>
      <c r="L10" s="146">
        <v>407355</v>
      </c>
      <c r="M10" s="146">
        <v>320075</v>
      </c>
      <c r="N10" s="146">
        <v>331545</v>
      </c>
    </row>
    <row r="11" spans="1:14" ht="12.75" customHeight="1">
      <c r="A11" s="152" t="s">
        <v>23</v>
      </c>
      <c r="B11" s="631">
        <f t="shared" si="1"/>
        <v>435489.66666666669</v>
      </c>
      <c r="C11" s="146">
        <v>500924</v>
      </c>
      <c r="D11" s="146">
        <v>484448</v>
      </c>
      <c r="E11" s="146">
        <v>475956</v>
      </c>
      <c r="F11" s="146">
        <v>445946</v>
      </c>
      <c r="G11" s="146">
        <v>436121</v>
      </c>
      <c r="H11" s="146">
        <v>459970</v>
      </c>
      <c r="I11" s="146">
        <v>442401</v>
      </c>
      <c r="J11" s="146">
        <v>399647</v>
      </c>
      <c r="K11" s="146">
        <v>398549</v>
      </c>
      <c r="L11" s="146">
        <v>383724</v>
      </c>
      <c r="M11" s="146">
        <v>379835</v>
      </c>
      <c r="N11" s="146">
        <v>418355</v>
      </c>
    </row>
    <row r="12" spans="1:14" ht="12.75" customHeight="1">
      <c r="A12" s="129" t="s">
        <v>24</v>
      </c>
      <c r="B12" s="631">
        <f t="shared" si="1"/>
        <v>4832615.916666667</v>
      </c>
      <c r="C12" s="146">
        <v>4864330</v>
      </c>
      <c r="D12" s="146">
        <v>4859339</v>
      </c>
      <c r="E12" s="146">
        <v>4827880</v>
      </c>
      <c r="F12" s="146">
        <v>4832402</v>
      </c>
      <c r="G12" s="146">
        <v>4835778</v>
      </c>
      <c r="H12" s="146">
        <v>4833009</v>
      </c>
      <c r="I12" s="146">
        <v>4871357</v>
      </c>
      <c r="J12" s="146">
        <v>4873890</v>
      </c>
      <c r="K12" s="146">
        <v>4805284</v>
      </c>
      <c r="L12" s="146">
        <v>4867826</v>
      </c>
      <c r="M12" s="146">
        <v>4975795</v>
      </c>
      <c r="N12" s="146">
        <v>4544501</v>
      </c>
    </row>
    <row r="13" spans="1:14" ht="12.75" customHeight="1">
      <c r="A13" s="129" t="s">
        <v>25</v>
      </c>
      <c r="B13" s="631">
        <f t="shared" si="1"/>
        <v>401613.5</v>
      </c>
      <c r="C13" s="146">
        <v>399328</v>
      </c>
      <c r="D13" s="146">
        <v>375176</v>
      </c>
      <c r="E13" s="146">
        <v>398252</v>
      </c>
      <c r="F13" s="146">
        <v>392808</v>
      </c>
      <c r="G13" s="146">
        <v>446823</v>
      </c>
      <c r="H13" s="146">
        <v>442077</v>
      </c>
      <c r="I13" s="146">
        <v>440739</v>
      </c>
      <c r="J13" s="146">
        <v>418378</v>
      </c>
      <c r="K13" s="146">
        <v>377665</v>
      </c>
      <c r="L13" s="146">
        <v>380579</v>
      </c>
      <c r="M13" s="146">
        <v>373461</v>
      </c>
      <c r="N13" s="146">
        <v>374076</v>
      </c>
    </row>
    <row r="14" spans="1:14" ht="12.75" customHeight="1">
      <c r="A14" s="127" t="s">
        <v>97</v>
      </c>
      <c r="B14" s="631">
        <f t="shared" si="1"/>
        <v>183895.25</v>
      </c>
      <c r="C14" s="146">
        <v>189164</v>
      </c>
      <c r="D14" s="146">
        <v>166168</v>
      </c>
      <c r="E14" s="146">
        <v>163626</v>
      </c>
      <c r="F14" s="146">
        <v>172489</v>
      </c>
      <c r="G14" s="146">
        <v>220436</v>
      </c>
      <c r="H14" s="146">
        <v>220685</v>
      </c>
      <c r="I14" s="146">
        <v>216768</v>
      </c>
      <c r="J14" s="146">
        <v>191674</v>
      </c>
      <c r="K14" s="146">
        <v>161007</v>
      </c>
      <c r="L14" s="146">
        <v>165733</v>
      </c>
      <c r="M14" s="146">
        <v>163313</v>
      </c>
      <c r="N14" s="146">
        <v>175680</v>
      </c>
    </row>
    <row r="15" spans="1:14" ht="12.75" customHeight="1">
      <c r="A15" s="127" t="s">
        <v>98</v>
      </c>
      <c r="B15" s="631">
        <f t="shared" si="1"/>
        <v>137606.33333333334</v>
      </c>
      <c r="C15" s="146">
        <v>98072</v>
      </c>
      <c r="D15" s="146">
        <v>124368</v>
      </c>
      <c r="E15" s="146">
        <v>145795</v>
      </c>
      <c r="F15" s="146">
        <v>142680</v>
      </c>
      <c r="G15" s="146">
        <v>149897</v>
      </c>
      <c r="H15" s="146">
        <v>146386</v>
      </c>
      <c r="I15" s="146">
        <v>146987</v>
      </c>
      <c r="J15" s="146">
        <v>151687</v>
      </c>
      <c r="K15" s="146">
        <v>144368</v>
      </c>
      <c r="L15" s="146">
        <v>140640</v>
      </c>
      <c r="M15" s="146">
        <v>137988</v>
      </c>
      <c r="N15" s="146">
        <v>122408</v>
      </c>
    </row>
    <row r="16" spans="1:14" ht="12.75" customHeight="1">
      <c r="A16" s="127" t="s">
        <v>99</v>
      </c>
      <c r="B16" s="631">
        <f t="shared" si="1"/>
        <v>80111.75</v>
      </c>
      <c r="C16" s="146">
        <v>112092</v>
      </c>
      <c r="D16" s="146">
        <v>84639</v>
      </c>
      <c r="E16" s="146">
        <v>88831</v>
      </c>
      <c r="F16" s="146">
        <v>77638</v>
      </c>
      <c r="G16" s="146">
        <v>76490</v>
      </c>
      <c r="H16" s="146">
        <v>75006</v>
      </c>
      <c r="I16" s="146">
        <v>76984</v>
      </c>
      <c r="J16" s="146">
        <v>75017</v>
      </c>
      <c r="K16" s="146">
        <v>72290</v>
      </c>
      <c r="L16" s="146">
        <v>74206</v>
      </c>
      <c r="M16" s="146">
        <v>72160</v>
      </c>
      <c r="N16" s="146">
        <v>75988</v>
      </c>
    </row>
    <row r="17" spans="1:14" ht="12.75" customHeight="1">
      <c r="A17" s="152" t="s">
        <v>29</v>
      </c>
      <c r="B17" s="631">
        <f t="shared" si="1"/>
        <v>127838.33333333333</v>
      </c>
      <c r="C17" s="146">
        <v>158367</v>
      </c>
      <c r="D17" s="146">
        <v>159370</v>
      </c>
      <c r="E17" s="146">
        <v>156347</v>
      </c>
      <c r="F17" s="146">
        <v>155678</v>
      </c>
      <c r="G17" s="146">
        <v>142697</v>
      </c>
      <c r="H17" s="146">
        <v>140339</v>
      </c>
      <c r="I17" s="146">
        <v>138647</v>
      </c>
      <c r="J17" s="146">
        <v>120648</v>
      </c>
      <c r="K17" s="146">
        <v>90365</v>
      </c>
      <c r="L17" s="146">
        <v>91383</v>
      </c>
      <c r="M17" s="146">
        <v>91834</v>
      </c>
      <c r="N17" s="146">
        <v>88385</v>
      </c>
    </row>
    <row r="18" spans="1:14" ht="12.75" customHeight="1">
      <c r="A18" s="129" t="s">
        <v>30</v>
      </c>
      <c r="B18" s="631">
        <f t="shared" si="1"/>
        <v>200928.41666666666</v>
      </c>
      <c r="C18" s="146">
        <v>205255</v>
      </c>
      <c r="D18" s="146">
        <v>208668</v>
      </c>
      <c r="E18" s="146">
        <v>207089</v>
      </c>
      <c r="F18" s="146">
        <v>207369</v>
      </c>
      <c r="G18" s="146">
        <v>201130</v>
      </c>
      <c r="H18" s="146">
        <v>196486</v>
      </c>
      <c r="I18" s="146">
        <v>192714</v>
      </c>
      <c r="J18" s="146">
        <v>190134</v>
      </c>
      <c r="K18" s="146">
        <v>199638</v>
      </c>
      <c r="L18" s="146">
        <v>198590</v>
      </c>
      <c r="M18" s="146">
        <v>200792</v>
      </c>
      <c r="N18" s="146">
        <v>203276</v>
      </c>
    </row>
    <row r="19" spans="1:14" ht="12.75" customHeight="1">
      <c r="A19" s="129" t="s">
        <v>31</v>
      </c>
      <c r="B19" s="631">
        <f t="shared" si="1"/>
        <v>7901656</v>
      </c>
      <c r="C19" s="146">
        <v>7839064</v>
      </c>
      <c r="D19" s="146">
        <v>7872167</v>
      </c>
      <c r="E19" s="146">
        <v>7684769</v>
      </c>
      <c r="F19" s="146">
        <v>7649799</v>
      </c>
      <c r="G19" s="146">
        <v>7792325</v>
      </c>
      <c r="H19" s="146">
        <v>7757936</v>
      </c>
      <c r="I19" s="146">
        <v>7650254</v>
      </c>
      <c r="J19" s="146">
        <v>7787075</v>
      </c>
      <c r="K19" s="146">
        <v>8051579</v>
      </c>
      <c r="L19" s="146">
        <v>8042743</v>
      </c>
      <c r="M19" s="146">
        <v>8320245</v>
      </c>
      <c r="N19" s="146">
        <v>8371916</v>
      </c>
    </row>
    <row r="20" spans="1:14" ht="12.75" customHeight="1">
      <c r="A20" s="152" t="s">
        <v>32</v>
      </c>
      <c r="B20" s="631">
        <f t="shared" si="1"/>
        <v>10866392.5</v>
      </c>
      <c r="C20" s="146">
        <v>10101271</v>
      </c>
      <c r="D20" s="146">
        <v>10332859</v>
      </c>
      <c r="E20" s="146">
        <v>10815349</v>
      </c>
      <c r="F20" s="146">
        <v>10997575</v>
      </c>
      <c r="G20" s="146">
        <v>11050642</v>
      </c>
      <c r="H20" s="146">
        <v>11242166</v>
      </c>
      <c r="I20" s="146">
        <v>11516148</v>
      </c>
      <c r="J20" s="146">
        <v>11082897</v>
      </c>
      <c r="K20" s="146">
        <v>11275906</v>
      </c>
      <c r="L20" s="146">
        <v>11223122</v>
      </c>
      <c r="M20" s="146">
        <v>10259685</v>
      </c>
      <c r="N20" s="146">
        <v>10499090</v>
      </c>
    </row>
    <row r="21" spans="1:14" ht="12.75" customHeight="1">
      <c r="A21" s="152" t="s">
        <v>33</v>
      </c>
      <c r="B21" s="631">
        <f t="shared" si="1"/>
        <v>171808.91666666666</v>
      </c>
      <c r="C21" s="146">
        <v>176035</v>
      </c>
      <c r="D21" s="146">
        <v>170398</v>
      </c>
      <c r="E21" s="146">
        <v>179169</v>
      </c>
      <c r="F21" s="146">
        <v>180370</v>
      </c>
      <c r="G21" s="146">
        <v>178640</v>
      </c>
      <c r="H21" s="146">
        <v>167272</v>
      </c>
      <c r="I21" s="146">
        <v>169686</v>
      </c>
      <c r="J21" s="146">
        <v>171093</v>
      </c>
      <c r="K21" s="146">
        <v>172277</v>
      </c>
      <c r="L21" s="146">
        <v>170309</v>
      </c>
      <c r="M21" s="146">
        <v>167924</v>
      </c>
      <c r="N21" s="146">
        <v>158534</v>
      </c>
    </row>
    <row r="22" spans="1:14" ht="12.75" customHeight="1">
      <c r="A22" s="152" t="s">
        <v>34</v>
      </c>
      <c r="B22" s="631">
        <f t="shared" si="1"/>
        <v>32811.583333333336</v>
      </c>
      <c r="C22" s="146">
        <v>29476</v>
      </c>
      <c r="D22" s="146">
        <v>29081</v>
      </c>
      <c r="E22" s="146">
        <v>30086</v>
      </c>
      <c r="F22" s="146">
        <v>31286</v>
      </c>
      <c r="G22" s="146">
        <v>31380</v>
      </c>
      <c r="H22" s="146">
        <v>32286</v>
      </c>
      <c r="I22" s="146">
        <v>36088</v>
      </c>
      <c r="J22" s="146">
        <v>36074</v>
      </c>
      <c r="K22" s="146">
        <v>35697</v>
      </c>
      <c r="L22" s="146">
        <v>35250</v>
      </c>
      <c r="M22" s="146">
        <v>32239</v>
      </c>
      <c r="N22" s="146">
        <v>34796</v>
      </c>
    </row>
    <row r="23" spans="1:14" ht="12.75" customHeight="1">
      <c r="A23" s="152" t="s">
        <v>35</v>
      </c>
      <c r="B23" s="631">
        <f t="shared" si="1"/>
        <v>132421</v>
      </c>
      <c r="C23" s="146">
        <v>152970</v>
      </c>
      <c r="D23" s="146">
        <v>154397</v>
      </c>
      <c r="E23" s="146">
        <v>144662</v>
      </c>
      <c r="F23" s="146">
        <v>125697</v>
      </c>
      <c r="G23" s="146">
        <v>129563</v>
      </c>
      <c r="H23" s="146">
        <v>127268</v>
      </c>
      <c r="I23" s="146">
        <v>126538</v>
      </c>
      <c r="J23" s="146">
        <v>121396</v>
      </c>
      <c r="K23" s="146">
        <v>127208</v>
      </c>
      <c r="L23" s="146">
        <v>126721</v>
      </c>
      <c r="M23" s="146">
        <v>125585</v>
      </c>
      <c r="N23" s="146">
        <v>127047</v>
      </c>
    </row>
    <row r="24" spans="1:14" ht="12.75" customHeight="1">
      <c r="A24" s="152" t="s">
        <v>36</v>
      </c>
      <c r="B24" s="631">
        <f t="shared" si="1"/>
        <v>135406.41666666666</v>
      </c>
      <c r="C24" s="146">
        <v>140328</v>
      </c>
      <c r="D24" s="146">
        <v>140699</v>
      </c>
      <c r="E24" s="146">
        <v>139896</v>
      </c>
      <c r="F24" s="146">
        <v>136796</v>
      </c>
      <c r="G24" s="146">
        <v>135438</v>
      </c>
      <c r="H24" s="146">
        <v>134369</v>
      </c>
      <c r="I24" s="146">
        <v>134647</v>
      </c>
      <c r="J24" s="146">
        <v>133798</v>
      </c>
      <c r="K24" s="146">
        <v>131870</v>
      </c>
      <c r="L24" s="146">
        <v>134640</v>
      </c>
      <c r="M24" s="146">
        <v>130988</v>
      </c>
      <c r="N24" s="146">
        <v>131408</v>
      </c>
    </row>
    <row r="25" spans="1:14" ht="12.75" customHeight="1">
      <c r="A25" s="129" t="s">
        <v>37</v>
      </c>
      <c r="B25" s="631">
        <f t="shared" si="1"/>
        <v>1154793.9166666667</v>
      </c>
      <c r="C25" s="146">
        <v>1120457</v>
      </c>
      <c r="D25" s="146">
        <v>1127539</v>
      </c>
      <c r="E25" s="146">
        <v>1107239</v>
      </c>
      <c r="F25" s="146">
        <v>1106935</v>
      </c>
      <c r="G25" s="146">
        <v>1108276</v>
      </c>
      <c r="H25" s="146">
        <v>1179586</v>
      </c>
      <c r="I25" s="146">
        <v>1177929</v>
      </c>
      <c r="J25" s="146">
        <v>1184537</v>
      </c>
      <c r="K25" s="146">
        <v>1174919</v>
      </c>
      <c r="L25" s="146">
        <v>1187580</v>
      </c>
      <c r="M25" s="146">
        <v>1253178</v>
      </c>
      <c r="N25" s="146">
        <v>1129352</v>
      </c>
    </row>
    <row r="26" spans="1:14" ht="12.75" customHeight="1">
      <c r="A26" s="152" t="s">
        <v>38</v>
      </c>
      <c r="B26" s="631">
        <f t="shared" si="1"/>
        <v>32011.25</v>
      </c>
      <c r="C26" s="146">
        <v>35789</v>
      </c>
      <c r="D26" s="146">
        <v>28454</v>
      </c>
      <c r="E26" s="146">
        <v>31434</v>
      </c>
      <c r="F26" s="146">
        <v>32260</v>
      </c>
      <c r="G26" s="146">
        <v>33497</v>
      </c>
      <c r="H26" s="146">
        <v>27851</v>
      </c>
      <c r="I26" s="146">
        <v>28972</v>
      </c>
      <c r="J26" s="146">
        <v>29174</v>
      </c>
      <c r="K26" s="146">
        <v>32600</v>
      </c>
      <c r="L26" s="146">
        <v>34624</v>
      </c>
      <c r="M26" s="146">
        <v>35228</v>
      </c>
      <c r="N26" s="146">
        <v>34252</v>
      </c>
    </row>
    <row r="27" spans="1:14" ht="12.75" customHeight="1">
      <c r="A27" s="152" t="s">
        <v>39</v>
      </c>
      <c r="B27" s="631">
        <f t="shared" si="1"/>
        <v>311575.58333333331</v>
      </c>
      <c r="C27" s="146">
        <v>311880</v>
      </c>
      <c r="D27" s="146">
        <v>324948</v>
      </c>
      <c r="E27" s="146">
        <v>319938</v>
      </c>
      <c r="F27" s="146">
        <v>344629</v>
      </c>
      <c r="G27" s="146">
        <v>309993</v>
      </c>
      <c r="H27" s="146">
        <v>302915</v>
      </c>
      <c r="I27" s="146">
        <v>309973</v>
      </c>
      <c r="J27" s="146">
        <v>328320</v>
      </c>
      <c r="K27" s="146">
        <v>315956</v>
      </c>
      <c r="L27" s="146">
        <v>315186</v>
      </c>
      <c r="M27" s="146">
        <v>265321</v>
      </c>
      <c r="N27" s="146">
        <v>289848</v>
      </c>
    </row>
    <row r="28" spans="1:14" ht="12.75" customHeight="1">
      <c r="A28" s="152" t="s">
        <v>40</v>
      </c>
      <c r="B28" s="631">
        <f t="shared" si="1"/>
        <v>117762.16666666667</v>
      </c>
      <c r="C28" s="146">
        <v>91387</v>
      </c>
      <c r="D28" s="146">
        <v>90975</v>
      </c>
      <c r="E28" s="146">
        <v>113357</v>
      </c>
      <c r="F28" s="146">
        <v>133753</v>
      </c>
      <c r="G28" s="146">
        <v>143534</v>
      </c>
      <c r="H28" s="146">
        <v>123967</v>
      </c>
      <c r="I28" s="146">
        <v>123820</v>
      </c>
      <c r="J28" s="146">
        <v>113604</v>
      </c>
      <c r="K28" s="146">
        <v>117694</v>
      </c>
      <c r="L28" s="146">
        <v>118674</v>
      </c>
      <c r="M28" s="146">
        <v>120691</v>
      </c>
      <c r="N28" s="146">
        <v>121690</v>
      </c>
    </row>
    <row r="29" spans="1:14" ht="12.75" customHeight="1">
      <c r="A29" s="129" t="s">
        <v>41</v>
      </c>
      <c r="B29" s="631">
        <f t="shared" si="1"/>
        <v>100117.66666666667</v>
      </c>
      <c r="C29" s="146">
        <v>112131</v>
      </c>
      <c r="D29" s="146">
        <v>111274</v>
      </c>
      <c r="E29" s="146">
        <v>113429</v>
      </c>
      <c r="F29" s="146">
        <v>113283</v>
      </c>
      <c r="G29" s="146">
        <v>110437</v>
      </c>
      <c r="H29" s="146">
        <v>105882</v>
      </c>
      <c r="I29" s="146">
        <v>103307</v>
      </c>
      <c r="J29" s="146">
        <v>97085</v>
      </c>
      <c r="K29" s="146">
        <v>62696</v>
      </c>
      <c r="L29" s="146">
        <v>90293</v>
      </c>
      <c r="M29" s="146">
        <v>90692</v>
      </c>
      <c r="N29" s="146">
        <v>90903</v>
      </c>
    </row>
    <row r="30" spans="1:14" ht="12.75" customHeight="1">
      <c r="A30" s="127" t="s">
        <v>100</v>
      </c>
      <c r="B30" s="631">
        <f t="shared" si="1"/>
        <v>50574.5</v>
      </c>
      <c r="C30" s="146">
        <v>55438</v>
      </c>
      <c r="D30" s="146">
        <v>56819</v>
      </c>
      <c r="E30" s="146">
        <v>58432</v>
      </c>
      <c r="F30" s="146">
        <v>59636</v>
      </c>
      <c r="G30" s="146">
        <v>59968</v>
      </c>
      <c r="H30" s="146">
        <v>57522</v>
      </c>
      <c r="I30" s="146">
        <v>55609</v>
      </c>
      <c r="J30" s="146">
        <v>51771</v>
      </c>
      <c r="K30" s="146">
        <v>17649</v>
      </c>
      <c r="L30" s="146">
        <v>43775</v>
      </c>
      <c r="M30" s="146">
        <v>44959</v>
      </c>
      <c r="N30" s="146">
        <v>45316</v>
      </c>
    </row>
    <row r="31" spans="1:14" ht="12.75" customHeight="1">
      <c r="A31" s="127" t="s">
        <v>101</v>
      </c>
      <c r="B31" s="631">
        <f t="shared" si="1"/>
        <v>49543</v>
      </c>
      <c r="C31" s="146">
        <v>56693</v>
      </c>
      <c r="D31" s="146">
        <v>54454</v>
      </c>
      <c r="E31" s="146">
        <v>54997</v>
      </c>
      <c r="F31" s="146">
        <v>53647</v>
      </c>
      <c r="G31" s="146">
        <v>50468</v>
      </c>
      <c r="H31" s="146">
        <v>48360</v>
      </c>
      <c r="I31" s="146">
        <v>47698</v>
      </c>
      <c r="J31" s="146">
        <v>45314</v>
      </c>
      <c r="K31" s="146">
        <v>45047</v>
      </c>
      <c r="L31" s="146">
        <v>46518</v>
      </c>
      <c r="M31" s="146">
        <v>45733</v>
      </c>
      <c r="N31" s="146">
        <v>45587</v>
      </c>
    </row>
    <row r="32" spans="1:14" ht="12.75" customHeight="1">
      <c r="A32" s="152" t="s">
        <v>44</v>
      </c>
      <c r="B32" s="631">
        <f t="shared" si="1"/>
        <v>251618.16666666666</v>
      </c>
      <c r="C32" s="146">
        <v>200235</v>
      </c>
      <c r="D32" s="146">
        <v>205254</v>
      </c>
      <c r="E32" s="146">
        <v>280017</v>
      </c>
      <c r="F32" s="146">
        <v>289539</v>
      </c>
      <c r="G32" s="146">
        <v>306763</v>
      </c>
      <c r="H32" s="146">
        <v>306445</v>
      </c>
      <c r="I32" s="146">
        <v>304751</v>
      </c>
      <c r="J32" s="146">
        <v>293041</v>
      </c>
      <c r="K32" s="146">
        <v>201880</v>
      </c>
      <c r="L32" s="146">
        <v>200383</v>
      </c>
      <c r="M32" s="146">
        <v>220842</v>
      </c>
      <c r="N32" s="146">
        <v>210268</v>
      </c>
    </row>
    <row r="33" spans="1:14" ht="12.75" customHeight="1">
      <c r="A33" s="152" t="s">
        <v>45</v>
      </c>
      <c r="B33" s="631">
        <f t="shared" si="1"/>
        <v>341828.08333333331</v>
      </c>
      <c r="C33" s="146">
        <v>341162</v>
      </c>
      <c r="D33" s="146">
        <v>330823</v>
      </c>
      <c r="E33" s="146">
        <v>340604</v>
      </c>
      <c r="F33" s="146">
        <v>348756</v>
      </c>
      <c r="G33" s="146">
        <v>350406</v>
      </c>
      <c r="H33" s="146">
        <v>352254</v>
      </c>
      <c r="I33" s="146">
        <v>348101</v>
      </c>
      <c r="J33" s="146">
        <v>342162</v>
      </c>
      <c r="K33" s="146">
        <v>361905</v>
      </c>
      <c r="L33" s="146">
        <v>333866</v>
      </c>
      <c r="M33" s="146">
        <v>329535</v>
      </c>
      <c r="N33" s="146">
        <v>322363</v>
      </c>
    </row>
    <row r="34" spans="1:14" ht="12.75" customHeight="1">
      <c r="A34" s="129" t="s">
        <v>46</v>
      </c>
      <c r="B34" s="631">
        <f t="shared" si="1"/>
        <v>770681.16666666663</v>
      </c>
      <c r="C34" s="146">
        <v>860725</v>
      </c>
      <c r="D34" s="146">
        <v>856377</v>
      </c>
      <c r="E34" s="146">
        <v>843554</v>
      </c>
      <c r="F34" s="146">
        <v>896025</v>
      </c>
      <c r="G34" s="146">
        <v>701379</v>
      </c>
      <c r="H34" s="146">
        <v>692849</v>
      </c>
      <c r="I34" s="146">
        <v>696238</v>
      </c>
      <c r="J34" s="146">
        <v>701839</v>
      </c>
      <c r="K34" s="146">
        <v>709284</v>
      </c>
      <c r="L34" s="146">
        <v>709932</v>
      </c>
      <c r="M34" s="146">
        <v>780613</v>
      </c>
      <c r="N34" s="146">
        <v>799359</v>
      </c>
    </row>
    <row r="35" spans="1:14" ht="12.75" customHeight="1">
      <c r="A35" s="129" t="s">
        <v>47</v>
      </c>
      <c r="B35" s="631">
        <f t="shared" si="1"/>
        <v>335061.16666666669</v>
      </c>
      <c r="C35" s="146">
        <v>380776</v>
      </c>
      <c r="D35" s="146">
        <v>387258</v>
      </c>
      <c r="E35" s="146">
        <v>388144</v>
      </c>
      <c r="F35" s="146">
        <v>340714</v>
      </c>
      <c r="G35" s="146">
        <v>355113</v>
      </c>
      <c r="H35" s="146">
        <v>313842</v>
      </c>
      <c r="I35" s="146">
        <v>315697</v>
      </c>
      <c r="J35" s="146">
        <v>311666</v>
      </c>
      <c r="K35" s="146">
        <v>304007</v>
      </c>
      <c r="L35" s="146">
        <v>309855</v>
      </c>
      <c r="M35" s="146">
        <v>301476</v>
      </c>
      <c r="N35" s="146">
        <v>312186</v>
      </c>
    </row>
    <row r="36" spans="1:14" ht="12.75" customHeight="1">
      <c r="A36" s="129" t="s">
        <v>48</v>
      </c>
      <c r="B36" s="631">
        <f t="shared" si="1"/>
        <v>250967.91666666666</v>
      </c>
      <c r="C36" s="146">
        <v>272942</v>
      </c>
      <c r="D36" s="146">
        <v>265799</v>
      </c>
      <c r="E36" s="146">
        <v>264717</v>
      </c>
      <c r="F36" s="146">
        <v>265899</v>
      </c>
      <c r="G36" s="146">
        <v>250797</v>
      </c>
      <c r="H36" s="146">
        <v>234199</v>
      </c>
      <c r="I36" s="146">
        <v>238826</v>
      </c>
      <c r="J36" s="146">
        <v>230966</v>
      </c>
      <c r="K36" s="146">
        <v>246958</v>
      </c>
      <c r="L36" s="146">
        <v>248868</v>
      </c>
      <c r="M36" s="146">
        <v>245601</v>
      </c>
      <c r="N36" s="146">
        <v>246043</v>
      </c>
    </row>
    <row r="37" spans="1:14" ht="12.75" customHeight="1" thickBot="1">
      <c r="A37" s="154" t="s">
        <v>49</v>
      </c>
      <c r="B37" s="644">
        <f t="shared" si="1"/>
        <v>203185.58333333334</v>
      </c>
      <c r="C37" s="157">
        <v>195615</v>
      </c>
      <c r="D37" s="157">
        <v>189097</v>
      </c>
      <c r="E37" s="157">
        <v>193255</v>
      </c>
      <c r="F37" s="157">
        <v>215450</v>
      </c>
      <c r="G37" s="157">
        <v>216473</v>
      </c>
      <c r="H37" s="157">
        <v>229874</v>
      </c>
      <c r="I37" s="157">
        <v>226901</v>
      </c>
      <c r="J37" s="157">
        <v>227820</v>
      </c>
      <c r="K37" s="157">
        <v>199799</v>
      </c>
      <c r="L37" s="157">
        <v>190177</v>
      </c>
      <c r="M37" s="157">
        <v>180229</v>
      </c>
      <c r="N37" s="157">
        <v>173537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73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34" customWidth="1"/>
    <col min="3" max="14" width="9" style="134" customWidth="1"/>
    <col min="15" max="16384" width="7" style="129"/>
  </cols>
  <sheetData>
    <row r="4" spans="1:14" ht="13.25" customHeight="1">
      <c r="A4" s="249" t="s">
        <v>545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3.25" customHeight="1">
      <c r="A5" s="253" t="s">
        <v>236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4" ht="4" customHeight="1" thickBot="1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ht="15" customHeight="1">
      <c r="A7" s="595" t="s">
        <v>18</v>
      </c>
      <c r="B7" s="597" t="s">
        <v>106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</row>
    <row r="8" spans="1:14" ht="15" customHeight="1">
      <c r="A8" s="604" t="s">
        <v>90</v>
      </c>
      <c r="B8" s="609">
        <f t="shared" ref="B8:B37" si="0">SUM(C8:N8)</f>
        <v>510960.9</v>
      </c>
      <c r="C8" s="609">
        <f t="shared" ref="C8:N8" si="1">(C9+C10+C11+C12+C13+C17++C18+C19+C20+C21+C22+C23+C24+C25+C26+C27+C28+C29+C32+C33+C34+C35+C36+C37)</f>
        <v>42232.200000000012</v>
      </c>
      <c r="D8" s="609">
        <f t="shared" si="1"/>
        <v>42061.899999999987</v>
      </c>
      <c r="E8" s="609">
        <f t="shared" si="1"/>
        <v>42047.299999999996</v>
      </c>
      <c r="F8" s="609">
        <f t="shared" si="1"/>
        <v>41902.099999999991</v>
      </c>
      <c r="G8" s="609">
        <f t="shared" si="1"/>
        <v>42049.5</v>
      </c>
      <c r="H8" s="609">
        <f t="shared" si="1"/>
        <v>42216.100000000013</v>
      </c>
      <c r="I8" s="609">
        <f t="shared" si="1"/>
        <v>42529.19999999999</v>
      </c>
      <c r="J8" s="609">
        <f t="shared" si="1"/>
        <v>43086.000000000007</v>
      </c>
      <c r="K8" s="609">
        <f t="shared" si="1"/>
        <v>43061.2</v>
      </c>
      <c r="L8" s="609">
        <f t="shared" si="1"/>
        <v>43021.700000000004</v>
      </c>
      <c r="M8" s="609">
        <f t="shared" si="1"/>
        <v>43304.099999999991</v>
      </c>
      <c r="N8" s="609">
        <f t="shared" si="1"/>
        <v>43449.600000000006</v>
      </c>
    </row>
    <row r="9" spans="1:14" ht="12.75" customHeight="1">
      <c r="A9" s="152" t="s">
        <v>21</v>
      </c>
      <c r="B9" s="637">
        <f t="shared" si="0"/>
        <v>96.600000000000009</v>
      </c>
      <c r="C9" s="258">
        <v>7.7</v>
      </c>
      <c r="D9" s="258">
        <v>6.4</v>
      </c>
      <c r="E9" s="258">
        <v>6.9</v>
      </c>
      <c r="F9" s="258">
        <v>6.9</v>
      </c>
      <c r="G9" s="258">
        <v>7.1</v>
      </c>
      <c r="H9" s="258">
        <v>10.199999999999999</v>
      </c>
      <c r="I9" s="258">
        <v>8.3000000000000007</v>
      </c>
      <c r="J9" s="258">
        <v>8.6</v>
      </c>
      <c r="K9" s="258">
        <v>8.8000000000000007</v>
      </c>
      <c r="L9" s="258">
        <v>8.8000000000000007</v>
      </c>
      <c r="M9" s="258">
        <v>8</v>
      </c>
      <c r="N9" s="258">
        <v>8.9</v>
      </c>
    </row>
    <row r="10" spans="1:14" ht="12.75" customHeight="1">
      <c r="A10" s="152" t="s">
        <v>22</v>
      </c>
      <c r="B10" s="637">
        <f t="shared" si="0"/>
        <v>4838.5</v>
      </c>
      <c r="C10" s="258">
        <v>461.5</v>
      </c>
      <c r="D10" s="258">
        <v>435.2</v>
      </c>
      <c r="E10" s="258">
        <v>387.2</v>
      </c>
      <c r="F10" s="258">
        <v>341.1</v>
      </c>
      <c r="G10" s="258">
        <v>339.6</v>
      </c>
      <c r="H10" s="258">
        <v>336.8</v>
      </c>
      <c r="I10" s="258">
        <v>359.3</v>
      </c>
      <c r="J10" s="258">
        <v>547.1</v>
      </c>
      <c r="K10" s="258">
        <v>380.6</v>
      </c>
      <c r="L10" s="258">
        <v>400.9</v>
      </c>
      <c r="M10" s="258">
        <v>438.8</v>
      </c>
      <c r="N10" s="258">
        <v>410.4</v>
      </c>
    </row>
    <row r="11" spans="1:14" ht="12.75" customHeight="1">
      <c r="A11" s="152" t="s">
        <v>23</v>
      </c>
      <c r="B11" s="637">
        <f t="shared" si="0"/>
        <v>7320.0999999999995</v>
      </c>
      <c r="C11" s="258">
        <v>640.9</v>
      </c>
      <c r="D11" s="258">
        <v>632.5</v>
      </c>
      <c r="E11" s="258">
        <v>616.5</v>
      </c>
      <c r="F11" s="258">
        <v>578.1</v>
      </c>
      <c r="G11" s="258">
        <v>593.6</v>
      </c>
      <c r="H11" s="258">
        <v>625.79999999999995</v>
      </c>
      <c r="I11" s="258">
        <v>602.20000000000005</v>
      </c>
      <c r="J11" s="258">
        <v>566.9</v>
      </c>
      <c r="K11" s="258">
        <v>583.6</v>
      </c>
      <c r="L11" s="258">
        <v>593.4</v>
      </c>
      <c r="M11" s="258">
        <v>588</v>
      </c>
      <c r="N11" s="258">
        <v>698.6</v>
      </c>
    </row>
    <row r="12" spans="1:14" ht="12.75" customHeight="1">
      <c r="A12" s="129" t="s">
        <v>24</v>
      </c>
      <c r="B12" s="637">
        <f t="shared" si="0"/>
        <v>88835.500000000015</v>
      </c>
      <c r="C12" s="258">
        <v>7105.6</v>
      </c>
      <c r="D12" s="258">
        <v>7213.7</v>
      </c>
      <c r="E12" s="258">
        <v>7230.6</v>
      </c>
      <c r="F12" s="258">
        <v>6790.5</v>
      </c>
      <c r="G12" s="258">
        <v>7167.9</v>
      </c>
      <c r="H12" s="258">
        <v>7200.3</v>
      </c>
      <c r="I12" s="258">
        <v>7282.7</v>
      </c>
      <c r="J12" s="258">
        <v>7695.3</v>
      </c>
      <c r="K12" s="258">
        <v>7290.5</v>
      </c>
      <c r="L12" s="258">
        <v>7650.6</v>
      </c>
      <c r="M12" s="258">
        <v>8176.3</v>
      </c>
      <c r="N12" s="258">
        <v>8031.5</v>
      </c>
    </row>
    <row r="13" spans="1:14" ht="12.75" customHeight="1">
      <c r="A13" s="129" t="s">
        <v>25</v>
      </c>
      <c r="B13" s="637">
        <f t="shared" si="0"/>
        <v>2203.8000000000002</v>
      </c>
      <c r="C13" s="258">
        <v>180</v>
      </c>
      <c r="D13" s="258">
        <v>174</v>
      </c>
      <c r="E13" s="258">
        <v>179.9</v>
      </c>
      <c r="F13" s="258">
        <v>186.3</v>
      </c>
      <c r="G13" s="258">
        <v>199.1</v>
      </c>
      <c r="H13" s="258">
        <v>200.3</v>
      </c>
      <c r="I13" s="258">
        <v>188.4</v>
      </c>
      <c r="J13" s="258">
        <v>180.9</v>
      </c>
      <c r="K13" s="258">
        <v>185.3</v>
      </c>
      <c r="L13" s="258">
        <v>178.7</v>
      </c>
      <c r="M13" s="258">
        <v>171.5</v>
      </c>
      <c r="N13" s="258">
        <v>179.4</v>
      </c>
    </row>
    <row r="14" spans="1:14" ht="12.75" customHeight="1">
      <c r="A14" s="127" t="s">
        <v>97</v>
      </c>
      <c r="B14" s="637">
        <f t="shared" si="0"/>
        <v>1222.3000000000002</v>
      </c>
      <c r="C14" s="258">
        <v>99</v>
      </c>
      <c r="D14" s="258">
        <v>95.3</v>
      </c>
      <c r="E14" s="258">
        <v>95.2</v>
      </c>
      <c r="F14" s="258">
        <v>103.3</v>
      </c>
      <c r="G14" s="258">
        <v>110.4</v>
      </c>
      <c r="H14" s="258">
        <v>112.7</v>
      </c>
      <c r="I14" s="258">
        <v>97</v>
      </c>
      <c r="J14" s="258">
        <v>91.5</v>
      </c>
      <c r="K14" s="258">
        <v>105.6</v>
      </c>
      <c r="L14" s="258">
        <v>102.4</v>
      </c>
      <c r="M14" s="258">
        <v>101.9</v>
      </c>
      <c r="N14" s="258">
        <v>108</v>
      </c>
    </row>
    <row r="15" spans="1:14" ht="12.75" customHeight="1">
      <c r="A15" s="127" t="s">
        <v>98</v>
      </c>
      <c r="B15" s="637">
        <f t="shared" si="0"/>
        <v>602.90000000000009</v>
      </c>
      <c r="C15" s="258">
        <v>39</v>
      </c>
      <c r="D15" s="258">
        <v>44.4</v>
      </c>
      <c r="E15" s="258">
        <v>49</v>
      </c>
      <c r="F15" s="258">
        <v>52.3</v>
      </c>
      <c r="G15" s="258">
        <v>59.3</v>
      </c>
      <c r="H15" s="258">
        <v>58.3</v>
      </c>
      <c r="I15" s="258">
        <v>60.4</v>
      </c>
      <c r="J15" s="258">
        <v>58.3</v>
      </c>
      <c r="K15" s="258">
        <v>50.1</v>
      </c>
      <c r="L15" s="258">
        <v>47.6</v>
      </c>
      <c r="M15" s="258">
        <v>42.2</v>
      </c>
      <c r="N15" s="258">
        <v>42</v>
      </c>
    </row>
    <row r="16" spans="1:14" ht="12.75" customHeight="1">
      <c r="A16" s="127" t="s">
        <v>99</v>
      </c>
      <c r="B16" s="637">
        <f t="shared" si="0"/>
        <v>378.6</v>
      </c>
      <c r="C16" s="258">
        <v>42</v>
      </c>
      <c r="D16" s="258">
        <v>34.299999999999997</v>
      </c>
      <c r="E16" s="258">
        <v>35.700000000000003</v>
      </c>
      <c r="F16" s="258">
        <v>30.6</v>
      </c>
      <c r="G16" s="258">
        <v>29.4</v>
      </c>
      <c r="H16" s="258">
        <v>29.3</v>
      </c>
      <c r="I16" s="258">
        <v>31</v>
      </c>
      <c r="J16" s="258">
        <v>31</v>
      </c>
      <c r="K16" s="258">
        <v>29.6</v>
      </c>
      <c r="L16" s="258">
        <v>28.8</v>
      </c>
      <c r="M16" s="258">
        <v>27.4</v>
      </c>
      <c r="N16" s="258">
        <v>29.5</v>
      </c>
    </row>
    <row r="17" spans="1:14" ht="12.75" customHeight="1">
      <c r="A17" s="152" t="s">
        <v>29</v>
      </c>
      <c r="B17" s="637">
        <f t="shared" si="0"/>
        <v>1374.4</v>
      </c>
      <c r="C17" s="258">
        <v>147.4</v>
      </c>
      <c r="D17" s="258">
        <v>150.4</v>
      </c>
      <c r="E17" s="258">
        <v>151.1</v>
      </c>
      <c r="F17" s="258">
        <v>142.5</v>
      </c>
      <c r="G17" s="258">
        <v>142.4</v>
      </c>
      <c r="H17" s="258">
        <v>135.6</v>
      </c>
      <c r="I17" s="258">
        <v>133.5</v>
      </c>
      <c r="J17" s="258">
        <v>100</v>
      </c>
      <c r="K17" s="258">
        <v>70.3</v>
      </c>
      <c r="L17" s="258">
        <v>70.599999999999994</v>
      </c>
      <c r="M17" s="258">
        <v>70.400000000000006</v>
      </c>
      <c r="N17" s="258">
        <v>60.2</v>
      </c>
    </row>
    <row r="18" spans="1:14" ht="12.75" customHeight="1">
      <c r="A18" s="129" t="s">
        <v>30</v>
      </c>
      <c r="B18" s="637">
        <f t="shared" si="0"/>
        <v>1309.9000000000001</v>
      </c>
      <c r="C18" s="258">
        <v>117.2</v>
      </c>
      <c r="D18" s="258">
        <v>114.5</v>
      </c>
      <c r="E18" s="258">
        <v>107.2</v>
      </c>
      <c r="F18" s="258">
        <v>111.2</v>
      </c>
      <c r="G18" s="258">
        <v>109.6</v>
      </c>
      <c r="H18" s="258">
        <v>106.1</v>
      </c>
      <c r="I18" s="258">
        <v>101.3</v>
      </c>
      <c r="J18" s="258">
        <v>98.4</v>
      </c>
      <c r="K18" s="258">
        <v>109.7</v>
      </c>
      <c r="L18" s="258">
        <v>108.4</v>
      </c>
      <c r="M18" s="258">
        <v>109.9</v>
      </c>
      <c r="N18" s="258">
        <v>116.4</v>
      </c>
    </row>
    <row r="19" spans="1:14" ht="12.75" customHeight="1">
      <c r="A19" s="129" t="s">
        <v>31</v>
      </c>
      <c r="B19" s="637">
        <f t="shared" si="0"/>
        <v>139738.69999999998</v>
      </c>
      <c r="C19" s="258">
        <v>12081.5</v>
      </c>
      <c r="D19" s="258">
        <v>11963.4</v>
      </c>
      <c r="E19" s="258">
        <v>11512.3</v>
      </c>
      <c r="F19" s="258">
        <v>11539.7</v>
      </c>
      <c r="G19" s="258">
        <v>11438.1</v>
      </c>
      <c r="H19" s="258">
        <v>11349.7</v>
      </c>
      <c r="I19" s="258">
        <v>11238.7</v>
      </c>
      <c r="J19" s="258">
        <v>11276.7</v>
      </c>
      <c r="K19" s="258">
        <v>11537.7</v>
      </c>
      <c r="L19" s="258">
        <v>11827.9</v>
      </c>
      <c r="M19" s="258">
        <v>11785.4</v>
      </c>
      <c r="N19" s="258">
        <v>12187.6</v>
      </c>
    </row>
    <row r="20" spans="1:14" ht="12.75" customHeight="1">
      <c r="A20" s="152" t="s">
        <v>32</v>
      </c>
      <c r="B20" s="637">
        <f t="shared" si="0"/>
        <v>208428.19999999998</v>
      </c>
      <c r="C20" s="258">
        <v>16758.400000000001</v>
      </c>
      <c r="D20" s="258">
        <v>16651.099999999999</v>
      </c>
      <c r="E20" s="258">
        <v>17040.3</v>
      </c>
      <c r="F20" s="258">
        <v>17327.3</v>
      </c>
      <c r="G20" s="258">
        <v>17350.5</v>
      </c>
      <c r="H20" s="258">
        <v>17632.8</v>
      </c>
      <c r="I20" s="258">
        <v>17958.099999999999</v>
      </c>
      <c r="J20" s="258">
        <v>17827.400000000001</v>
      </c>
      <c r="K20" s="258">
        <v>18164.3</v>
      </c>
      <c r="L20" s="258">
        <v>17466.8</v>
      </c>
      <c r="M20" s="258">
        <v>17204</v>
      </c>
      <c r="N20" s="258">
        <v>17047.2</v>
      </c>
    </row>
    <row r="21" spans="1:14" ht="12.75" customHeight="1">
      <c r="A21" s="152" t="s">
        <v>33</v>
      </c>
      <c r="B21" s="637">
        <f t="shared" si="0"/>
        <v>1237.5</v>
      </c>
      <c r="C21" s="258">
        <v>97.2</v>
      </c>
      <c r="D21" s="258">
        <v>93.1</v>
      </c>
      <c r="E21" s="258">
        <v>96.6</v>
      </c>
      <c r="F21" s="258">
        <v>98.6</v>
      </c>
      <c r="G21" s="258">
        <v>96.4</v>
      </c>
      <c r="H21" s="258">
        <v>94.5</v>
      </c>
      <c r="I21" s="258">
        <v>99.6</v>
      </c>
      <c r="J21" s="258">
        <v>101</v>
      </c>
      <c r="K21" s="258">
        <v>117.8</v>
      </c>
      <c r="L21" s="258">
        <v>114.4</v>
      </c>
      <c r="M21" s="258">
        <v>110.9</v>
      </c>
      <c r="N21" s="258">
        <v>117.4</v>
      </c>
    </row>
    <row r="22" spans="1:14" ht="12.75" customHeight="1">
      <c r="A22" s="152" t="s">
        <v>34</v>
      </c>
      <c r="B22" s="637">
        <f t="shared" si="0"/>
        <v>151.9</v>
      </c>
      <c r="C22" s="258">
        <v>11.1</v>
      </c>
      <c r="D22" s="258">
        <v>10.1</v>
      </c>
      <c r="E22" s="258">
        <v>11.1</v>
      </c>
      <c r="F22" s="258">
        <v>12.1</v>
      </c>
      <c r="G22" s="258">
        <v>12.9</v>
      </c>
      <c r="H22" s="258">
        <v>13.1</v>
      </c>
      <c r="I22" s="258">
        <v>14.1</v>
      </c>
      <c r="J22" s="258">
        <v>14</v>
      </c>
      <c r="K22" s="258">
        <v>13.6</v>
      </c>
      <c r="L22" s="258">
        <v>13.4</v>
      </c>
      <c r="M22" s="258">
        <v>12.5</v>
      </c>
      <c r="N22" s="258">
        <v>13.9</v>
      </c>
    </row>
    <row r="23" spans="1:14" ht="12.75" customHeight="1">
      <c r="A23" s="152" t="s">
        <v>35</v>
      </c>
      <c r="B23" s="637">
        <f t="shared" si="0"/>
        <v>1024.8999999999999</v>
      </c>
      <c r="C23" s="258">
        <v>90.9</v>
      </c>
      <c r="D23" s="258">
        <v>84.2</v>
      </c>
      <c r="E23" s="258">
        <v>99.3</v>
      </c>
      <c r="F23" s="258">
        <v>89.5</v>
      </c>
      <c r="G23" s="258">
        <v>92.6</v>
      </c>
      <c r="H23" s="258">
        <v>93.8</v>
      </c>
      <c r="I23" s="258">
        <v>91.6</v>
      </c>
      <c r="J23" s="258">
        <v>85.1</v>
      </c>
      <c r="K23" s="258">
        <v>79</v>
      </c>
      <c r="L23" s="258">
        <v>77.3</v>
      </c>
      <c r="M23" s="258">
        <v>68</v>
      </c>
      <c r="N23" s="258">
        <v>73.599999999999994</v>
      </c>
    </row>
    <row r="24" spans="1:14" ht="12.75" customHeight="1">
      <c r="A24" s="152" t="s">
        <v>36</v>
      </c>
      <c r="B24" s="637">
        <f t="shared" si="0"/>
        <v>589.59999999999991</v>
      </c>
      <c r="C24" s="258">
        <v>50.4</v>
      </c>
      <c r="D24" s="258">
        <v>51.3</v>
      </c>
      <c r="E24" s="258">
        <v>50.3</v>
      </c>
      <c r="F24" s="258">
        <v>49.6</v>
      </c>
      <c r="G24" s="258">
        <v>50.3</v>
      </c>
      <c r="H24" s="258">
        <v>49.9</v>
      </c>
      <c r="I24" s="258">
        <v>50.4</v>
      </c>
      <c r="J24" s="258">
        <v>48.2</v>
      </c>
      <c r="K24" s="258">
        <v>46.4</v>
      </c>
      <c r="L24" s="258">
        <v>47.6</v>
      </c>
      <c r="M24" s="258">
        <v>47.2</v>
      </c>
      <c r="N24" s="258">
        <v>48</v>
      </c>
    </row>
    <row r="25" spans="1:14" ht="12.75" customHeight="1">
      <c r="A25" s="129" t="s">
        <v>37</v>
      </c>
      <c r="B25" s="637">
        <f t="shared" si="0"/>
        <v>18219.499999999996</v>
      </c>
      <c r="C25" s="258">
        <v>1508.8</v>
      </c>
      <c r="D25" s="258">
        <v>1506.5</v>
      </c>
      <c r="E25" s="258">
        <v>1450.6</v>
      </c>
      <c r="F25" s="258">
        <v>1486.7</v>
      </c>
      <c r="G25" s="258">
        <v>1481</v>
      </c>
      <c r="H25" s="258">
        <v>1537.1</v>
      </c>
      <c r="I25" s="258">
        <v>1490</v>
      </c>
      <c r="J25" s="258">
        <v>1498.8</v>
      </c>
      <c r="K25" s="258">
        <v>1484.2</v>
      </c>
      <c r="L25" s="258">
        <v>1515.5</v>
      </c>
      <c r="M25" s="258">
        <v>1665.7</v>
      </c>
      <c r="N25" s="258">
        <v>1594.6</v>
      </c>
    </row>
    <row r="26" spans="1:14" ht="12.75" customHeight="1">
      <c r="A26" s="152" t="s">
        <v>38</v>
      </c>
      <c r="B26" s="637">
        <f t="shared" si="0"/>
        <v>331.8</v>
      </c>
      <c r="C26" s="258">
        <v>28.4</v>
      </c>
      <c r="D26" s="258">
        <v>26.3</v>
      </c>
      <c r="E26" s="258">
        <v>30.7</v>
      </c>
      <c r="F26" s="258">
        <v>26.2</v>
      </c>
      <c r="G26" s="258">
        <v>28.7</v>
      </c>
      <c r="H26" s="258">
        <v>23.9</v>
      </c>
      <c r="I26" s="258">
        <v>24.7</v>
      </c>
      <c r="J26" s="258">
        <v>25.8</v>
      </c>
      <c r="K26" s="258">
        <v>29.5</v>
      </c>
      <c r="L26" s="258">
        <v>34.1</v>
      </c>
      <c r="M26" s="258">
        <v>28.2</v>
      </c>
      <c r="N26" s="258">
        <v>25.3</v>
      </c>
    </row>
    <row r="27" spans="1:14" ht="12.75" customHeight="1">
      <c r="A27" s="152" t="s">
        <v>39</v>
      </c>
      <c r="B27" s="637">
        <f t="shared" si="0"/>
        <v>5267.2000000000007</v>
      </c>
      <c r="C27" s="258">
        <v>436.3</v>
      </c>
      <c r="D27" s="258">
        <v>450.6</v>
      </c>
      <c r="E27" s="258">
        <v>448.6</v>
      </c>
      <c r="F27" s="258">
        <v>489.3</v>
      </c>
      <c r="G27" s="258">
        <v>435.9</v>
      </c>
      <c r="H27" s="258">
        <v>436.1</v>
      </c>
      <c r="I27" s="258">
        <v>460.1</v>
      </c>
      <c r="J27" s="258">
        <v>463.5</v>
      </c>
      <c r="K27" s="258">
        <v>420.9</v>
      </c>
      <c r="L27" s="258">
        <v>445.2</v>
      </c>
      <c r="M27" s="258">
        <v>389.1</v>
      </c>
      <c r="N27" s="258">
        <v>391.6</v>
      </c>
    </row>
    <row r="28" spans="1:14" ht="12.75" customHeight="1">
      <c r="A28" s="152" t="s">
        <v>40</v>
      </c>
      <c r="B28" s="637">
        <f t="shared" si="0"/>
        <v>785.09999999999991</v>
      </c>
      <c r="C28" s="258">
        <v>45.4</v>
      </c>
      <c r="D28" s="258">
        <v>44.2</v>
      </c>
      <c r="E28" s="258">
        <v>67.599999999999994</v>
      </c>
      <c r="F28" s="258">
        <v>77.7</v>
      </c>
      <c r="G28" s="258">
        <v>85.2</v>
      </c>
      <c r="H28" s="258">
        <v>81.900000000000006</v>
      </c>
      <c r="I28" s="258">
        <v>79</v>
      </c>
      <c r="J28" s="258">
        <v>78.900000000000006</v>
      </c>
      <c r="K28" s="258">
        <v>53.8</v>
      </c>
      <c r="L28" s="258">
        <v>56.3</v>
      </c>
      <c r="M28" s="258">
        <v>58.2</v>
      </c>
      <c r="N28" s="258">
        <v>56.9</v>
      </c>
    </row>
    <row r="29" spans="1:14" ht="12.75" customHeight="1">
      <c r="A29" s="129" t="s">
        <v>41</v>
      </c>
      <c r="B29" s="637">
        <f t="shared" si="0"/>
        <v>481.19999999999993</v>
      </c>
      <c r="C29" s="258">
        <v>43.3</v>
      </c>
      <c r="D29" s="258">
        <v>42.4</v>
      </c>
      <c r="E29" s="258">
        <v>44.4</v>
      </c>
      <c r="F29" s="258">
        <v>47.6</v>
      </c>
      <c r="G29" s="258">
        <v>47</v>
      </c>
      <c r="H29" s="258">
        <v>45.2</v>
      </c>
      <c r="I29" s="258">
        <v>40.799999999999997</v>
      </c>
      <c r="J29" s="258">
        <v>36.4</v>
      </c>
      <c r="K29" s="258">
        <v>23.4</v>
      </c>
      <c r="L29" s="258">
        <v>34.1</v>
      </c>
      <c r="M29" s="258">
        <v>38.200000000000003</v>
      </c>
      <c r="N29" s="258">
        <v>38.4</v>
      </c>
    </row>
    <row r="30" spans="1:14" ht="12.75" customHeight="1">
      <c r="A30" s="127" t="s">
        <v>100</v>
      </c>
      <c r="B30" s="637">
        <f t="shared" si="0"/>
        <v>249.60000000000002</v>
      </c>
      <c r="C30" s="258">
        <v>23</v>
      </c>
      <c r="D30" s="258">
        <v>23.3</v>
      </c>
      <c r="E30" s="258">
        <v>24</v>
      </c>
      <c r="F30" s="258">
        <v>26</v>
      </c>
      <c r="G30" s="258">
        <v>26.4</v>
      </c>
      <c r="H30" s="258">
        <v>25.3</v>
      </c>
      <c r="I30" s="258">
        <v>21.8</v>
      </c>
      <c r="J30" s="258">
        <v>19.2</v>
      </c>
      <c r="K30" s="258">
        <v>7</v>
      </c>
      <c r="L30" s="258">
        <v>16.8</v>
      </c>
      <c r="M30" s="258">
        <v>17.899999999999999</v>
      </c>
      <c r="N30" s="258">
        <v>18.899999999999999</v>
      </c>
    </row>
    <row r="31" spans="1:14" ht="12.75" customHeight="1">
      <c r="A31" s="127" t="s">
        <v>101</v>
      </c>
      <c r="B31" s="637">
        <f t="shared" si="0"/>
        <v>231.7</v>
      </c>
      <c r="C31" s="258">
        <v>20.3</v>
      </c>
      <c r="D31" s="258">
        <v>19.2</v>
      </c>
      <c r="E31" s="258">
        <v>20.399999999999999</v>
      </c>
      <c r="F31" s="258">
        <v>21.6</v>
      </c>
      <c r="G31" s="258">
        <v>20.7</v>
      </c>
      <c r="H31" s="258">
        <v>19.899999999999999</v>
      </c>
      <c r="I31" s="258">
        <v>19</v>
      </c>
      <c r="J31" s="258">
        <v>17.2</v>
      </c>
      <c r="K31" s="258">
        <v>16.399999999999999</v>
      </c>
      <c r="L31" s="258">
        <v>17.3</v>
      </c>
      <c r="M31" s="258">
        <v>20.2</v>
      </c>
      <c r="N31" s="258">
        <v>19.5</v>
      </c>
    </row>
    <row r="32" spans="1:14" ht="12.75" customHeight="1">
      <c r="A32" s="152" t="s">
        <v>44</v>
      </c>
      <c r="B32" s="637">
        <f t="shared" si="0"/>
        <v>810.49999999999989</v>
      </c>
      <c r="C32" s="258">
        <v>51</v>
      </c>
      <c r="D32" s="258">
        <v>52.1</v>
      </c>
      <c r="E32" s="258">
        <v>71.400000000000006</v>
      </c>
      <c r="F32" s="258">
        <v>76.7</v>
      </c>
      <c r="G32" s="258">
        <v>90</v>
      </c>
      <c r="H32" s="258">
        <v>90.4</v>
      </c>
      <c r="I32" s="258">
        <v>83.8</v>
      </c>
      <c r="J32" s="258">
        <v>74</v>
      </c>
      <c r="K32" s="258">
        <v>56.6</v>
      </c>
      <c r="L32" s="258">
        <v>54.3</v>
      </c>
      <c r="M32" s="258">
        <v>55.3</v>
      </c>
      <c r="N32" s="258">
        <v>54.9</v>
      </c>
    </row>
    <row r="33" spans="1:14" ht="12.75" customHeight="1">
      <c r="A33" s="152" t="s">
        <v>45</v>
      </c>
      <c r="B33" s="637">
        <f t="shared" si="0"/>
        <v>1661.3999999999999</v>
      </c>
      <c r="C33" s="258">
        <v>131.69999999999999</v>
      </c>
      <c r="D33" s="258">
        <v>130.19999999999999</v>
      </c>
      <c r="E33" s="258">
        <v>135.9</v>
      </c>
      <c r="F33" s="258">
        <v>145.9</v>
      </c>
      <c r="G33" s="258">
        <v>150.6</v>
      </c>
      <c r="H33" s="258">
        <v>155.4</v>
      </c>
      <c r="I33" s="258">
        <v>150.1</v>
      </c>
      <c r="J33" s="258">
        <v>145.1</v>
      </c>
      <c r="K33" s="258">
        <v>138.19999999999999</v>
      </c>
      <c r="L33" s="258">
        <v>130.6</v>
      </c>
      <c r="M33" s="258">
        <v>127.8</v>
      </c>
      <c r="N33" s="258">
        <v>119.9</v>
      </c>
    </row>
    <row r="34" spans="1:14" ht="12.75" customHeight="1">
      <c r="A34" s="129" t="s">
        <v>46</v>
      </c>
      <c r="B34" s="637">
        <f t="shared" si="0"/>
        <v>14508.900000000001</v>
      </c>
      <c r="C34" s="258">
        <v>1209.5</v>
      </c>
      <c r="D34" s="258">
        <v>1202.3</v>
      </c>
      <c r="E34" s="258">
        <v>1314.5</v>
      </c>
      <c r="F34" s="258">
        <v>1280.4000000000001</v>
      </c>
      <c r="G34" s="258">
        <v>1129.2</v>
      </c>
      <c r="H34" s="258">
        <v>1017.3</v>
      </c>
      <c r="I34" s="258">
        <v>1099.7</v>
      </c>
      <c r="J34" s="258">
        <v>1210.7</v>
      </c>
      <c r="K34" s="258">
        <v>1265.0999999999999</v>
      </c>
      <c r="L34" s="258">
        <v>1251.4000000000001</v>
      </c>
      <c r="M34" s="258">
        <v>1254.4000000000001</v>
      </c>
      <c r="N34" s="258">
        <v>1274.4000000000001</v>
      </c>
    </row>
    <row r="35" spans="1:14" ht="12.75" customHeight="1">
      <c r="A35" s="129" t="s">
        <v>47</v>
      </c>
      <c r="B35" s="637">
        <f t="shared" si="0"/>
        <v>4907.2000000000007</v>
      </c>
      <c r="C35" s="258">
        <v>430.7</v>
      </c>
      <c r="D35" s="258">
        <v>436.1</v>
      </c>
      <c r="E35" s="258">
        <v>406.7</v>
      </c>
      <c r="F35" s="258">
        <v>398.6</v>
      </c>
      <c r="G35" s="258">
        <v>416.3</v>
      </c>
      <c r="H35" s="258">
        <v>364.8</v>
      </c>
      <c r="I35" s="258">
        <v>375.9</v>
      </c>
      <c r="J35" s="258">
        <v>404.8</v>
      </c>
      <c r="K35" s="258">
        <v>417.1</v>
      </c>
      <c r="L35" s="258">
        <v>425.7</v>
      </c>
      <c r="M35" s="258">
        <v>409.4</v>
      </c>
      <c r="N35" s="258">
        <v>421.1</v>
      </c>
    </row>
    <row r="36" spans="1:14" ht="12.75" customHeight="1">
      <c r="A36" s="129" t="s">
        <v>48</v>
      </c>
      <c r="B36" s="637">
        <f t="shared" si="0"/>
        <v>3482.1999999999994</v>
      </c>
      <c r="C36" s="258">
        <v>311.5</v>
      </c>
      <c r="D36" s="258">
        <v>310.10000000000002</v>
      </c>
      <c r="E36" s="258">
        <v>295.5</v>
      </c>
      <c r="F36" s="258">
        <v>295.60000000000002</v>
      </c>
      <c r="G36" s="258">
        <v>279.39999999999998</v>
      </c>
      <c r="H36" s="258">
        <v>276.5</v>
      </c>
      <c r="I36" s="258">
        <v>290.7</v>
      </c>
      <c r="J36" s="258">
        <v>293.60000000000002</v>
      </c>
      <c r="K36" s="258">
        <v>320.2</v>
      </c>
      <c r="L36" s="258">
        <v>285.60000000000002</v>
      </c>
      <c r="M36" s="258">
        <v>260.2</v>
      </c>
      <c r="N36" s="258">
        <v>263.3</v>
      </c>
    </row>
    <row r="37" spans="1:14" ht="12.75" customHeight="1" thickBot="1">
      <c r="A37" s="154" t="s">
        <v>49</v>
      </c>
      <c r="B37" s="645">
        <f t="shared" si="0"/>
        <v>3356.2999999999993</v>
      </c>
      <c r="C37" s="259">
        <v>285.8</v>
      </c>
      <c r="D37" s="259">
        <v>281.2</v>
      </c>
      <c r="E37" s="259">
        <v>292.10000000000002</v>
      </c>
      <c r="F37" s="259">
        <v>304</v>
      </c>
      <c r="G37" s="259">
        <v>306.10000000000002</v>
      </c>
      <c r="H37" s="259">
        <v>338.6</v>
      </c>
      <c r="I37" s="259">
        <v>306.2</v>
      </c>
      <c r="J37" s="259">
        <v>304.8</v>
      </c>
      <c r="K37" s="259">
        <v>264.60000000000002</v>
      </c>
      <c r="L37" s="259">
        <v>230.1</v>
      </c>
      <c r="M37" s="259">
        <v>226.7</v>
      </c>
      <c r="N37" s="259">
        <v>216.1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74">
    <tabColor theme="9" tint="0.59999389629810485"/>
  </sheetPr>
  <dimension ref="A4:N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34" customWidth="1"/>
    <col min="3" max="14" width="9" style="134" customWidth="1"/>
    <col min="15" max="16384" width="7" style="129"/>
  </cols>
  <sheetData>
    <row r="4" spans="1:14" ht="13.25" customHeight="1">
      <c r="A4" s="249" t="s">
        <v>546</v>
      </c>
      <c r="B4" s="24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3.25" customHeight="1">
      <c r="A5" s="252" t="s">
        <v>426</v>
      </c>
      <c r="B5" s="245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6" spans="1:14" ht="4" customHeight="1" thickBot="1"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</row>
    <row r="7" spans="1:14" ht="15" customHeight="1">
      <c r="A7" s="595" t="s">
        <v>18</v>
      </c>
      <c r="B7" s="597" t="s">
        <v>54</v>
      </c>
      <c r="C7" s="598" t="s">
        <v>55</v>
      </c>
      <c r="D7" s="598" t="s">
        <v>56</v>
      </c>
      <c r="E7" s="598" t="s">
        <v>57</v>
      </c>
      <c r="F7" s="598" t="s">
        <v>58</v>
      </c>
      <c r="G7" s="598" t="s">
        <v>59</v>
      </c>
      <c r="H7" s="598" t="s">
        <v>60</v>
      </c>
      <c r="I7" s="598" t="s">
        <v>61</v>
      </c>
      <c r="J7" s="598" t="s">
        <v>62</v>
      </c>
      <c r="K7" s="598" t="s">
        <v>63</v>
      </c>
      <c r="L7" s="598" t="s">
        <v>64</v>
      </c>
      <c r="M7" s="598" t="s">
        <v>65</v>
      </c>
      <c r="N7" s="598" t="s">
        <v>66</v>
      </c>
    </row>
    <row r="8" spans="1:14" ht="15" customHeight="1">
      <c r="A8" s="604" t="s">
        <v>90</v>
      </c>
      <c r="B8" s="611">
        <f>'C-72'!B8/'C-71'!B8*1000</f>
        <v>17.323890442600192</v>
      </c>
      <c r="C8" s="612">
        <f>'C-72'!C8/'C-71'!C8*1000</f>
        <v>1.4630949286082902</v>
      </c>
      <c r="D8" s="612">
        <f>('C-72'!D8/'C-71'!D8)*1000</f>
        <v>1.4438156917620883</v>
      </c>
      <c r="E8" s="612">
        <f>('C-72'!E8/'C-71'!E8)*1000</f>
        <v>1.4268422862039853</v>
      </c>
      <c r="F8" s="612">
        <f>('C-72'!F8/'C-71'!F8)*1000</f>
        <v>1.4137904193473492</v>
      </c>
      <c r="G8" s="612">
        <f>('C-72'!G8/'C-71'!G8)*1000</f>
        <v>1.4200323183611856</v>
      </c>
      <c r="H8" s="612">
        <f>('C-72'!H8/'C-71'!H8)*1000</f>
        <v>1.4186506142934832</v>
      </c>
      <c r="I8" s="612">
        <f>('C-72'!I8/'C-71'!I8)*1000</f>
        <v>1.4202282239152628</v>
      </c>
      <c r="J8" s="612">
        <f>('C-72'!J8/'C-71'!J8)*1000</f>
        <v>1.4520371758722825</v>
      </c>
      <c r="K8" s="612">
        <f>('C-72'!K8/'C-71'!K8)*1000</f>
        <v>1.4451967208306111</v>
      </c>
      <c r="L8" s="612">
        <f>('C-72'!L8/'C-71'!L8)*1000</f>
        <v>1.4429582762729949</v>
      </c>
      <c r="M8" s="612">
        <f>('C-72'!M8/'C-71'!M8)*1000</f>
        <v>1.4824889612101548</v>
      </c>
      <c r="N8" s="612">
        <f>('C-72'!N8/'C-71'!N8)*1000</f>
        <v>1.4971507700870039</v>
      </c>
    </row>
    <row r="9" spans="1:14" ht="12.75" customHeight="1">
      <c r="A9" s="152" t="s">
        <v>21</v>
      </c>
      <c r="B9" s="646">
        <f>('C-72'!B9/'C-71'!B9)*1000</f>
        <v>7.6706744926251158</v>
      </c>
      <c r="C9" s="480">
        <f>('C-72'!C9/'C-71'!C9)*1000</f>
        <v>0.62800750346627521</v>
      </c>
      <c r="D9" s="480">
        <f>('C-72'!D9/'C-71'!D9)*1000</f>
        <v>0.56199508254302777</v>
      </c>
      <c r="E9" s="480">
        <f>('C-72'!E9/'C-71'!E9)*1000</f>
        <v>0.57949105568153192</v>
      </c>
      <c r="F9" s="480">
        <f>('C-72'!F9/'C-71'!F9)*1000</f>
        <v>0.57997814575102968</v>
      </c>
      <c r="G9" s="480">
        <f>('C-72'!G9/'C-71'!G9)*1000</f>
        <v>0.53734957995913113</v>
      </c>
      <c r="H9" s="480">
        <f>('C-72'!H9/'C-71'!H9)*1000</f>
        <v>0.57931504515249621</v>
      </c>
      <c r="I9" s="480">
        <f>('C-72'!I9/'C-71'!I9)*1000</f>
        <v>0.59125231514460763</v>
      </c>
      <c r="J9" s="480">
        <f>('C-72'!J9/'C-71'!J9)*1000</f>
        <v>0.60567645608845688</v>
      </c>
      <c r="K9" s="480">
        <f>('C-72'!K9/'C-71'!K9)*1000</f>
        <v>0.62740624554398983</v>
      </c>
      <c r="L9" s="480">
        <f>('C-72'!L9/'C-71'!L9)*1000</f>
        <v>0.66415094339622649</v>
      </c>
      <c r="M9" s="480">
        <f>('C-72'!M9/'C-71'!M9)*1000</f>
        <v>0.93687785454971317</v>
      </c>
      <c r="N9" s="480">
        <f>('C-72'!N9/'C-71'!N9)*1000</f>
        <v>1.0118235561618918</v>
      </c>
    </row>
    <row r="10" spans="1:14" ht="12.75" customHeight="1">
      <c r="A10" s="152" t="s">
        <v>22</v>
      </c>
      <c r="B10" s="646">
        <f>('C-72'!B10/'C-71'!B10)*1000</f>
        <v>12.957841154301684</v>
      </c>
      <c r="C10" s="480">
        <f>('C-72'!C10/'C-71'!C10)*1000</f>
        <v>1.273918756279881</v>
      </c>
      <c r="D10" s="480">
        <f>('C-72'!D10/'C-71'!D10)*1000</f>
        <v>1.044471644226846</v>
      </c>
      <c r="E10" s="480">
        <f>('C-72'!E10/'C-71'!E10)*1000</f>
        <v>0.96383382827727149</v>
      </c>
      <c r="F10" s="480">
        <f>('C-72'!F10/'C-71'!F10)*1000</f>
        <v>0.88999402495949242</v>
      </c>
      <c r="G10" s="480">
        <f>('C-72'!G10/'C-71'!G10)*1000</f>
        <v>1.0252632595884457</v>
      </c>
      <c r="H10" s="480">
        <f>('C-72'!H10/'C-71'!H10)*1000</f>
        <v>0.99799393736462039</v>
      </c>
      <c r="I10" s="480">
        <f>('C-72'!I10/'C-71'!I10)*1000</f>
        <v>1.0644159783858085</v>
      </c>
      <c r="J10" s="480">
        <f>('C-72'!J10/'C-71'!J10)*1000</f>
        <v>1.1807463456429361</v>
      </c>
      <c r="K10" s="480">
        <f>('C-72'!K10/'C-71'!K10)*1000</f>
        <v>0.9801194890811703</v>
      </c>
      <c r="L10" s="480">
        <f>('C-72'!L10/'C-71'!L10)*1000</f>
        <v>0.98415387070245841</v>
      </c>
      <c r="M10" s="480">
        <f>('C-72'!M10/'C-71'!M10)*1000</f>
        <v>1.3709286885886121</v>
      </c>
      <c r="N10" s="480">
        <f>('C-72'!N10/'C-71'!N10)*1000</f>
        <v>1.237841017056508</v>
      </c>
    </row>
    <row r="11" spans="1:14" ht="12.75" customHeight="1">
      <c r="A11" s="152" t="s">
        <v>23</v>
      </c>
      <c r="B11" s="646">
        <f>('C-72'!B11/'C-71'!B11)*1000</f>
        <v>16.808894814955423</v>
      </c>
      <c r="C11" s="480">
        <f>('C-72'!C11/'C-71'!C11)*1000</f>
        <v>1.2794356030056455</v>
      </c>
      <c r="D11" s="480">
        <f>('C-72'!D11/'C-71'!D11)*1000</f>
        <v>1.3056096835986524</v>
      </c>
      <c r="E11" s="480">
        <f>('C-72'!E11/'C-71'!E11)*1000</f>
        <v>1.2952877997125785</v>
      </c>
      <c r="F11" s="480">
        <f>('C-72'!F11/'C-71'!F11)*1000</f>
        <v>1.2963452974126912</v>
      </c>
      <c r="G11" s="480">
        <f>('C-72'!G11/'C-71'!G11)*1000</f>
        <v>1.361090156172255</v>
      </c>
      <c r="H11" s="480">
        <f>('C-72'!H11/'C-71'!H11)*1000</f>
        <v>1.3605235124029826</v>
      </c>
      <c r="I11" s="480">
        <f>('C-72'!I11/'C-71'!I11)*1000</f>
        <v>1.3612084963641584</v>
      </c>
      <c r="J11" s="480">
        <f>('C-72'!J11/'C-71'!J11)*1000</f>
        <v>1.418501827863089</v>
      </c>
      <c r="K11" s="480">
        <f>('C-72'!K11/'C-71'!K11)*1000</f>
        <v>1.4643117910219321</v>
      </c>
      <c r="L11" s="480">
        <f>('C-72'!L11/'C-71'!L11)*1000</f>
        <v>1.5464239922444256</v>
      </c>
      <c r="M11" s="480">
        <f>('C-72'!M11/'C-71'!M11)*1000</f>
        <v>1.5480405965748285</v>
      </c>
      <c r="N11" s="480">
        <f>('C-72'!N11/'C-71'!N11)*1000</f>
        <v>1.6698736718815359</v>
      </c>
    </row>
    <row r="12" spans="1:14" ht="12.75" customHeight="1">
      <c r="A12" s="129" t="s">
        <v>24</v>
      </c>
      <c r="B12" s="646">
        <f>('C-72'!B12/'C-71'!B12)*1000</f>
        <v>18.382487152274038</v>
      </c>
      <c r="C12" s="480">
        <f>('C-72'!C12/'C-71'!C12)*1000</f>
        <v>1.4607561575797694</v>
      </c>
      <c r="D12" s="480">
        <f>('C-72'!D12/'C-71'!D12)*1000</f>
        <v>1.4845023160557433</v>
      </c>
      <c r="E12" s="480">
        <f>('C-72'!E12/'C-71'!E12)*1000</f>
        <v>1.4976759985749442</v>
      </c>
      <c r="F12" s="480">
        <f>('C-72'!F12/'C-71'!F12)*1000</f>
        <v>1.4052018023334978</v>
      </c>
      <c r="G12" s="480">
        <f>('C-72'!G12/'C-71'!G12)*1000</f>
        <v>1.4822640741572504</v>
      </c>
      <c r="H12" s="480">
        <f>('C-72'!H12/'C-71'!H12)*1000</f>
        <v>1.4898172132516203</v>
      </c>
      <c r="I12" s="480">
        <f>('C-72'!I12/'C-71'!I12)*1000</f>
        <v>1.4950043694190345</v>
      </c>
      <c r="J12" s="480">
        <f>('C-72'!J12/'C-71'!J12)*1000</f>
        <v>1.578882576340459</v>
      </c>
      <c r="K12" s="480">
        <f>('C-72'!K12/'C-71'!K12)*1000</f>
        <v>1.5171839999467254</v>
      </c>
      <c r="L12" s="480">
        <f>('C-72'!L12/'C-71'!L12)*1000</f>
        <v>1.5716666947421705</v>
      </c>
      <c r="M12" s="480">
        <f>('C-72'!M12/'C-71'!M12)*1000</f>
        <v>1.6432148028606484</v>
      </c>
      <c r="N12" s="480">
        <f>('C-72'!N12/'C-71'!N12)*1000</f>
        <v>1.7673007443501498</v>
      </c>
    </row>
    <row r="13" spans="1:14" ht="12.75" customHeight="1">
      <c r="A13" s="129" t="s">
        <v>25</v>
      </c>
      <c r="B13" s="646">
        <f>('C-72'!B13/'C-71'!B13)*1000</f>
        <v>5.4873653400595357</v>
      </c>
      <c r="C13" s="480">
        <f>('C-72'!C13/'C-71'!C13)*1000</f>
        <v>0.45075727221732509</v>
      </c>
      <c r="D13" s="480">
        <f>('C-72'!D13/'C-71'!D13)*1000</f>
        <v>0.46378233149241954</v>
      </c>
      <c r="E13" s="480">
        <f>('C-72'!E13/'C-71'!E13)*1000</f>
        <v>0.45172403402870542</v>
      </c>
      <c r="F13" s="480">
        <f>('C-72'!F13/'C-71'!F13)*1000</f>
        <v>0.47427750962302195</v>
      </c>
      <c r="G13" s="480">
        <f>('C-72'!G13/'C-71'!G13)*1000</f>
        <v>0.44559031204749977</v>
      </c>
      <c r="H13" s="480">
        <f>('C-72'!H13/'C-71'!H13)*1000</f>
        <v>0.45308848910936333</v>
      </c>
      <c r="I13" s="480">
        <f>('C-72'!I13/'C-71'!I13)*1000</f>
        <v>0.42746387317664197</v>
      </c>
      <c r="J13" s="480">
        <f>('C-72'!J13/'C-71'!J13)*1000</f>
        <v>0.43238411197529508</v>
      </c>
      <c r="K13" s="480">
        <f>('C-72'!K13/'C-71'!K13)*1000</f>
        <v>0.49064647240279091</v>
      </c>
      <c r="L13" s="480">
        <f>('C-72'!L13/'C-71'!L13)*1000</f>
        <v>0.46954771545460988</v>
      </c>
      <c r="M13" s="480">
        <f>('C-72'!M13/'C-71'!M13)*1000</f>
        <v>0.45921796385700248</v>
      </c>
      <c r="N13" s="480">
        <f>('C-72'!N13/'C-71'!N13)*1000</f>
        <v>0.47958168928239181</v>
      </c>
    </row>
    <row r="14" spans="1:14" ht="12.75" customHeight="1">
      <c r="A14" s="127" t="s">
        <v>97</v>
      </c>
      <c r="B14" s="646">
        <f>('C-72'!B14/'C-71'!B14)*1000</f>
        <v>6.6467187162256778</v>
      </c>
      <c r="C14" s="480">
        <f>('C-72'!C14/'C-71'!C14)*1000</f>
        <v>0.52335539531834818</v>
      </c>
      <c r="D14" s="480">
        <f>('C-72'!D14/'C-71'!D14)*1000</f>
        <v>0.57351595975157676</v>
      </c>
      <c r="E14" s="480">
        <f>('C-72'!E14/'C-71'!E14)*1000</f>
        <v>0.58181462603742684</v>
      </c>
      <c r="F14" s="480">
        <f>('C-72'!F14/'C-71'!F14)*1000</f>
        <v>0.59887876908092696</v>
      </c>
      <c r="G14" s="480">
        <f>('C-72'!G14/'C-71'!G14)*1000</f>
        <v>0.50082563646591305</v>
      </c>
      <c r="H14" s="480">
        <f>('C-72'!H14/'C-71'!H14)*1000</f>
        <v>0.51068264721208967</v>
      </c>
      <c r="I14" s="480">
        <f>('C-72'!I14/'C-71'!I14)*1000</f>
        <v>0.44748302332447598</v>
      </c>
      <c r="J14" s="480">
        <f>('C-72'!J14/'C-71'!J14)*1000</f>
        <v>0.47737303964022249</v>
      </c>
      <c r="K14" s="480">
        <f>('C-72'!K14/'C-71'!K14)*1000</f>
        <v>0.65587210493953674</v>
      </c>
      <c r="L14" s="480">
        <f>('C-72'!L14/'C-71'!L14)*1000</f>
        <v>0.61786125877163867</v>
      </c>
      <c r="M14" s="480">
        <f>('C-72'!M14/'C-71'!M14)*1000</f>
        <v>0.62395522707928952</v>
      </c>
      <c r="N14" s="480">
        <f>('C-72'!N14/'C-71'!N14)*1000</f>
        <v>0.61475409836065575</v>
      </c>
    </row>
    <row r="15" spans="1:14" ht="12.75" customHeight="1">
      <c r="A15" s="127" t="s">
        <v>98</v>
      </c>
      <c r="B15" s="646">
        <f>('C-72'!B15/'C-71'!B15)*1000</f>
        <v>4.3813390372051675</v>
      </c>
      <c r="C15" s="480">
        <f>('C-72'!C15/'C-71'!C15)*1000</f>
        <v>0.39766702014846239</v>
      </c>
      <c r="D15" s="480">
        <f>('C-72'!D15/'C-71'!D15)*1000</f>
        <v>0.35700501736781165</v>
      </c>
      <c r="E15" s="480">
        <f>('C-72'!E15/'C-71'!E15)*1000</f>
        <v>0.33608834322164682</v>
      </c>
      <c r="F15" s="480">
        <f>('C-72'!F15/'C-71'!F15)*1000</f>
        <v>0.36655452761424162</v>
      </c>
      <c r="G15" s="480">
        <f>('C-72'!G15/'C-71'!G15)*1000</f>
        <v>0.39560498208770017</v>
      </c>
      <c r="H15" s="480">
        <f>('C-72'!H15/'C-71'!H15)*1000</f>
        <v>0.39826212889210716</v>
      </c>
      <c r="I15" s="480">
        <f>('C-72'!I15/'C-71'!I15)*1000</f>
        <v>0.41092069366678685</v>
      </c>
      <c r="J15" s="480">
        <f>('C-72'!J15/'C-71'!J15)*1000</f>
        <v>0.38434407694792561</v>
      </c>
      <c r="K15" s="480">
        <f>('C-72'!K15/'C-71'!K15)*1000</f>
        <v>0.34702981270087557</v>
      </c>
      <c r="L15" s="480">
        <f>('C-72'!L15/'C-71'!L15)*1000</f>
        <v>0.33845278725824801</v>
      </c>
      <c r="M15" s="480">
        <f>('C-72'!M15/'C-71'!M15)*1000</f>
        <v>0.30582369481404187</v>
      </c>
      <c r="N15" s="480">
        <f>('C-72'!N15/'C-71'!N15)*1000</f>
        <v>0.3431148290961375</v>
      </c>
    </row>
    <row r="16" spans="1:14" ht="12.75" customHeight="1">
      <c r="A16" s="127" t="s">
        <v>99</v>
      </c>
      <c r="B16" s="646">
        <f>('C-72'!B16/'C-71'!B16)*1000</f>
        <v>4.7258985105181202</v>
      </c>
      <c r="C16" s="480">
        <f>('C-72'!C16/'C-71'!C16)*1000</f>
        <v>0.37469221710737605</v>
      </c>
      <c r="D16" s="480">
        <f>('C-72'!D16/'C-71'!D16)*1000</f>
        <v>0.40525053462351868</v>
      </c>
      <c r="E16" s="480">
        <f>('C-72'!E16/'C-71'!E16)*1000</f>
        <v>0.40188672873208681</v>
      </c>
      <c r="F16" s="480">
        <f>('C-72'!F16/'C-71'!F16)*1000</f>
        <v>0.39413689172827737</v>
      </c>
      <c r="G16" s="480">
        <f>('C-72'!G16/'C-71'!G16)*1000</f>
        <v>0.38436396914629362</v>
      </c>
      <c r="H16" s="480">
        <f>('C-72'!H16/'C-71'!H16)*1000</f>
        <v>0.3906354158334</v>
      </c>
      <c r="I16" s="480">
        <f>('C-72'!I16/'C-71'!I16)*1000</f>
        <v>0.40268107658734281</v>
      </c>
      <c r="J16" s="480">
        <f>('C-72'!J16/'C-71'!J16)*1000</f>
        <v>0.41323966567578013</v>
      </c>
      <c r="K16" s="480">
        <f>('C-72'!K16/'C-71'!K16)*1000</f>
        <v>0.40946188961128788</v>
      </c>
      <c r="L16" s="480">
        <f>('C-72'!L16/'C-71'!L16)*1000</f>
        <v>0.38810877826590845</v>
      </c>
      <c r="M16" s="480">
        <f>('C-72'!M16/'C-71'!M16)*1000</f>
        <v>0.37971175166297116</v>
      </c>
      <c r="N16" s="480">
        <f>('C-72'!N16/'C-71'!N16)*1000</f>
        <v>0.3882191925040796</v>
      </c>
    </row>
    <row r="17" spans="1:14" ht="12.75" customHeight="1">
      <c r="A17" s="152" t="s">
        <v>29</v>
      </c>
      <c r="B17" s="646">
        <f>('C-72'!B17/'C-71'!B17)*1000</f>
        <v>10.751078836551374</v>
      </c>
      <c r="C17" s="480">
        <f>('C-72'!C17/'C-71'!C17)*1000</f>
        <v>0.93074946169340833</v>
      </c>
      <c r="D17" s="480">
        <f>('C-72'!D17/'C-71'!D17)*1000</f>
        <v>0.94371588128255013</v>
      </c>
      <c r="E17" s="480">
        <f>('C-72'!E17/'C-71'!E17)*1000</f>
        <v>0.96644003402687606</v>
      </c>
      <c r="F17" s="480">
        <f>('C-72'!F17/'C-71'!F17)*1000</f>
        <v>0.91535091663561974</v>
      </c>
      <c r="G17" s="480">
        <f>('C-72'!G17/'C-71'!G17)*1000</f>
        <v>0.99791866682551145</v>
      </c>
      <c r="H17" s="480">
        <f>('C-72'!H17/'C-71'!H17)*1000</f>
        <v>0.96623176736331307</v>
      </c>
      <c r="I17" s="480">
        <f>('C-72'!I17/'C-71'!I17)*1000</f>
        <v>0.96287694649000699</v>
      </c>
      <c r="J17" s="480">
        <f>('C-72'!J17/'C-71'!J17)*1000</f>
        <v>0.82885750281811554</v>
      </c>
      <c r="K17" s="480">
        <f>('C-72'!K17/'C-71'!K17)*1000</f>
        <v>0.77795606706136222</v>
      </c>
      <c r="L17" s="480">
        <f>('C-72'!L17/'C-71'!L17)*1000</f>
        <v>0.7725725791449175</v>
      </c>
      <c r="M17" s="480">
        <f>('C-72'!M17/'C-71'!M17)*1000</f>
        <v>0.76660060544025099</v>
      </c>
      <c r="N17" s="480">
        <f>('C-72'!N17/'C-71'!N17)*1000</f>
        <v>0.68111104825479429</v>
      </c>
    </row>
    <row r="18" spans="1:14" ht="12.75" customHeight="1">
      <c r="A18" s="129" t="s">
        <v>30</v>
      </c>
      <c r="B18" s="646">
        <f>('C-72'!B18/'C-71'!B18)*1000</f>
        <v>6.519237157843528</v>
      </c>
      <c r="C18" s="480">
        <f>('C-72'!C18/'C-71'!C18)*1000</f>
        <v>0.5709970524469562</v>
      </c>
      <c r="D18" s="480">
        <f>('C-72'!D18/'C-71'!D18)*1000</f>
        <v>0.54871853853968988</v>
      </c>
      <c r="E18" s="480">
        <f>('C-72'!E18/'C-71'!E18)*1000</f>
        <v>0.51765183085533273</v>
      </c>
      <c r="F18" s="480">
        <f>('C-72'!F18/'C-71'!F18)*1000</f>
        <v>0.53624215769955974</v>
      </c>
      <c r="G18" s="480">
        <f>('C-72'!G18/'C-71'!G18)*1000</f>
        <v>0.54492119524685523</v>
      </c>
      <c r="H18" s="480">
        <f>('C-72'!H18/'C-71'!H18)*1000</f>
        <v>0.53998758181244455</v>
      </c>
      <c r="I18" s="480">
        <f>('C-72'!I18/'C-71'!I18)*1000</f>
        <v>0.52564940793092352</v>
      </c>
      <c r="J18" s="480">
        <f>('C-72'!J18/'C-71'!J18)*1000</f>
        <v>0.51752974218182968</v>
      </c>
      <c r="K18" s="480">
        <f>('C-72'!K18/'C-71'!K18)*1000</f>
        <v>0.54949458519921057</v>
      </c>
      <c r="L18" s="480">
        <f>('C-72'!L18/'C-71'!L18)*1000</f>
        <v>0.54584823002165272</v>
      </c>
      <c r="M18" s="480">
        <f>('C-72'!M18/'C-71'!M18)*1000</f>
        <v>0.54733256305032074</v>
      </c>
      <c r="N18" s="480">
        <f>('C-72'!N18/'C-71'!N18)*1000</f>
        <v>0.5726204765934001</v>
      </c>
    </row>
    <row r="19" spans="1:14" ht="12.75" customHeight="1">
      <c r="A19" s="129" t="s">
        <v>31</v>
      </c>
      <c r="B19" s="646">
        <f>('C-72'!B19/'C-71'!B19)*1000</f>
        <v>17.684735959145776</v>
      </c>
      <c r="C19" s="480">
        <f>('C-72'!C19/'C-71'!C19)*1000</f>
        <v>1.5411916524727953</v>
      </c>
      <c r="D19" s="480">
        <f>('C-72'!D19/'C-71'!D19)*1000</f>
        <v>1.5197086139051674</v>
      </c>
      <c r="E19" s="480">
        <f>('C-72'!E19/'C-71'!E19)*1000</f>
        <v>1.4980671507497492</v>
      </c>
      <c r="F19" s="480">
        <f>('C-72'!F19/'C-71'!F19)*1000</f>
        <v>1.5084971513630621</v>
      </c>
      <c r="G19" s="480">
        <f>('C-72'!G19/'C-71'!G19)*1000</f>
        <v>1.4678674208275453</v>
      </c>
      <c r="H19" s="480">
        <f>('C-72'!H19/'C-71'!H19)*1000</f>
        <v>1.4629793285224317</v>
      </c>
      <c r="I19" s="480">
        <f>('C-72'!I19/'C-71'!I19)*1000</f>
        <v>1.4690623344009233</v>
      </c>
      <c r="J19" s="480">
        <f>('C-72'!J19/'C-71'!J19)*1000</f>
        <v>1.4481303955593083</v>
      </c>
      <c r="K19" s="480">
        <f>('C-72'!K19/'C-71'!K19)*1000</f>
        <v>1.4329735819520619</v>
      </c>
      <c r="L19" s="480">
        <f>('C-72'!L19/'C-71'!L19)*1000</f>
        <v>1.4706301071661745</v>
      </c>
      <c r="M19" s="480">
        <f>('C-72'!M19/'C-71'!M19)*1000</f>
        <v>1.4164727120415324</v>
      </c>
      <c r="N19" s="480">
        <f>('C-72'!N19/'C-71'!N19)*1000</f>
        <v>1.455771892599018</v>
      </c>
    </row>
    <row r="20" spans="1:14" ht="12.75" customHeight="1">
      <c r="A20" s="152" t="s">
        <v>32</v>
      </c>
      <c r="B20" s="646">
        <f>('C-72'!B20/'C-71'!B20)*1000</f>
        <v>19.180993140087658</v>
      </c>
      <c r="C20" s="480">
        <f>('C-72'!C20/'C-71'!C20)*1000</f>
        <v>1.6590387486881604</v>
      </c>
      <c r="D20" s="480">
        <f>('C-72'!D20/'C-71'!D20)*1000</f>
        <v>1.6114707458990778</v>
      </c>
      <c r="E20" s="480">
        <f>('C-72'!E20/'C-71'!E20)*1000</f>
        <v>1.5755663548166592</v>
      </c>
      <c r="F20" s="480">
        <f>('C-72'!F20/'C-71'!F20)*1000</f>
        <v>1.575556429485591</v>
      </c>
      <c r="G20" s="480">
        <f>('C-72'!G20/'C-71'!G20)*1000</f>
        <v>1.5700897739696935</v>
      </c>
      <c r="H20" s="480">
        <f>('C-72'!H20/'C-71'!H20)*1000</f>
        <v>1.5684522004033741</v>
      </c>
      <c r="I20" s="480">
        <f>('C-72'!I20/'C-71'!I20)*1000</f>
        <v>1.5593842663362785</v>
      </c>
      <c r="J20" s="480">
        <f>('C-72'!J20/'C-71'!J20)*1000</f>
        <v>1.608550544140219</v>
      </c>
      <c r="K20" s="480">
        <f>('C-72'!K20/'C-71'!K20)*1000</f>
        <v>1.6108949471554657</v>
      </c>
      <c r="L20" s="480">
        <f>('C-72'!L20/'C-71'!L20)*1000</f>
        <v>1.5563227415687007</v>
      </c>
      <c r="M20" s="480">
        <f>('C-72'!M20/'C-71'!M20)*1000</f>
        <v>1.6768546012864918</v>
      </c>
      <c r="N20" s="480">
        <f>('C-72'!N20/'C-71'!N20)*1000</f>
        <v>1.6236835763861439</v>
      </c>
    </row>
    <row r="21" spans="1:14" ht="12.75" customHeight="1">
      <c r="A21" s="152" t="s">
        <v>33</v>
      </c>
      <c r="B21" s="646">
        <f>('C-72'!B21/'C-71'!B21)*1000</f>
        <v>7.2027693556843921</v>
      </c>
      <c r="C21" s="480">
        <f>('C-72'!C21/'C-71'!C21)*1000</f>
        <v>0.55216292214616414</v>
      </c>
      <c r="D21" s="480">
        <f>('C-72'!D21/'C-71'!D21)*1000</f>
        <v>0.54636791511637461</v>
      </c>
      <c r="E21" s="480">
        <f>('C-72'!E21/'C-71'!E21)*1000</f>
        <v>0.5391557691341694</v>
      </c>
      <c r="F21" s="480">
        <f>('C-72'!F21/'C-71'!F21)*1000</f>
        <v>0.54665409990574931</v>
      </c>
      <c r="G21" s="480">
        <f>('C-72'!G21/'C-71'!G21)*1000</f>
        <v>0.53963278101209144</v>
      </c>
      <c r="H21" s="480">
        <f>('C-72'!H21/'C-71'!H21)*1000</f>
        <v>0.56494810847003674</v>
      </c>
      <c r="I21" s="480">
        <f>('C-72'!I21/'C-71'!I21)*1000</f>
        <v>0.5869665146211237</v>
      </c>
      <c r="J21" s="480">
        <f>('C-72'!J21/'C-71'!J21)*1000</f>
        <v>0.59032222241704801</v>
      </c>
      <c r="K21" s="480">
        <f>('C-72'!K21/'C-71'!K21)*1000</f>
        <v>0.68378251304585058</v>
      </c>
      <c r="L21" s="480">
        <f>('C-72'!L21/'C-71'!L21)*1000</f>
        <v>0.67172022617712512</v>
      </c>
      <c r="M21" s="480">
        <f>('C-72'!M21/'C-71'!M21)*1000</f>
        <v>0.66041780805602535</v>
      </c>
      <c r="N21" s="480">
        <f>('C-72'!N21/'C-71'!N21)*1000</f>
        <v>0.74053515334250064</v>
      </c>
    </row>
    <row r="22" spans="1:14" ht="12.75" customHeight="1">
      <c r="A22" s="152" t="s">
        <v>34</v>
      </c>
      <c r="B22" s="646">
        <f>('C-72'!B22/'C-71'!B22)*1000</f>
        <v>4.6294626643537979</v>
      </c>
      <c r="C22" s="480">
        <f>('C-72'!C22/'C-71'!C22)*1000</f>
        <v>0.37657755462070835</v>
      </c>
      <c r="D22" s="480">
        <f>('C-72'!D22/'C-71'!D22)*1000</f>
        <v>0.34730580103847875</v>
      </c>
      <c r="E22" s="480">
        <f>('C-72'!E22/'C-71'!E22)*1000</f>
        <v>0.36894236521970353</v>
      </c>
      <c r="F22" s="480">
        <f>('C-72'!F22/'C-71'!F22)*1000</f>
        <v>0.38675445886338933</v>
      </c>
      <c r="G22" s="480">
        <f>('C-72'!G22/'C-71'!G22)*1000</f>
        <v>0.41108986615678778</v>
      </c>
      <c r="H22" s="480">
        <f>('C-72'!H22/'C-71'!H22)*1000</f>
        <v>0.40574862169361331</v>
      </c>
      <c r="I22" s="480">
        <f>('C-72'!I22/'C-71'!I22)*1000</f>
        <v>0.39071159388162269</v>
      </c>
      <c r="J22" s="480">
        <f>('C-72'!J22/'C-71'!J22)*1000</f>
        <v>0.38809114597771249</v>
      </c>
      <c r="K22" s="480">
        <f>('C-72'!K22/'C-71'!K22)*1000</f>
        <v>0.38098439644788079</v>
      </c>
      <c r="L22" s="480">
        <f>('C-72'!L22/'C-71'!L22)*1000</f>
        <v>0.3801418439716312</v>
      </c>
      <c r="M22" s="480">
        <f>('C-72'!M22/'C-71'!M22)*1000</f>
        <v>0.38772914792642454</v>
      </c>
      <c r="N22" s="480">
        <f>('C-72'!N22/'C-71'!N22)*1000</f>
        <v>0.39947120358661919</v>
      </c>
    </row>
    <row r="23" spans="1:14" ht="12.75" customHeight="1">
      <c r="A23" s="152" t="s">
        <v>35</v>
      </c>
      <c r="B23" s="646">
        <f>('C-72'!B23/'C-71'!B23)*1000</f>
        <v>7.739708958548869</v>
      </c>
      <c r="C23" s="480">
        <f>('C-72'!C23/'C-71'!C23)*1000</f>
        <v>0.59423416356148273</v>
      </c>
      <c r="D23" s="480">
        <f>('C-72'!D23/'C-71'!D23)*1000</f>
        <v>0.54534738369268831</v>
      </c>
      <c r="E23" s="480">
        <f>('C-72'!E23/'C-71'!E23)*1000</f>
        <v>0.68642767278207129</v>
      </c>
      <c r="F23" s="480">
        <f>('C-72'!F23/'C-71'!F23)*1000</f>
        <v>0.71202972226863004</v>
      </c>
      <c r="G23" s="480">
        <f>('C-72'!G23/'C-71'!G23)*1000</f>
        <v>0.71471021819500924</v>
      </c>
      <c r="H23" s="480">
        <f>('C-72'!H23/'C-71'!H23)*1000</f>
        <v>0.73702737530251117</v>
      </c>
      <c r="I23" s="480">
        <f>('C-72'!I23/'C-71'!I23)*1000</f>
        <v>0.72389321784760297</v>
      </c>
      <c r="J23" s="480">
        <f>('C-72'!J23/'C-71'!J23)*1000</f>
        <v>0.70101156545520449</v>
      </c>
      <c r="K23" s="480">
        <f>('C-72'!K23/'C-71'!K23)*1000</f>
        <v>0.62103012389157919</v>
      </c>
      <c r="L23" s="480">
        <f>('C-72'!L23/'C-71'!L23)*1000</f>
        <v>0.61000149935685477</v>
      </c>
      <c r="M23" s="480">
        <f>('C-72'!M23/'C-71'!M23)*1000</f>
        <v>0.54146593940359122</v>
      </c>
      <c r="N23" s="480">
        <f>('C-72'!N23/'C-71'!N23)*1000</f>
        <v>0.57931316756790796</v>
      </c>
    </row>
    <row r="24" spans="1:14" ht="12.75" customHeight="1">
      <c r="A24" s="152" t="s">
        <v>36</v>
      </c>
      <c r="B24" s="646">
        <f>('C-72'!B24/'C-71'!B24)*1000</f>
        <v>4.3542988176951241</v>
      </c>
      <c r="C24" s="480">
        <f>('C-72'!C24/'C-71'!C24)*1000</f>
        <v>0.35915854284248333</v>
      </c>
      <c r="D24" s="480">
        <f>('C-72'!D24/'C-71'!D24)*1000</f>
        <v>0.36460813509690898</v>
      </c>
      <c r="E24" s="480">
        <f>('C-72'!E24/'C-71'!E24)*1000</f>
        <v>0.35955281065934691</v>
      </c>
      <c r="F24" s="480">
        <f>('C-72'!F24/'C-71'!F24)*1000</f>
        <v>0.36258370127781514</v>
      </c>
      <c r="G24" s="480">
        <f>('C-72'!G24/'C-71'!G24)*1000</f>
        <v>0.37138764600776741</v>
      </c>
      <c r="H24" s="480">
        <f>('C-72'!H24/'C-71'!H24)*1000</f>
        <v>0.3713654191070857</v>
      </c>
      <c r="I24" s="480">
        <f>('C-72'!I24/'C-71'!I24)*1000</f>
        <v>0.3743120901319747</v>
      </c>
      <c r="J24" s="480">
        <f>('C-72'!J24/'C-71'!J24)*1000</f>
        <v>0.3602445477510875</v>
      </c>
      <c r="K24" s="480">
        <f>('C-72'!K24/'C-71'!K24)*1000</f>
        <v>0.35186168195950557</v>
      </c>
      <c r="L24" s="480">
        <f>('C-72'!L24/'C-71'!L24)*1000</f>
        <v>0.35353535353535354</v>
      </c>
      <c r="M24" s="480">
        <f>('C-72'!M24/'C-71'!M24)*1000</f>
        <v>0.36033835160472721</v>
      </c>
      <c r="N24" s="480">
        <f>('C-72'!N24/'C-71'!N24)*1000</f>
        <v>0.36527456471447706</v>
      </c>
    </row>
    <row r="25" spans="1:14" ht="12.75" customHeight="1">
      <c r="A25" s="129" t="s">
        <v>37</v>
      </c>
      <c r="B25" s="646">
        <f>('C-72'!B25/'C-71'!B25)*1000</f>
        <v>15.777273968147414</v>
      </c>
      <c r="C25" s="480">
        <f>('C-72'!C25/'C-71'!C25)*1000</f>
        <v>1.3465933989434666</v>
      </c>
      <c r="D25" s="480">
        <f>('C-72'!D25/'C-71'!D25)*1000</f>
        <v>1.3360956915902689</v>
      </c>
      <c r="E25" s="480">
        <f>('C-72'!E25/'C-71'!E25)*1000</f>
        <v>1.3101055869599969</v>
      </c>
      <c r="F25" s="480">
        <f>('C-72'!F25/'C-71'!F25)*1000</f>
        <v>1.3430779585070487</v>
      </c>
      <c r="G25" s="480">
        <f>('C-72'!G25/'C-71'!G25)*1000</f>
        <v>1.3363097279017142</v>
      </c>
      <c r="H25" s="480">
        <f>('C-72'!H25/'C-71'!H25)*1000</f>
        <v>1.3030843024586591</v>
      </c>
      <c r="I25" s="480">
        <f>('C-72'!I25/'C-71'!I25)*1000</f>
        <v>1.2649319271365254</v>
      </c>
      <c r="J25" s="480">
        <f>('C-72'!J25/'C-71'!J25)*1000</f>
        <v>1.2653045029408114</v>
      </c>
      <c r="K25" s="480">
        <f>('C-72'!K25/'C-71'!K25)*1000</f>
        <v>1.2632360188234253</v>
      </c>
      <c r="L25" s="480">
        <f>('C-72'!L25/'C-71'!L25)*1000</f>
        <v>1.2761245558193974</v>
      </c>
      <c r="M25" s="480">
        <f>('C-72'!M25/'C-71'!M25)*1000</f>
        <v>1.3291806910111734</v>
      </c>
      <c r="N25" s="480">
        <f>('C-72'!N25/'C-71'!N25)*1000</f>
        <v>1.4119601328903655</v>
      </c>
    </row>
    <row r="26" spans="1:14" ht="12.75" customHeight="1">
      <c r="A26" s="152" t="s">
        <v>38</v>
      </c>
      <c r="B26" s="646">
        <f>('C-72'!B26/'C-71'!B26)*1000</f>
        <v>10.365106017415751</v>
      </c>
      <c r="C26" s="480">
        <f>('C-72'!C26/'C-71'!C26)*1000</f>
        <v>0.7935399144988684</v>
      </c>
      <c r="D26" s="480">
        <f>('C-72'!D26/'C-71'!D26)*1000</f>
        <v>0.92429886834891406</v>
      </c>
      <c r="E26" s="480">
        <f>('C-72'!E26/'C-71'!E26)*1000</f>
        <v>0.9766494878157409</v>
      </c>
      <c r="F26" s="480">
        <f>('C-72'!F26/'C-71'!F26)*1000</f>
        <v>0.81215127092374462</v>
      </c>
      <c r="G26" s="480">
        <f>('C-72'!G26/'C-71'!G26)*1000</f>
        <v>0.85679314565483478</v>
      </c>
      <c r="H26" s="480">
        <f>('C-72'!H26/'C-71'!H26)*1000</f>
        <v>0.85813794836810164</v>
      </c>
      <c r="I26" s="480">
        <f>('C-72'!I26/'C-71'!I26)*1000</f>
        <v>0.85254728703575855</v>
      </c>
      <c r="J26" s="480">
        <f>('C-72'!J26/'C-71'!J26)*1000</f>
        <v>0.8843490779461165</v>
      </c>
      <c r="K26" s="480">
        <f>('C-72'!K26/'C-71'!K26)*1000</f>
        <v>0.90490797546012269</v>
      </c>
      <c r="L26" s="480">
        <f>('C-72'!L26/'C-71'!L26)*1000</f>
        <v>0.98486598890942711</v>
      </c>
      <c r="M26" s="480">
        <f>('C-72'!M26/'C-71'!M26)*1000</f>
        <v>0.80049960258884978</v>
      </c>
      <c r="N26" s="480">
        <f>('C-72'!N26/'C-71'!N26)*1000</f>
        <v>0.73864299894896646</v>
      </c>
    </row>
    <row r="27" spans="1:14" ht="12.75" customHeight="1">
      <c r="A27" s="152" t="s">
        <v>39</v>
      </c>
      <c r="B27" s="646">
        <f>('C-72'!B27/'C-71'!B27)*1000</f>
        <v>16.905047384168693</v>
      </c>
      <c r="C27" s="480">
        <f>('C-72'!C27/'C-71'!C27)*1000</f>
        <v>1.3989354880082083</v>
      </c>
      <c r="D27" s="480">
        <f>('C-72'!D27/'C-71'!D27)*1000</f>
        <v>1.3866834078067876</v>
      </c>
      <c r="E27" s="480">
        <f>('C-72'!E27/'C-71'!E27)*1000</f>
        <v>1.4021466659165214</v>
      </c>
      <c r="F27" s="480">
        <f>('C-72'!F27/'C-71'!F27)*1000</f>
        <v>1.4197876557109239</v>
      </c>
      <c r="G27" s="480">
        <f>('C-72'!G27/'C-71'!G27)*1000</f>
        <v>1.406160784275774</v>
      </c>
      <c r="H27" s="480">
        <f>('C-72'!H27/'C-71'!H27)*1000</f>
        <v>1.4396777974019115</v>
      </c>
      <c r="I27" s="480">
        <f>('C-72'!I27/'C-71'!I27)*1000</f>
        <v>1.4843228281172878</v>
      </c>
      <c r="J27" s="480">
        <f>('C-72'!J27/'C-71'!J27)*1000</f>
        <v>1.411732456140351</v>
      </c>
      <c r="K27" s="480">
        <f>('C-72'!K27/'C-71'!K27)*1000</f>
        <v>1.3321475142108394</v>
      </c>
      <c r="L27" s="480">
        <f>('C-72'!L27/'C-71'!L27)*1000</f>
        <v>1.4124992861358057</v>
      </c>
      <c r="M27" s="480">
        <f>('C-72'!M27/'C-71'!M27)*1000</f>
        <v>1.4665254540726138</v>
      </c>
      <c r="N27" s="480">
        <f>('C-72'!N27/'C-71'!N27)*1000</f>
        <v>1.3510529656923631</v>
      </c>
    </row>
    <row r="28" spans="1:14" ht="12.75" customHeight="1">
      <c r="A28" s="152" t="s">
        <v>40</v>
      </c>
      <c r="B28" s="646">
        <f>('C-72'!B28/'C-71'!B28)*1000</f>
        <v>6.6668270652855393</v>
      </c>
      <c r="C28" s="480">
        <f>('C-72'!C28/'C-71'!C28)*1000</f>
        <v>0.49678838346810816</v>
      </c>
      <c r="D28" s="480">
        <f>('C-72'!D28/'C-71'!D28)*1000</f>
        <v>0.48584776037372907</v>
      </c>
      <c r="E28" s="480">
        <f>('C-72'!E28/'C-71'!E28)*1000</f>
        <v>0.59634605714688982</v>
      </c>
      <c r="F28" s="480">
        <f>('C-72'!F28/'C-71'!F28)*1000</f>
        <v>0.58092154942319052</v>
      </c>
      <c r="G28" s="480">
        <f>('C-72'!G28/'C-71'!G28)*1000</f>
        <v>0.59358758203631201</v>
      </c>
      <c r="H28" s="480">
        <f>('C-72'!H28/'C-71'!H28)*1000</f>
        <v>0.660659691692144</v>
      </c>
      <c r="I28" s="480">
        <f>('C-72'!I28/'C-71'!I28)*1000</f>
        <v>0.63802293652075592</v>
      </c>
      <c r="J28" s="480">
        <f>('C-72'!J28/'C-71'!J28)*1000</f>
        <v>0.69451779866906094</v>
      </c>
      <c r="K28" s="480">
        <f>('C-72'!K28/'C-71'!K28)*1000</f>
        <v>0.45711761007358065</v>
      </c>
      <c r="L28" s="480">
        <f>('C-72'!L28/'C-71'!L28)*1000</f>
        <v>0.47440888484419497</v>
      </c>
      <c r="M28" s="480">
        <f>('C-72'!M28/'C-71'!M28)*1000</f>
        <v>0.4822231980843642</v>
      </c>
      <c r="N28" s="480">
        <f>('C-72'!N28/'C-71'!N28)*1000</f>
        <v>0.46758155970087928</v>
      </c>
    </row>
    <row r="29" spans="1:14" ht="12.75" customHeight="1">
      <c r="A29" s="129" t="s">
        <v>41</v>
      </c>
      <c r="B29" s="646">
        <f>('C-72'!B29/'C-71'!B29)*1000</f>
        <v>4.8063445345976232</v>
      </c>
      <c r="C29" s="480">
        <f>('C-72'!C29/'C-71'!C29)*1000</f>
        <v>0.38615547885954815</v>
      </c>
      <c r="D29" s="480">
        <f>('C-72'!D29/'C-71'!D29)*1000</f>
        <v>0.38104139331739673</v>
      </c>
      <c r="E29" s="480">
        <f>('C-72'!E29/'C-71'!E29)*1000</f>
        <v>0.39143428929109836</v>
      </c>
      <c r="F29" s="480">
        <f>('C-72'!F29/'C-71'!F29)*1000</f>
        <v>0.42018661228957566</v>
      </c>
      <c r="G29" s="480">
        <f>('C-72'!G29/'C-71'!G29)*1000</f>
        <v>0.4255820060305876</v>
      </c>
      <c r="H29" s="480">
        <f>('C-72'!H29/'C-71'!H29)*1000</f>
        <v>0.42689031185659509</v>
      </c>
      <c r="I29" s="480">
        <f>('C-72'!I29/'C-71'!I29)*1000</f>
        <v>0.39493935551317916</v>
      </c>
      <c r="J29" s="480">
        <f>('C-72'!J29/'C-71'!J29)*1000</f>
        <v>0.37492918576505119</v>
      </c>
      <c r="K29" s="480">
        <f>('C-72'!K29/'C-71'!K29)*1000</f>
        <v>0.37322955212453746</v>
      </c>
      <c r="L29" s="480">
        <f>('C-72'!L29/'C-71'!L29)*1000</f>
        <v>0.37765939773847362</v>
      </c>
      <c r="M29" s="480">
        <f>('C-72'!M29/'C-71'!M29)*1000</f>
        <v>0.42120583954483309</v>
      </c>
      <c r="N29" s="480">
        <f>('C-72'!N29/'C-71'!N29)*1000</f>
        <v>0.42242830269628062</v>
      </c>
    </row>
    <row r="30" spans="1:14" ht="12.75" customHeight="1">
      <c r="A30" s="127" t="s">
        <v>100</v>
      </c>
      <c r="B30" s="646">
        <f>('C-72'!B30/'C-71'!B30)*1000</f>
        <v>4.9352934779384867</v>
      </c>
      <c r="C30" s="480">
        <f>('C-72'!C30/'C-71'!C30)*1000</f>
        <v>0.4148778815974602</v>
      </c>
      <c r="D30" s="480">
        <f>('C-72'!D30/'C-71'!D30)*1000</f>
        <v>0.41007409493303298</v>
      </c>
      <c r="E30" s="480">
        <f>('C-72'!E30/'C-71'!E30)*1000</f>
        <v>0.41073384446878419</v>
      </c>
      <c r="F30" s="480">
        <f>('C-72'!F30/'C-71'!F30)*1000</f>
        <v>0.43597826816017171</v>
      </c>
      <c r="G30" s="480">
        <f>('C-72'!G30/'C-71'!G30)*1000</f>
        <v>0.44023479188900744</v>
      </c>
      <c r="H30" s="480">
        <f>('C-72'!H30/'C-71'!H30)*1000</f>
        <v>0.43983171656062031</v>
      </c>
      <c r="I30" s="480">
        <f>('C-72'!I30/'C-71'!I30)*1000</f>
        <v>0.39202287399521657</v>
      </c>
      <c r="J30" s="480">
        <f>('C-72'!J30/'C-71'!J30)*1000</f>
        <v>0.37086399721852004</v>
      </c>
      <c r="K30" s="480">
        <f>('C-72'!K30/'C-71'!K30)*1000</f>
        <v>0.39662303813247207</v>
      </c>
      <c r="L30" s="480">
        <f>('C-72'!L30/'C-71'!L30)*1000</f>
        <v>0.38378069674471732</v>
      </c>
      <c r="M30" s="480">
        <f>('C-72'!M30/'C-71'!M30)*1000</f>
        <v>0.39814052803665556</v>
      </c>
      <c r="N30" s="480">
        <f>('C-72'!N30/'C-71'!N30)*1000</f>
        <v>0.41707123311854527</v>
      </c>
    </row>
    <row r="31" spans="1:14" ht="12.75" customHeight="1">
      <c r="A31" s="127" t="s">
        <v>101</v>
      </c>
      <c r="B31" s="646">
        <f>('C-72'!B31/'C-71'!B31)*1000</f>
        <v>4.6767454534444823</v>
      </c>
      <c r="C31" s="480">
        <f>('C-72'!C31/'C-71'!C31)*1000</f>
        <v>0.35806889739474013</v>
      </c>
      <c r="D31" s="480">
        <f>('C-72'!D31/'C-71'!D31)*1000</f>
        <v>0.35259117787490357</v>
      </c>
      <c r="E31" s="480">
        <f>('C-72'!E31/'C-71'!E31)*1000</f>
        <v>0.37092932341764095</v>
      </c>
      <c r="F31" s="480">
        <f>('C-72'!F31/'C-71'!F31)*1000</f>
        <v>0.40263202042984697</v>
      </c>
      <c r="G31" s="480">
        <f>('C-72'!G31/'C-71'!G31)*1000</f>
        <v>0.41016089403186173</v>
      </c>
      <c r="H31" s="480">
        <f>('C-72'!H31/'C-71'!H31)*1000</f>
        <v>0.41149710504549208</v>
      </c>
      <c r="I31" s="480">
        <f>('C-72'!I31/'C-71'!I31)*1000</f>
        <v>0.39833955302109103</v>
      </c>
      <c r="J31" s="480">
        <f>('C-72'!J31/'C-71'!J31)*1000</f>
        <v>0.3795736417001368</v>
      </c>
      <c r="K31" s="480">
        <f>('C-72'!K31/'C-71'!K31)*1000</f>
        <v>0.36406419961373671</v>
      </c>
      <c r="L31" s="480">
        <f>('C-72'!L31/'C-71'!L31)*1000</f>
        <v>0.37189904983017325</v>
      </c>
      <c r="M31" s="480">
        <f>('C-72'!M31/'C-71'!M31)*1000</f>
        <v>0.44169418144447115</v>
      </c>
      <c r="N31" s="480">
        <f>('C-72'!N31/'C-71'!N31)*1000</f>
        <v>0.42775352622458157</v>
      </c>
    </row>
    <row r="32" spans="1:14" ht="12.75" customHeight="1">
      <c r="A32" s="152" t="s">
        <v>44</v>
      </c>
      <c r="B32" s="646">
        <f>('C-72'!B32/'C-71'!B32)*1000</f>
        <v>3.221150566102474</v>
      </c>
      <c r="C32" s="480">
        <f>('C-72'!C32/'C-71'!C32)*1000</f>
        <v>0.2547007266461907</v>
      </c>
      <c r="D32" s="480">
        <f>('C-72'!D32/'C-71'!D32)*1000</f>
        <v>0.25383183762557615</v>
      </c>
      <c r="E32" s="480">
        <f>('C-72'!E32/'C-71'!E32)*1000</f>
        <v>0.25498451879707307</v>
      </c>
      <c r="F32" s="480">
        <f>('C-72'!F32/'C-71'!F32)*1000</f>
        <v>0.26490386441895569</v>
      </c>
      <c r="G32" s="480">
        <f>('C-72'!G32/'C-71'!G32)*1000</f>
        <v>0.29338609936661203</v>
      </c>
      <c r="H32" s="480">
        <f>('C-72'!H32/'C-71'!H32)*1000</f>
        <v>0.2949958393839025</v>
      </c>
      <c r="I32" s="480">
        <f>('C-72'!I32/'C-71'!I32)*1000</f>
        <v>0.27497858907764045</v>
      </c>
      <c r="J32" s="480">
        <f>('C-72'!J32/'C-71'!J32)*1000</f>
        <v>0.25252439078490724</v>
      </c>
      <c r="K32" s="480">
        <f>('C-72'!K32/'C-71'!K32)*1000</f>
        <v>0.28036457301367151</v>
      </c>
      <c r="L32" s="480">
        <f>('C-72'!L32/'C-71'!L32)*1000</f>
        <v>0.27098107124855897</v>
      </c>
      <c r="M32" s="480">
        <f>('C-72'!M32/'C-71'!M32)*1000</f>
        <v>0.25040526711404532</v>
      </c>
      <c r="N32" s="480">
        <f>('C-72'!N32/'C-71'!N32)*1000</f>
        <v>0.26109536401164224</v>
      </c>
    </row>
    <row r="33" spans="1:14" ht="12.75" customHeight="1">
      <c r="A33" s="152" t="s">
        <v>45</v>
      </c>
      <c r="B33" s="646">
        <f>('C-72'!B33/'C-71'!B33)*1000</f>
        <v>4.8603379330301761</v>
      </c>
      <c r="C33" s="480">
        <f>('C-72'!C33/'C-71'!C33)*1000</f>
        <v>0.38603361452916796</v>
      </c>
      <c r="D33" s="480">
        <f>('C-72'!D33/'C-71'!D33)*1000</f>
        <v>0.39356392995650236</v>
      </c>
      <c r="E33" s="480">
        <f>('C-72'!E33/'C-71'!E33)*1000</f>
        <v>0.39899707578302074</v>
      </c>
      <c r="F33" s="480">
        <f>('C-72'!F33/'C-71'!F33)*1000</f>
        <v>0.4183440571631743</v>
      </c>
      <c r="G33" s="480">
        <f>('C-72'!G33/'C-71'!G33)*1000</f>
        <v>0.42978716117874693</v>
      </c>
      <c r="H33" s="480">
        <f>('C-72'!H33/'C-71'!H33)*1000</f>
        <v>0.44115893644926674</v>
      </c>
      <c r="I33" s="480">
        <f>('C-72'!I33/'C-71'!I33)*1000</f>
        <v>0.43119669291383816</v>
      </c>
      <c r="J33" s="480">
        <f>('C-72'!J33/'C-71'!J33)*1000</f>
        <v>0.42406813146988853</v>
      </c>
      <c r="K33" s="480">
        <f>('C-72'!K33/'C-71'!K33)*1000</f>
        <v>0.38186816982357247</v>
      </c>
      <c r="L33" s="480">
        <f>('C-72'!L33/'C-71'!L33)*1000</f>
        <v>0.39117490250579573</v>
      </c>
      <c r="M33" s="480">
        <f>('C-72'!M33/'C-71'!M33)*1000</f>
        <v>0.3878191997815103</v>
      </c>
      <c r="N33" s="480">
        <f>('C-72'!N33/'C-71'!N33)*1000</f>
        <v>0.37194094855799209</v>
      </c>
    </row>
    <row r="34" spans="1:14" ht="12.75" customHeight="1">
      <c r="A34" s="129" t="s">
        <v>46</v>
      </c>
      <c r="B34" s="646">
        <f>('C-72'!B34/'C-71'!B34)*1000</f>
        <v>18.826073125354259</v>
      </c>
      <c r="C34" s="480">
        <f>('C-72'!C34/'C-71'!C34)*1000</f>
        <v>1.4052107235179645</v>
      </c>
      <c r="D34" s="480">
        <f>('C-72'!D34/'C-71'!D34)*1000</f>
        <v>1.4039377517144902</v>
      </c>
      <c r="E34" s="480">
        <f>('C-72'!E34/'C-71'!E34)*1000</f>
        <v>1.5582879104360836</v>
      </c>
      <c r="F34" s="480">
        <f>('C-72'!F34/'C-71'!F34)*1000</f>
        <v>1.4289779861052985</v>
      </c>
      <c r="G34" s="480">
        <f>('C-72'!G34/'C-71'!G34)*1000</f>
        <v>1.6099712138515696</v>
      </c>
      <c r="H34" s="480">
        <f>('C-72'!H34/'C-71'!H34)*1000</f>
        <v>1.4682852973735978</v>
      </c>
      <c r="I34" s="480">
        <f>('C-72'!I34/'C-71'!I34)*1000</f>
        <v>1.5794886231432355</v>
      </c>
      <c r="J34" s="480">
        <f>('C-72'!J34/'C-71'!J34)*1000</f>
        <v>1.7250395033618822</v>
      </c>
      <c r="K34" s="480">
        <f>('C-72'!K34/'C-71'!K34)*1000</f>
        <v>1.783629688530969</v>
      </c>
      <c r="L34" s="480">
        <f>('C-72'!L34/'C-71'!L34)*1000</f>
        <v>1.7627040336257558</v>
      </c>
      <c r="M34" s="480">
        <f>('C-72'!M34/'C-71'!M34)*1000</f>
        <v>1.606942236421889</v>
      </c>
      <c r="N34" s="480">
        <f>('C-72'!N34/'C-71'!N34)*1000</f>
        <v>1.5942774147785914</v>
      </c>
    </row>
    <row r="35" spans="1:14" ht="12.75" customHeight="1">
      <c r="A35" s="129" t="s">
        <v>47</v>
      </c>
      <c r="B35" s="646">
        <f>('C-72'!B35/'C-71'!B35)*1000</f>
        <v>14.645684096485867</v>
      </c>
      <c r="C35" s="480">
        <f>('C-72'!C35/'C-71'!C35)*1000</f>
        <v>1.1311112044876779</v>
      </c>
      <c r="D35" s="480">
        <f>('C-72'!D35/'C-71'!D35)*1000</f>
        <v>1.1261226365885275</v>
      </c>
      <c r="E35" s="480">
        <f>('C-72'!E35/'C-71'!E35)*1000</f>
        <v>1.0478069994641164</v>
      </c>
      <c r="F35" s="480">
        <f>('C-72'!F35/'C-71'!F35)*1000</f>
        <v>1.1698961592420625</v>
      </c>
      <c r="G35" s="480">
        <f>('C-72'!G35/'C-71'!G35)*1000</f>
        <v>1.1723029007667982</v>
      </c>
      <c r="H35" s="480">
        <f>('C-72'!H35/'C-71'!H35)*1000</f>
        <v>1.1623683254631312</v>
      </c>
      <c r="I35" s="480">
        <f>('C-72'!I35/'C-71'!I35)*1000</f>
        <v>1.1906986762623653</v>
      </c>
      <c r="J35" s="480">
        <f>('C-72'!J35/'C-71'!J35)*1000</f>
        <v>1.2988263076498561</v>
      </c>
      <c r="K35" s="480">
        <f>('C-72'!K35/'C-71'!K35)*1000</f>
        <v>1.3720078813974681</v>
      </c>
      <c r="L35" s="480">
        <f>('C-72'!L35/'C-71'!L35)*1000</f>
        <v>1.373868422326572</v>
      </c>
      <c r="M35" s="480">
        <f>('C-72'!M35/'C-71'!M35)*1000</f>
        <v>1.3579853786039353</v>
      </c>
      <c r="N35" s="480">
        <f>('C-72'!N35/'C-71'!N35)*1000</f>
        <v>1.3488753499516315</v>
      </c>
    </row>
    <row r="36" spans="1:14" ht="12.75" customHeight="1">
      <c r="A36" s="129" t="s">
        <v>48</v>
      </c>
      <c r="B36" s="646">
        <f>('C-72'!B36/'C-71'!B36)*1000</f>
        <v>13.875080314050765</v>
      </c>
      <c r="C36" s="480">
        <f>('C-72'!C36/'C-71'!C36)*1000</f>
        <v>1.1412681082427769</v>
      </c>
      <c r="D36" s="480">
        <f>('C-72'!D36/'C-71'!D36)*1000</f>
        <v>1.1666710559482918</v>
      </c>
      <c r="E36" s="480">
        <f>('C-72'!E36/'C-71'!E36)*1000</f>
        <v>1.1162864493024627</v>
      </c>
      <c r="F36" s="480">
        <f>('C-72'!F36/'C-71'!F36)*1000</f>
        <v>1.1117003072595233</v>
      </c>
      <c r="G36" s="480">
        <f>('C-72'!G36/'C-71'!G36)*1000</f>
        <v>1.1140484136572606</v>
      </c>
      <c r="H36" s="480">
        <f>('C-72'!H36/'C-71'!H36)*1000</f>
        <v>1.1806199001703679</v>
      </c>
      <c r="I36" s="480">
        <f>('C-72'!I36/'C-71'!I36)*1000</f>
        <v>1.2172041570013314</v>
      </c>
      <c r="J36" s="480">
        <f>('C-72'!J36/'C-71'!J36)*1000</f>
        <v>1.271182771490176</v>
      </c>
      <c r="K36" s="480">
        <f>('C-72'!K36/'C-71'!K36)*1000</f>
        <v>1.2965767458434225</v>
      </c>
      <c r="L36" s="480">
        <f>('C-72'!L36/'C-71'!L36)*1000</f>
        <v>1.1475963161193887</v>
      </c>
      <c r="M36" s="480">
        <f>('C-72'!M36/'C-71'!M36)*1000</f>
        <v>1.0594419403829789</v>
      </c>
      <c r="N36" s="480">
        <f>('C-72'!N36/'C-71'!N36)*1000</f>
        <v>1.0701381465841338</v>
      </c>
    </row>
    <row r="37" spans="1:14" ht="12.75" customHeight="1" thickBot="1">
      <c r="A37" s="154" t="s">
        <v>49</v>
      </c>
      <c r="B37" s="647">
        <f>('C-72'!B37/'C-71'!B37)*1000</f>
        <v>16.518396359321748</v>
      </c>
      <c r="C37" s="481">
        <f>('C-72'!C37/'C-71'!C37)*1000</f>
        <v>1.461033151854408</v>
      </c>
      <c r="D37" s="481">
        <f>('C-72'!D37/'C-71'!D37)*1000</f>
        <v>1.4870674838839326</v>
      </c>
      <c r="E37" s="481">
        <f>('C-72'!E37/'C-71'!E37)*1000</f>
        <v>1.5114744767276398</v>
      </c>
      <c r="F37" s="481">
        <f>('C-72'!F37/'C-71'!F37)*1000</f>
        <v>1.4110002320724067</v>
      </c>
      <c r="G37" s="481">
        <f>('C-72'!G37/'C-71'!G37)*1000</f>
        <v>1.4140331588696975</v>
      </c>
      <c r="H37" s="481">
        <f>('C-72'!H37/'C-71'!H37)*1000</f>
        <v>1.4729808503789035</v>
      </c>
      <c r="I37" s="481">
        <f>('C-72'!I37/'C-71'!I37)*1000</f>
        <v>1.3494872212991569</v>
      </c>
      <c r="J37" s="481">
        <f>('C-72'!J37/'C-71'!J37)*1000</f>
        <v>1.3378983407953646</v>
      </c>
      <c r="K37" s="481">
        <f>('C-72'!K37/'C-71'!K37)*1000</f>
        <v>1.3243309526073705</v>
      </c>
      <c r="L37" s="481">
        <f>('C-72'!L37/'C-71'!L37)*1000</f>
        <v>1.2099254904641465</v>
      </c>
      <c r="M37" s="481">
        <f>('C-72'!M37/'C-71'!M37)*1000</f>
        <v>1.2578441871175006</v>
      </c>
      <c r="N37" s="481">
        <f>('C-72'!N37/'C-71'!N37)*1000</f>
        <v>1.2452675798244754</v>
      </c>
    </row>
    <row r="38" spans="1:14" ht="9" customHeight="1">
      <c r="A38" s="778" t="s">
        <v>402</v>
      </c>
      <c r="B38" s="813"/>
      <c r="C38" s="813"/>
      <c r="D38" s="813"/>
      <c r="E38" s="813"/>
      <c r="F38" s="257"/>
    </row>
    <row r="39" spans="1:14" ht="9" customHeight="1">
      <c r="A39" s="778" t="s">
        <v>359</v>
      </c>
      <c r="B39" s="813"/>
      <c r="C39" s="813"/>
      <c r="D39" s="813"/>
      <c r="E39" s="813"/>
      <c r="F39" s="257"/>
    </row>
    <row r="40" spans="1:14" ht="9" customHeight="1">
      <c r="A40" s="780" t="s">
        <v>358</v>
      </c>
      <c r="B40" s="813"/>
      <c r="C40" s="813"/>
      <c r="D40" s="813"/>
      <c r="E40" s="813"/>
      <c r="F40" s="257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75">
    <tabColor theme="9" tint="0.59999389629810485"/>
  </sheetPr>
  <dimension ref="A4:Q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7" ht="13.25" customHeight="1">
      <c r="A4" s="249" t="s">
        <v>547</v>
      </c>
      <c r="B4" s="245"/>
    </row>
    <row r="5" spans="1:17" ht="13.25" customHeight="1">
      <c r="A5" s="253" t="s">
        <v>238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7" ht="4" customHeight="1" thickBo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7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56"/>
      <c r="P7" s="156"/>
      <c r="Q7" s="146"/>
    </row>
    <row r="8" spans="1:17" ht="15" customHeight="1">
      <c r="A8" s="604" t="s">
        <v>90</v>
      </c>
      <c r="B8" s="609">
        <f t="shared" ref="B8:B37" si="0">AVERAGE(C8:N8)</f>
        <v>945549.09637549252</v>
      </c>
      <c r="C8" s="609">
        <f>(C9+C10+C11+C12+C13+C17+C18+C19+C20+C21+C22+C23+C24+C25+C26+C27+C28+C29+C32+C33+C34+C35+C36+C37)</f>
        <v>935719.72</v>
      </c>
      <c r="D8" s="609">
        <f t="shared" ref="D8:N8" si="1">(D9+D10+D11+D12+D13+D17+D18+D19+D20+D21+D22+D23+D24+D25+D26+D27+D28+D29+D32+D33+D34+D35+D36+D37)</f>
        <v>963356.951626478</v>
      </c>
      <c r="E8" s="609">
        <f t="shared" si="1"/>
        <v>980845.36</v>
      </c>
      <c r="F8" s="609">
        <f t="shared" si="1"/>
        <v>989289.331626478</v>
      </c>
      <c r="G8" s="609">
        <f t="shared" si="1"/>
        <v>983587.451626478</v>
      </c>
      <c r="H8" s="609">
        <f t="shared" si="1"/>
        <v>973251.72</v>
      </c>
      <c r="I8" s="609">
        <f t="shared" si="1"/>
        <v>950244.96</v>
      </c>
      <c r="J8" s="609">
        <f t="shared" si="1"/>
        <v>929308</v>
      </c>
      <c r="K8" s="609">
        <f t="shared" si="1"/>
        <v>917259.21162647801</v>
      </c>
      <c r="L8" s="609">
        <f t="shared" si="1"/>
        <v>903664.77</v>
      </c>
      <c r="M8" s="609">
        <f t="shared" si="1"/>
        <v>908484.96</v>
      </c>
      <c r="N8" s="609">
        <f t="shared" si="1"/>
        <v>911576.72</v>
      </c>
      <c r="Q8" s="146"/>
    </row>
    <row r="9" spans="1:17" ht="12.75" customHeight="1">
      <c r="A9" s="152" t="s">
        <v>21</v>
      </c>
      <c r="B9" s="637">
        <f t="shared" si="0"/>
        <v>334.66666666666669</v>
      </c>
      <c r="C9" s="258">
        <v>340</v>
      </c>
      <c r="D9" s="258">
        <v>330</v>
      </c>
      <c r="E9" s="258">
        <v>333</v>
      </c>
      <c r="F9" s="258">
        <v>330</v>
      </c>
      <c r="G9" s="258">
        <v>338</v>
      </c>
      <c r="H9" s="258">
        <v>336</v>
      </c>
      <c r="I9" s="258">
        <v>334</v>
      </c>
      <c r="J9" s="258">
        <v>323</v>
      </c>
      <c r="K9" s="258">
        <v>331</v>
      </c>
      <c r="L9" s="258">
        <v>338</v>
      </c>
      <c r="M9" s="258">
        <v>344</v>
      </c>
      <c r="N9" s="258">
        <v>339</v>
      </c>
      <c r="Q9" s="146"/>
    </row>
    <row r="10" spans="1:17" ht="12.75" customHeight="1">
      <c r="A10" s="152" t="s">
        <v>22</v>
      </c>
      <c r="B10" s="637">
        <f t="shared" si="0"/>
        <v>24773.580542159336</v>
      </c>
      <c r="C10" s="258">
        <v>25154</v>
      </c>
      <c r="D10" s="258">
        <v>25106.491626478004</v>
      </c>
      <c r="E10" s="258">
        <v>25260</v>
      </c>
      <c r="F10" s="258">
        <v>25106.491626478004</v>
      </c>
      <c r="G10" s="258">
        <v>25106.491626478004</v>
      </c>
      <c r="H10" s="258">
        <v>24332</v>
      </c>
      <c r="I10" s="258">
        <v>24687</v>
      </c>
      <c r="J10" s="258">
        <v>22106</v>
      </c>
      <c r="K10" s="258">
        <v>25106.491626478004</v>
      </c>
      <c r="L10" s="258">
        <v>25106</v>
      </c>
      <c r="M10" s="258">
        <v>25106</v>
      </c>
      <c r="N10" s="258">
        <v>25106</v>
      </c>
      <c r="Q10" s="146"/>
    </row>
    <row r="11" spans="1:17" ht="12.75" customHeight="1">
      <c r="A11" s="152" t="s">
        <v>23</v>
      </c>
      <c r="B11" s="637">
        <f t="shared" si="0"/>
        <v>18212.666666666668</v>
      </c>
      <c r="C11" s="258">
        <v>18647</v>
      </c>
      <c r="D11" s="258">
        <v>18469</v>
      </c>
      <c r="E11" s="258">
        <v>17680</v>
      </c>
      <c r="F11" s="258">
        <v>17852</v>
      </c>
      <c r="G11" s="258">
        <v>17308</v>
      </c>
      <c r="H11" s="258">
        <v>17139</v>
      </c>
      <c r="I11" s="258">
        <v>17089</v>
      </c>
      <c r="J11" s="258">
        <v>17841</v>
      </c>
      <c r="K11" s="258">
        <v>18802</v>
      </c>
      <c r="L11" s="258">
        <v>19689</v>
      </c>
      <c r="M11" s="258">
        <v>19456</v>
      </c>
      <c r="N11" s="258">
        <v>18580</v>
      </c>
      <c r="Q11" s="146"/>
    </row>
    <row r="12" spans="1:17" ht="12.75" customHeight="1">
      <c r="A12" s="129" t="s">
        <v>24</v>
      </c>
      <c r="B12" s="637">
        <f t="shared" si="0"/>
        <v>57217</v>
      </c>
      <c r="C12" s="258">
        <v>55761</v>
      </c>
      <c r="D12" s="258">
        <v>55761</v>
      </c>
      <c r="E12" s="258">
        <v>55761</v>
      </c>
      <c r="F12" s="258">
        <v>59232</v>
      </c>
      <c r="G12" s="258">
        <v>59232</v>
      </c>
      <c r="H12" s="258">
        <v>59232</v>
      </c>
      <c r="I12" s="258">
        <v>58399</v>
      </c>
      <c r="J12" s="258">
        <v>58399</v>
      </c>
      <c r="K12" s="258">
        <v>58399</v>
      </c>
      <c r="L12" s="258">
        <v>55476</v>
      </c>
      <c r="M12" s="258">
        <v>55476</v>
      </c>
      <c r="N12" s="258">
        <v>55476</v>
      </c>
      <c r="Q12" s="146"/>
    </row>
    <row r="13" spans="1:17" ht="12.75" customHeight="1">
      <c r="A13" s="129" t="s">
        <v>25</v>
      </c>
      <c r="B13" s="637">
        <f t="shared" si="0"/>
        <v>173516.58333333334</v>
      </c>
      <c r="C13" s="258">
        <v>171411</v>
      </c>
      <c r="D13" s="258">
        <v>170322</v>
      </c>
      <c r="E13" s="258">
        <v>175048</v>
      </c>
      <c r="F13" s="258">
        <v>173956</v>
      </c>
      <c r="G13" s="258">
        <v>174470</v>
      </c>
      <c r="H13" s="258">
        <v>174926</v>
      </c>
      <c r="I13" s="258">
        <v>172985</v>
      </c>
      <c r="J13" s="258">
        <v>173104</v>
      </c>
      <c r="K13" s="258">
        <v>172379</v>
      </c>
      <c r="L13" s="258">
        <v>173694</v>
      </c>
      <c r="M13" s="258">
        <v>174891</v>
      </c>
      <c r="N13" s="258">
        <v>175013</v>
      </c>
      <c r="Q13" s="146"/>
    </row>
    <row r="14" spans="1:17" ht="12.75" customHeight="1">
      <c r="A14" s="127" t="s">
        <v>97</v>
      </c>
      <c r="B14" s="637">
        <f t="shared" si="0"/>
        <v>102640.16666666667</v>
      </c>
      <c r="C14" s="258">
        <v>99415</v>
      </c>
      <c r="D14" s="258">
        <v>100526</v>
      </c>
      <c r="E14" s="258">
        <v>102507</v>
      </c>
      <c r="F14" s="258">
        <v>102876</v>
      </c>
      <c r="G14" s="258">
        <v>102769</v>
      </c>
      <c r="H14" s="258">
        <v>102850</v>
      </c>
      <c r="I14" s="258">
        <v>103328</v>
      </c>
      <c r="J14" s="258">
        <v>103125</v>
      </c>
      <c r="K14" s="258">
        <v>103352</v>
      </c>
      <c r="L14" s="258">
        <v>104583</v>
      </c>
      <c r="M14" s="258">
        <v>103128</v>
      </c>
      <c r="N14" s="258">
        <v>103223</v>
      </c>
      <c r="Q14" s="146"/>
    </row>
    <row r="15" spans="1:17" ht="12.75" customHeight="1">
      <c r="A15" s="127" t="s">
        <v>98</v>
      </c>
      <c r="B15" s="637">
        <f t="shared" si="0"/>
        <v>65122</v>
      </c>
      <c r="C15" s="258">
        <v>67322</v>
      </c>
      <c r="D15" s="258">
        <v>65102</v>
      </c>
      <c r="E15" s="258">
        <v>67842</v>
      </c>
      <c r="F15" s="258">
        <v>65109</v>
      </c>
      <c r="G15" s="258">
        <v>64279</v>
      </c>
      <c r="H15" s="258">
        <v>64806</v>
      </c>
      <c r="I15" s="258">
        <v>63539</v>
      </c>
      <c r="J15" s="258">
        <v>65197</v>
      </c>
      <c r="K15" s="258">
        <v>63469</v>
      </c>
      <c r="L15" s="258">
        <v>63164</v>
      </c>
      <c r="M15" s="258">
        <v>65855</v>
      </c>
      <c r="N15" s="258">
        <v>65780</v>
      </c>
      <c r="Q15" s="146"/>
    </row>
    <row r="16" spans="1:17" ht="12.75" customHeight="1">
      <c r="A16" s="127" t="s">
        <v>99</v>
      </c>
      <c r="B16" s="637">
        <f t="shared" si="0"/>
        <v>5754.416666666667</v>
      </c>
      <c r="C16" s="258">
        <v>4674</v>
      </c>
      <c r="D16" s="258">
        <v>4694</v>
      </c>
      <c r="E16" s="258">
        <v>4699</v>
      </c>
      <c r="F16" s="258">
        <v>5971</v>
      </c>
      <c r="G16" s="258">
        <v>7422</v>
      </c>
      <c r="H16" s="258">
        <v>7270</v>
      </c>
      <c r="I16" s="258">
        <v>6118</v>
      </c>
      <c r="J16" s="258">
        <v>4782</v>
      </c>
      <c r="K16" s="258">
        <v>5558</v>
      </c>
      <c r="L16" s="258">
        <v>5947</v>
      </c>
      <c r="M16" s="258">
        <v>5908</v>
      </c>
      <c r="N16" s="258">
        <v>6010</v>
      </c>
      <c r="Q16" s="146"/>
    </row>
    <row r="17" spans="1:17" ht="12.75" customHeight="1">
      <c r="A17" s="152" t="s">
        <v>29</v>
      </c>
      <c r="B17" s="637">
        <f t="shared" si="0"/>
        <v>82253.583333333328</v>
      </c>
      <c r="C17" s="258">
        <v>82181</v>
      </c>
      <c r="D17" s="258">
        <v>81757</v>
      </c>
      <c r="E17" s="258">
        <v>82848</v>
      </c>
      <c r="F17" s="258">
        <v>82109</v>
      </c>
      <c r="G17" s="258">
        <v>83272</v>
      </c>
      <c r="H17" s="258">
        <v>83162</v>
      </c>
      <c r="I17" s="258">
        <v>83163</v>
      </c>
      <c r="J17" s="258">
        <v>83360</v>
      </c>
      <c r="K17" s="258">
        <v>81568</v>
      </c>
      <c r="L17" s="258">
        <v>81578</v>
      </c>
      <c r="M17" s="258">
        <v>80843</v>
      </c>
      <c r="N17" s="258">
        <v>81202</v>
      </c>
      <c r="Q17" s="146"/>
    </row>
    <row r="18" spans="1:17" ht="12.75" customHeight="1">
      <c r="A18" s="129" t="s">
        <v>30</v>
      </c>
      <c r="B18" s="637">
        <f t="shared" si="0"/>
        <v>18406</v>
      </c>
      <c r="C18" s="258">
        <v>18733</v>
      </c>
      <c r="D18" s="258">
        <v>18750</v>
      </c>
      <c r="E18" s="258">
        <v>18765</v>
      </c>
      <c r="F18" s="258">
        <v>18812</v>
      </c>
      <c r="G18" s="258">
        <v>18898</v>
      </c>
      <c r="H18" s="258">
        <v>18881</v>
      </c>
      <c r="I18" s="258">
        <v>19798</v>
      </c>
      <c r="J18" s="258">
        <v>18822</v>
      </c>
      <c r="K18" s="258">
        <v>17790</v>
      </c>
      <c r="L18" s="258">
        <v>17845</v>
      </c>
      <c r="M18" s="258">
        <v>16974</v>
      </c>
      <c r="N18" s="258">
        <v>16804</v>
      </c>
      <c r="Q18" s="146"/>
    </row>
    <row r="19" spans="1:17" ht="12.75" customHeight="1">
      <c r="A19" s="129" t="s">
        <v>31</v>
      </c>
      <c r="B19" s="637">
        <f t="shared" si="0"/>
        <v>72827.547499999986</v>
      </c>
      <c r="C19" s="258">
        <v>72281.72</v>
      </c>
      <c r="D19" s="258">
        <v>73097.959999999992</v>
      </c>
      <c r="E19" s="258">
        <v>73869.36</v>
      </c>
      <c r="F19" s="258">
        <v>74489.72</v>
      </c>
      <c r="G19" s="258">
        <v>73897.959999999992</v>
      </c>
      <c r="H19" s="258">
        <v>74395.72</v>
      </c>
      <c r="I19" s="258">
        <v>74558.959999999992</v>
      </c>
      <c r="J19" s="258">
        <v>72097</v>
      </c>
      <c r="K19" s="258">
        <v>74069.72</v>
      </c>
      <c r="L19" s="258">
        <v>71695.76999999999</v>
      </c>
      <c r="M19" s="258">
        <v>68456.959999999992</v>
      </c>
      <c r="N19" s="258">
        <v>71019.72</v>
      </c>
      <c r="Q19" s="146"/>
    </row>
    <row r="20" spans="1:17" ht="12.75" customHeight="1">
      <c r="A20" s="152" t="s">
        <v>32</v>
      </c>
      <c r="B20" s="637">
        <f t="shared" si="0"/>
        <v>15845.75</v>
      </c>
      <c r="C20" s="258">
        <v>14959</v>
      </c>
      <c r="D20" s="258">
        <v>14910</v>
      </c>
      <c r="E20" s="258">
        <v>14993</v>
      </c>
      <c r="F20" s="258">
        <v>15040</v>
      </c>
      <c r="G20" s="258">
        <v>15530</v>
      </c>
      <c r="H20" s="258">
        <v>15450</v>
      </c>
      <c r="I20" s="258">
        <v>15820</v>
      </c>
      <c r="J20" s="258">
        <v>16300</v>
      </c>
      <c r="K20" s="258">
        <v>16440</v>
      </c>
      <c r="L20" s="258">
        <v>16597</v>
      </c>
      <c r="M20" s="258">
        <v>17056</v>
      </c>
      <c r="N20" s="258">
        <v>17054</v>
      </c>
      <c r="Q20" s="146"/>
    </row>
    <row r="21" spans="1:17" ht="12.75" customHeight="1">
      <c r="A21" s="152" t="s">
        <v>33</v>
      </c>
      <c r="B21" s="637">
        <f t="shared" si="0"/>
        <v>40990.5</v>
      </c>
      <c r="C21" s="258">
        <v>43335</v>
      </c>
      <c r="D21" s="258">
        <v>43100</v>
      </c>
      <c r="E21" s="258">
        <v>43770</v>
      </c>
      <c r="F21" s="258">
        <v>44373</v>
      </c>
      <c r="G21" s="258">
        <v>40899</v>
      </c>
      <c r="H21" s="258">
        <v>39998</v>
      </c>
      <c r="I21" s="258">
        <v>41448</v>
      </c>
      <c r="J21" s="258">
        <v>41252</v>
      </c>
      <c r="K21" s="258">
        <v>40501</v>
      </c>
      <c r="L21" s="258">
        <v>37401</v>
      </c>
      <c r="M21" s="258">
        <v>37145</v>
      </c>
      <c r="N21" s="258">
        <v>38664</v>
      </c>
      <c r="Q21" s="146"/>
    </row>
    <row r="22" spans="1:17" ht="12.75" customHeight="1">
      <c r="A22" s="152" t="s">
        <v>34</v>
      </c>
      <c r="B22" s="637">
        <f t="shared" si="0"/>
        <v>30993.916666666668</v>
      </c>
      <c r="C22" s="258">
        <v>31401</v>
      </c>
      <c r="D22" s="258">
        <v>31401</v>
      </c>
      <c r="E22" s="258">
        <v>31401</v>
      </c>
      <c r="F22" s="258">
        <v>31401</v>
      </c>
      <c r="G22" s="258">
        <v>30438</v>
      </c>
      <c r="H22" s="258">
        <v>31289</v>
      </c>
      <c r="I22" s="258">
        <v>31289</v>
      </c>
      <c r="J22" s="258">
        <v>31302</v>
      </c>
      <c r="K22" s="258">
        <v>31289</v>
      </c>
      <c r="L22" s="258">
        <v>29904</v>
      </c>
      <c r="M22" s="258">
        <v>30391</v>
      </c>
      <c r="N22" s="258">
        <v>30421</v>
      </c>
      <c r="Q22" s="146"/>
    </row>
    <row r="23" spans="1:17" ht="12.75" customHeight="1">
      <c r="A23" s="152" t="s">
        <v>35</v>
      </c>
      <c r="B23" s="637">
        <f t="shared" si="0"/>
        <v>42039.166666666664</v>
      </c>
      <c r="C23" s="258">
        <v>40670</v>
      </c>
      <c r="D23" s="258">
        <v>41686</v>
      </c>
      <c r="E23" s="258">
        <v>41973</v>
      </c>
      <c r="F23" s="258">
        <v>42012</v>
      </c>
      <c r="G23" s="258">
        <v>42408</v>
      </c>
      <c r="H23" s="258">
        <v>42417</v>
      </c>
      <c r="I23" s="258">
        <v>42355</v>
      </c>
      <c r="J23" s="258">
        <v>42099</v>
      </c>
      <c r="K23" s="258">
        <v>42317</v>
      </c>
      <c r="L23" s="258">
        <v>42563</v>
      </c>
      <c r="M23" s="258">
        <v>41761</v>
      </c>
      <c r="N23" s="258">
        <v>42209</v>
      </c>
      <c r="Q23" s="146"/>
    </row>
    <row r="24" spans="1:17" ht="12.75" customHeight="1">
      <c r="A24" s="152" t="s">
        <v>36</v>
      </c>
      <c r="B24" s="637">
        <f t="shared" si="0"/>
        <v>12893.458333333334</v>
      </c>
      <c r="C24" s="258">
        <v>12047</v>
      </c>
      <c r="D24" s="258">
        <v>11747.5</v>
      </c>
      <c r="E24" s="258">
        <v>11983</v>
      </c>
      <c r="F24" s="258">
        <v>12890</v>
      </c>
      <c r="G24" s="258">
        <v>13580</v>
      </c>
      <c r="H24" s="258">
        <v>13324</v>
      </c>
      <c r="I24" s="258">
        <v>12369</v>
      </c>
      <c r="J24" s="258">
        <v>13698</v>
      </c>
      <c r="K24" s="258">
        <v>13784</v>
      </c>
      <c r="L24" s="258">
        <v>13708</v>
      </c>
      <c r="M24" s="258">
        <v>12790</v>
      </c>
      <c r="N24" s="258">
        <v>12801</v>
      </c>
      <c r="Q24" s="146"/>
    </row>
    <row r="25" spans="1:17" ht="12.75" customHeight="1">
      <c r="A25" s="129" t="s">
        <v>37</v>
      </c>
      <c r="B25" s="637">
        <f t="shared" si="0"/>
        <v>75148.583333333328</v>
      </c>
      <c r="C25" s="258">
        <v>75570</v>
      </c>
      <c r="D25" s="258">
        <v>75292</v>
      </c>
      <c r="E25" s="258">
        <v>75317</v>
      </c>
      <c r="F25" s="258">
        <v>75294</v>
      </c>
      <c r="G25" s="258">
        <v>75281</v>
      </c>
      <c r="H25" s="258">
        <v>75257</v>
      </c>
      <c r="I25" s="258">
        <v>75247</v>
      </c>
      <c r="J25" s="258">
        <v>75038</v>
      </c>
      <c r="K25" s="258">
        <v>74944</v>
      </c>
      <c r="L25" s="258">
        <v>74908</v>
      </c>
      <c r="M25" s="258">
        <v>74852</v>
      </c>
      <c r="N25" s="258">
        <v>74783</v>
      </c>
      <c r="Q25" s="146"/>
    </row>
    <row r="26" spans="1:17" ht="12.75" customHeight="1">
      <c r="A26" s="152" t="s">
        <v>38</v>
      </c>
      <c r="B26" s="637">
        <f t="shared" si="0"/>
        <v>5723.666666666667</v>
      </c>
      <c r="C26" s="258">
        <v>5773</v>
      </c>
      <c r="D26" s="258">
        <v>5724</v>
      </c>
      <c r="E26" s="258">
        <v>5699</v>
      </c>
      <c r="F26" s="258">
        <v>5652</v>
      </c>
      <c r="G26" s="258">
        <v>5761</v>
      </c>
      <c r="H26" s="258">
        <v>5677</v>
      </c>
      <c r="I26" s="258">
        <v>5679</v>
      </c>
      <c r="J26" s="258">
        <v>5744</v>
      </c>
      <c r="K26" s="258">
        <v>5720</v>
      </c>
      <c r="L26" s="258">
        <v>5758</v>
      </c>
      <c r="M26" s="258">
        <v>5702</v>
      </c>
      <c r="N26" s="258">
        <v>5795</v>
      </c>
      <c r="Q26" s="146"/>
    </row>
    <row r="27" spans="1:17" ht="12.75" customHeight="1">
      <c r="A27" s="152" t="s">
        <v>39</v>
      </c>
      <c r="B27" s="637">
        <f t="shared" si="0"/>
        <v>5437.083333333333</v>
      </c>
      <c r="C27" s="258">
        <v>5424</v>
      </c>
      <c r="D27" s="258">
        <v>5424</v>
      </c>
      <c r="E27" s="258">
        <v>5424</v>
      </c>
      <c r="F27" s="258">
        <v>5424</v>
      </c>
      <c r="G27" s="258">
        <v>5477</v>
      </c>
      <c r="H27" s="258">
        <v>5424</v>
      </c>
      <c r="I27" s="258">
        <v>5424</v>
      </c>
      <c r="J27" s="258">
        <v>5424</v>
      </c>
      <c r="K27" s="258">
        <v>5424</v>
      </c>
      <c r="L27" s="258">
        <v>5472</v>
      </c>
      <c r="M27" s="258">
        <v>5480</v>
      </c>
      <c r="N27" s="258">
        <v>5424</v>
      </c>
      <c r="Q27" s="146"/>
    </row>
    <row r="28" spans="1:17" ht="12.75" customHeight="1">
      <c r="A28" s="152" t="s">
        <v>40</v>
      </c>
      <c r="B28" s="637">
        <f t="shared" si="0"/>
        <v>28736.676666666666</v>
      </c>
      <c r="C28" s="258">
        <v>19969</v>
      </c>
      <c r="D28" s="258">
        <v>30249</v>
      </c>
      <c r="E28" s="258">
        <v>41072</v>
      </c>
      <c r="F28" s="258">
        <v>45834.12</v>
      </c>
      <c r="G28" s="258">
        <v>46521</v>
      </c>
      <c r="H28" s="258">
        <v>41832</v>
      </c>
      <c r="I28" s="258">
        <v>32548</v>
      </c>
      <c r="J28" s="258">
        <v>25386</v>
      </c>
      <c r="K28" s="258">
        <v>18323</v>
      </c>
      <c r="L28" s="258">
        <v>13444</v>
      </c>
      <c r="M28" s="258">
        <v>14827</v>
      </c>
      <c r="N28" s="258">
        <v>14835</v>
      </c>
      <c r="Q28" s="146"/>
    </row>
    <row r="29" spans="1:17" ht="12.75" customHeight="1">
      <c r="A29" s="129" t="s">
        <v>41</v>
      </c>
      <c r="B29" s="637">
        <f t="shared" si="0"/>
        <v>29644</v>
      </c>
      <c r="C29" s="258">
        <v>30218</v>
      </c>
      <c r="D29" s="258">
        <v>30096</v>
      </c>
      <c r="E29" s="258">
        <v>30250</v>
      </c>
      <c r="F29" s="258">
        <v>30542</v>
      </c>
      <c r="G29" s="258">
        <v>30444</v>
      </c>
      <c r="H29" s="258">
        <v>30170</v>
      </c>
      <c r="I29" s="258">
        <v>29507</v>
      </c>
      <c r="J29" s="258">
        <v>28575</v>
      </c>
      <c r="K29" s="258">
        <v>29861</v>
      </c>
      <c r="L29" s="258">
        <v>28753</v>
      </c>
      <c r="M29" s="258">
        <v>28984</v>
      </c>
      <c r="N29" s="258">
        <v>28328</v>
      </c>
      <c r="Q29" s="146"/>
    </row>
    <row r="30" spans="1:17" ht="12.75" customHeight="1">
      <c r="A30" s="127" t="s">
        <v>100</v>
      </c>
      <c r="B30" s="637">
        <f t="shared" si="0"/>
        <v>18033.833333333332</v>
      </c>
      <c r="C30" s="258">
        <v>18348</v>
      </c>
      <c r="D30" s="258">
        <v>18298</v>
      </c>
      <c r="E30" s="258">
        <v>18360</v>
      </c>
      <c r="F30" s="258">
        <v>18622</v>
      </c>
      <c r="G30" s="258">
        <v>18550</v>
      </c>
      <c r="H30" s="258">
        <v>18432</v>
      </c>
      <c r="I30" s="258">
        <v>17938</v>
      </c>
      <c r="J30" s="258">
        <v>16897</v>
      </c>
      <c r="K30" s="258">
        <v>18147</v>
      </c>
      <c r="L30" s="258">
        <v>18266</v>
      </c>
      <c r="M30" s="258">
        <v>17657</v>
      </c>
      <c r="N30" s="258">
        <v>16891</v>
      </c>
      <c r="Q30" s="146"/>
    </row>
    <row r="31" spans="1:17" ht="12.75" customHeight="1">
      <c r="A31" s="127" t="s">
        <v>101</v>
      </c>
      <c r="B31" s="637">
        <f t="shared" si="0"/>
        <v>11610.166666666666</v>
      </c>
      <c r="C31" s="258">
        <v>11870</v>
      </c>
      <c r="D31" s="258">
        <v>11798</v>
      </c>
      <c r="E31" s="258">
        <v>11890</v>
      </c>
      <c r="F31" s="258">
        <v>11920</v>
      </c>
      <c r="G31" s="258">
        <v>11894</v>
      </c>
      <c r="H31" s="258">
        <v>11738</v>
      </c>
      <c r="I31" s="258">
        <v>11569</v>
      </c>
      <c r="J31" s="258">
        <v>11678</v>
      </c>
      <c r="K31" s="258">
        <v>11714</v>
      </c>
      <c r="L31" s="258">
        <v>10487</v>
      </c>
      <c r="M31" s="258">
        <v>11327</v>
      </c>
      <c r="N31" s="258">
        <v>11437</v>
      </c>
      <c r="Q31" s="146"/>
    </row>
    <row r="32" spans="1:17" ht="12.75" customHeight="1">
      <c r="A32" s="152" t="s">
        <v>44</v>
      </c>
      <c r="B32" s="637">
        <f t="shared" si="0"/>
        <v>86618</v>
      </c>
      <c r="C32" s="258">
        <v>86618</v>
      </c>
      <c r="D32" s="258">
        <v>86618</v>
      </c>
      <c r="E32" s="258">
        <v>86618</v>
      </c>
      <c r="F32" s="258">
        <v>86618</v>
      </c>
      <c r="G32" s="258">
        <v>86618</v>
      </c>
      <c r="H32" s="258">
        <v>86618</v>
      </c>
      <c r="I32" s="258">
        <v>86618</v>
      </c>
      <c r="J32" s="258">
        <v>86618</v>
      </c>
      <c r="K32" s="258">
        <v>86618</v>
      </c>
      <c r="L32" s="258">
        <v>86618</v>
      </c>
      <c r="M32" s="258">
        <v>86618</v>
      </c>
      <c r="N32" s="258">
        <v>86618</v>
      </c>
      <c r="Q32" s="146"/>
    </row>
    <row r="33" spans="1:17" ht="12.75" customHeight="1">
      <c r="A33" s="152" t="s">
        <v>45</v>
      </c>
      <c r="B33" s="637">
        <f t="shared" si="0"/>
        <v>98199.166666666672</v>
      </c>
      <c r="C33" s="258">
        <v>99785</v>
      </c>
      <c r="D33" s="258">
        <v>117875</v>
      </c>
      <c r="E33" s="258">
        <v>117070</v>
      </c>
      <c r="F33" s="258">
        <v>116710</v>
      </c>
      <c r="G33" s="258">
        <v>112710</v>
      </c>
      <c r="H33" s="258">
        <v>107680</v>
      </c>
      <c r="I33" s="258">
        <v>94930</v>
      </c>
      <c r="J33" s="258">
        <v>85790</v>
      </c>
      <c r="K33" s="258">
        <v>77770</v>
      </c>
      <c r="L33" s="258">
        <v>77195</v>
      </c>
      <c r="M33" s="258">
        <v>85650</v>
      </c>
      <c r="N33" s="258">
        <v>85225</v>
      </c>
      <c r="Q33" s="146"/>
    </row>
    <row r="34" spans="1:17" ht="12.75" customHeight="1">
      <c r="A34" s="129" t="s">
        <v>46</v>
      </c>
      <c r="B34" s="637">
        <f t="shared" si="0"/>
        <v>20405.75</v>
      </c>
      <c r="C34" s="258">
        <v>20148</v>
      </c>
      <c r="D34" s="258">
        <v>20422</v>
      </c>
      <c r="E34" s="258">
        <v>20494</v>
      </c>
      <c r="F34" s="258">
        <v>20398</v>
      </c>
      <c r="G34" s="258">
        <v>20187</v>
      </c>
      <c r="H34" s="258">
        <v>20355</v>
      </c>
      <c r="I34" s="258">
        <v>20501</v>
      </c>
      <c r="J34" s="258">
        <v>20612</v>
      </c>
      <c r="K34" s="258">
        <v>20473</v>
      </c>
      <c r="L34" s="258">
        <v>20480</v>
      </c>
      <c r="M34" s="258">
        <v>20301</v>
      </c>
      <c r="N34" s="258">
        <v>20498</v>
      </c>
      <c r="Q34" s="146"/>
    </row>
    <row r="35" spans="1:17" ht="12.75" customHeight="1">
      <c r="A35" s="129" t="s">
        <v>47</v>
      </c>
      <c r="B35" s="637">
        <f t="shared" si="0"/>
        <v>1171.9166666666667</v>
      </c>
      <c r="C35" s="258">
        <v>1172</v>
      </c>
      <c r="D35" s="258">
        <v>1177</v>
      </c>
      <c r="E35" s="258">
        <v>1151</v>
      </c>
      <c r="F35" s="258">
        <v>1145</v>
      </c>
      <c r="G35" s="258">
        <v>1151</v>
      </c>
      <c r="H35" s="258">
        <v>1154</v>
      </c>
      <c r="I35" s="258">
        <v>1180</v>
      </c>
      <c r="J35" s="258">
        <v>1182</v>
      </c>
      <c r="K35" s="258">
        <v>1174</v>
      </c>
      <c r="L35" s="258">
        <v>1178</v>
      </c>
      <c r="M35" s="258">
        <v>1158</v>
      </c>
      <c r="N35" s="258">
        <v>1241</v>
      </c>
      <c r="Q35" s="146"/>
    </row>
    <row r="36" spans="1:17" ht="12.75" customHeight="1">
      <c r="A36" s="129" t="s">
        <v>48</v>
      </c>
      <c r="B36" s="637">
        <f t="shared" si="0"/>
        <v>3213.5</v>
      </c>
      <c r="C36" s="258">
        <v>3163</v>
      </c>
      <c r="D36" s="258">
        <v>3129</v>
      </c>
      <c r="E36" s="258">
        <v>3129</v>
      </c>
      <c r="F36" s="258">
        <v>3128</v>
      </c>
      <c r="G36" s="258">
        <v>3130</v>
      </c>
      <c r="H36" s="258">
        <v>3228</v>
      </c>
      <c r="I36" s="258">
        <v>3328</v>
      </c>
      <c r="J36" s="258">
        <v>3317</v>
      </c>
      <c r="K36" s="258">
        <v>3214</v>
      </c>
      <c r="L36" s="258">
        <v>3314</v>
      </c>
      <c r="M36" s="258">
        <v>3276</v>
      </c>
      <c r="N36" s="258">
        <v>3206</v>
      </c>
      <c r="Q36" s="146"/>
    </row>
    <row r="37" spans="1:17" ht="12.75" customHeight="1" thickBot="1">
      <c r="A37" s="154" t="s">
        <v>49</v>
      </c>
      <c r="B37" s="645">
        <f t="shared" si="0"/>
        <v>946.33333333333337</v>
      </c>
      <c r="C37" s="259">
        <v>959</v>
      </c>
      <c r="D37" s="259">
        <v>913</v>
      </c>
      <c r="E37" s="259">
        <v>937</v>
      </c>
      <c r="F37" s="259">
        <v>941</v>
      </c>
      <c r="G37" s="259">
        <v>930</v>
      </c>
      <c r="H37" s="259">
        <v>975</v>
      </c>
      <c r="I37" s="259">
        <v>988</v>
      </c>
      <c r="J37" s="259">
        <v>919</v>
      </c>
      <c r="K37" s="259">
        <v>962</v>
      </c>
      <c r="L37" s="259">
        <v>950</v>
      </c>
      <c r="M37" s="259">
        <v>947</v>
      </c>
      <c r="N37" s="259">
        <v>935</v>
      </c>
      <c r="Q37" s="146"/>
    </row>
    <row r="38" spans="1:17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7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7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7" ht="13.25" customHeight="1">
      <c r="A41" s="11"/>
    </row>
    <row r="42" spans="1:17" ht="13.25" customHeight="1">
      <c r="A42" s="73"/>
    </row>
    <row r="43" spans="1:17" ht="13.25" customHeight="1">
      <c r="A43" s="73"/>
    </row>
    <row r="44" spans="1:17" ht="13.25" customHeight="1">
      <c r="A44" s="24"/>
    </row>
    <row r="45" spans="1:17" ht="13.25" customHeight="1">
      <c r="A45" s="33"/>
    </row>
    <row r="46" spans="1:17" ht="13.25" customHeight="1">
      <c r="A46" s="24"/>
    </row>
    <row r="47" spans="1:17" ht="13.25" customHeight="1">
      <c r="A47" s="73"/>
    </row>
    <row r="48" spans="1:17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76">
    <tabColor theme="9" tint="0.59999389629810485"/>
  </sheetPr>
  <dimension ref="A4:N59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548</v>
      </c>
      <c r="B4" s="245"/>
    </row>
    <row r="5" spans="1:14" ht="13.25" customHeight="1">
      <c r="A5" s="253" t="s">
        <v>236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4" ht="4" customHeight="1" thickBot="1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8">
        <f t="shared" ref="B8:B37" si="0">SUM(C8:N8)</f>
        <v>2246935.5</v>
      </c>
      <c r="C8" s="609">
        <f>(C9+C10+C11+C12+C13+C17++C18+C19+C20+C21+C22+C23+C24+C25+C26+C27+C28+C29+C32+C33+C34+C35+C36+C37+C38)</f>
        <v>187351.09999999995</v>
      </c>
      <c r="D8" s="609">
        <f t="shared" ref="D8:N8" si="1">(D9+D10+D11+D12+D13+D17++D18+D19+D20+D21+D22+D23+D24+D25+D26+D27+D28+D29+D32+D33+D34+D35+D36+D37+D38)</f>
        <v>180945.70000000004</v>
      </c>
      <c r="E8" s="609">
        <f t="shared" si="1"/>
        <v>195430</v>
      </c>
      <c r="F8" s="609">
        <f t="shared" si="1"/>
        <v>196488.60000000003</v>
      </c>
      <c r="G8" s="609">
        <f t="shared" si="1"/>
        <v>199003.8</v>
      </c>
      <c r="H8" s="609">
        <f t="shared" si="1"/>
        <v>194334.9</v>
      </c>
      <c r="I8" s="609">
        <f t="shared" si="1"/>
        <v>191981.99999999994</v>
      </c>
      <c r="J8" s="609">
        <f t="shared" si="1"/>
        <v>187571.3</v>
      </c>
      <c r="K8" s="609">
        <f t="shared" si="1"/>
        <v>179218.4</v>
      </c>
      <c r="L8" s="609">
        <f t="shared" si="1"/>
        <v>180254.49999999997</v>
      </c>
      <c r="M8" s="609">
        <f t="shared" si="1"/>
        <v>175311.39999999997</v>
      </c>
      <c r="N8" s="609">
        <f t="shared" si="1"/>
        <v>179043.80000000002</v>
      </c>
    </row>
    <row r="9" spans="1:14" ht="12.75" customHeight="1">
      <c r="A9" s="152" t="s">
        <v>21</v>
      </c>
      <c r="B9" s="631">
        <f t="shared" si="0"/>
        <v>305.60000000000008</v>
      </c>
      <c r="C9" s="258">
        <v>26</v>
      </c>
      <c r="D9" s="258">
        <v>25.7</v>
      </c>
      <c r="E9" s="258">
        <v>26.6</v>
      </c>
      <c r="F9" s="258">
        <v>25.5</v>
      </c>
      <c r="G9" s="258">
        <v>26.8</v>
      </c>
      <c r="H9" s="258">
        <v>23.8</v>
      </c>
      <c r="I9" s="258">
        <v>23.5</v>
      </c>
      <c r="J9" s="258">
        <v>21</v>
      </c>
      <c r="K9" s="258">
        <v>25.4</v>
      </c>
      <c r="L9" s="258">
        <v>25.5</v>
      </c>
      <c r="M9" s="258">
        <v>27</v>
      </c>
      <c r="N9" s="258">
        <v>28.8</v>
      </c>
    </row>
    <row r="10" spans="1:14" ht="12.75" customHeight="1">
      <c r="A10" s="152" t="s">
        <v>22</v>
      </c>
      <c r="B10" s="631">
        <f t="shared" si="0"/>
        <v>44291.7</v>
      </c>
      <c r="C10" s="258">
        <v>2946.1</v>
      </c>
      <c r="D10" s="258">
        <v>3174.1</v>
      </c>
      <c r="E10" s="258">
        <v>3647.2</v>
      </c>
      <c r="F10" s="258">
        <v>4954.3</v>
      </c>
      <c r="G10" s="258">
        <v>5228.8999999999996</v>
      </c>
      <c r="H10" s="258">
        <v>4920.3999999999996</v>
      </c>
      <c r="I10" s="258">
        <v>4360.7</v>
      </c>
      <c r="J10" s="258">
        <v>3503.1</v>
      </c>
      <c r="K10" s="258">
        <v>2840.5</v>
      </c>
      <c r="L10" s="258">
        <v>2812.6</v>
      </c>
      <c r="M10" s="258">
        <v>2890.6</v>
      </c>
      <c r="N10" s="258">
        <v>3013.2</v>
      </c>
    </row>
    <row r="11" spans="1:14" ht="12.75" customHeight="1">
      <c r="A11" s="152" t="s">
        <v>23</v>
      </c>
      <c r="B11" s="631">
        <f t="shared" si="0"/>
        <v>46487.899999999994</v>
      </c>
      <c r="C11" s="258">
        <v>4135.3999999999996</v>
      </c>
      <c r="D11" s="258">
        <v>3794.3</v>
      </c>
      <c r="E11" s="258">
        <v>3560.5</v>
      </c>
      <c r="F11" s="258">
        <v>3650.9</v>
      </c>
      <c r="G11" s="258">
        <v>3687.6</v>
      </c>
      <c r="H11" s="258">
        <v>3828.3</v>
      </c>
      <c r="I11" s="258">
        <v>3674.3</v>
      </c>
      <c r="J11" s="258">
        <v>3677.6</v>
      </c>
      <c r="K11" s="258">
        <v>3760</v>
      </c>
      <c r="L11" s="258">
        <v>4225.8</v>
      </c>
      <c r="M11" s="258">
        <v>4226.2</v>
      </c>
      <c r="N11" s="258">
        <v>4267</v>
      </c>
    </row>
    <row r="12" spans="1:14" ht="12.75" customHeight="1">
      <c r="A12" s="129" t="s">
        <v>24</v>
      </c>
      <c r="B12" s="631">
        <f t="shared" si="0"/>
        <v>182784.5</v>
      </c>
      <c r="C12" s="258">
        <v>14472.9</v>
      </c>
      <c r="D12" s="258">
        <v>14469</v>
      </c>
      <c r="E12" s="258">
        <v>14550.8</v>
      </c>
      <c r="F12" s="258">
        <v>15411.1</v>
      </c>
      <c r="G12" s="258">
        <v>15230.9</v>
      </c>
      <c r="H12" s="258">
        <v>15685.4</v>
      </c>
      <c r="I12" s="258">
        <v>15778.3</v>
      </c>
      <c r="J12" s="258">
        <v>15888.3</v>
      </c>
      <c r="K12" s="258">
        <v>15888.5</v>
      </c>
      <c r="L12" s="258">
        <v>15224.9</v>
      </c>
      <c r="M12" s="258">
        <v>15149.4</v>
      </c>
      <c r="N12" s="258">
        <v>15035</v>
      </c>
    </row>
    <row r="13" spans="1:14" ht="12.75" customHeight="1">
      <c r="A13" s="129" t="s">
        <v>25</v>
      </c>
      <c r="B13" s="631">
        <f t="shared" si="0"/>
        <v>401009.69999999995</v>
      </c>
      <c r="C13" s="258">
        <v>32585.8</v>
      </c>
      <c r="D13" s="258">
        <v>31321.4</v>
      </c>
      <c r="E13" s="258">
        <v>32031.9</v>
      </c>
      <c r="F13" s="258">
        <v>32544.1</v>
      </c>
      <c r="G13" s="258">
        <v>33631.300000000003</v>
      </c>
      <c r="H13" s="258">
        <v>34764.800000000003</v>
      </c>
      <c r="I13" s="258">
        <v>34322.199999999997</v>
      </c>
      <c r="J13" s="258">
        <v>34719.199999999997</v>
      </c>
      <c r="K13" s="258">
        <v>33458.800000000003</v>
      </c>
      <c r="L13" s="258">
        <v>34189.1</v>
      </c>
      <c r="M13" s="258">
        <v>33406.1</v>
      </c>
      <c r="N13" s="258">
        <v>34035</v>
      </c>
    </row>
    <row r="14" spans="1:14" ht="12.75" customHeight="1">
      <c r="A14" s="127" t="s">
        <v>97</v>
      </c>
      <c r="B14" s="631">
        <f t="shared" si="0"/>
        <v>246008.30000000002</v>
      </c>
      <c r="C14" s="258">
        <v>19103.099999999999</v>
      </c>
      <c r="D14" s="258">
        <v>19213.5</v>
      </c>
      <c r="E14" s="258">
        <v>20333.099999999999</v>
      </c>
      <c r="F14" s="258">
        <v>20709</v>
      </c>
      <c r="G14" s="258">
        <v>20553.900000000001</v>
      </c>
      <c r="H14" s="258">
        <v>20864.599999999999</v>
      </c>
      <c r="I14" s="258">
        <v>21383.200000000001</v>
      </c>
      <c r="J14" s="258">
        <v>21125.7</v>
      </c>
      <c r="K14" s="258">
        <v>20682</v>
      </c>
      <c r="L14" s="258">
        <v>21329.9</v>
      </c>
      <c r="M14" s="258">
        <v>20044</v>
      </c>
      <c r="N14" s="258">
        <v>20666.3</v>
      </c>
    </row>
    <row r="15" spans="1:14" ht="12.75" customHeight="1">
      <c r="A15" s="127" t="s">
        <v>98</v>
      </c>
      <c r="B15" s="631">
        <f t="shared" si="0"/>
        <v>146784.89999999997</v>
      </c>
      <c r="C15" s="258">
        <v>12937.7</v>
      </c>
      <c r="D15" s="258">
        <v>11537.8</v>
      </c>
      <c r="E15" s="258">
        <v>11144.4</v>
      </c>
      <c r="F15" s="258">
        <v>11146.8</v>
      </c>
      <c r="G15" s="258">
        <v>12200.8</v>
      </c>
      <c r="H15" s="258">
        <v>13081.2</v>
      </c>
      <c r="I15" s="258">
        <v>12243.9</v>
      </c>
      <c r="J15" s="258">
        <v>12996.9</v>
      </c>
      <c r="K15" s="258">
        <v>12145.4</v>
      </c>
      <c r="L15" s="258">
        <v>12157.6</v>
      </c>
      <c r="M15" s="258">
        <v>12594.1</v>
      </c>
      <c r="N15" s="258">
        <v>12598.3</v>
      </c>
    </row>
    <row r="16" spans="1:14" ht="12.75" customHeight="1">
      <c r="A16" s="127" t="s">
        <v>99</v>
      </c>
      <c r="B16" s="631">
        <f t="shared" si="0"/>
        <v>8216.7999999999993</v>
      </c>
      <c r="C16" s="258">
        <v>545.1</v>
      </c>
      <c r="D16" s="258">
        <v>570.1</v>
      </c>
      <c r="E16" s="258">
        <v>554.4</v>
      </c>
      <c r="F16" s="258">
        <v>688.3</v>
      </c>
      <c r="G16" s="258">
        <v>876.6</v>
      </c>
      <c r="H16" s="258">
        <v>819</v>
      </c>
      <c r="I16" s="258">
        <v>695.1</v>
      </c>
      <c r="J16" s="258">
        <v>596.70000000000005</v>
      </c>
      <c r="K16" s="258">
        <v>631.5</v>
      </c>
      <c r="L16" s="258">
        <v>701.6</v>
      </c>
      <c r="M16" s="258">
        <v>768</v>
      </c>
      <c r="N16" s="258">
        <v>770.4</v>
      </c>
    </row>
    <row r="17" spans="1:14" ht="12.75" customHeight="1">
      <c r="A17" s="152" t="s">
        <v>29</v>
      </c>
      <c r="B17" s="631">
        <f t="shared" si="0"/>
        <v>105355.6</v>
      </c>
      <c r="C17" s="258">
        <v>8968.2999999999993</v>
      </c>
      <c r="D17" s="258">
        <v>8202.2000000000007</v>
      </c>
      <c r="E17" s="258">
        <v>9078.9</v>
      </c>
      <c r="F17" s="258">
        <v>8792.5</v>
      </c>
      <c r="G17" s="258">
        <v>9125.2999999999993</v>
      </c>
      <c r="H17" s="258">
        <v>8824.5</v>
      </c>
      <c r="I17" s="258">
        <v>8934.7999999999993</v>
      </c>
      <c r="J17" s="258">
        <v>8832.7000000000007</v>
      </c>
      <c r="K17" s="258">
        <v>8352.6</v>
      </c>
      <c r="L17" s="258">
        <v>8871.6</v>
      </c>
      <c r="M17" s="258">
        <v>8720.9</v>
      </c>
      <c r="N17" s="258">
        <v>8651.2999999999993</v>
      </c>
    </row>
    <row r="18" spans="1:14" ht="12.75" customHeight="1">
      <c r="A18" s="129" t="s">
        <v>30</v>
      </c>
      <c r="B18" s="631">
        <f t="shared" si="0"/>
        <v>21212.6</v>
      </c>
      <c r="C18" s="258">
        <v>2058.1</v>
      </c>
      <c r="D18" s="258">
        <v>1921.9</v>
      </c>
      <c r="E18" s="258">
        <v>1832.9</v>
      </c>
      <c r="F18" s="258">
        <v>1827</v>
      </c>
      <c r="G18" s="258">
        <v>1815.3</v>
      </c>
      <c r="H18" s="258">
        <v>1754.1</v>
      </c>
      <c r="I18" s="258">
        <v>1885.8</v>
      </c>
      <c r="J18" s="258">
        <v>1722.8</v>
      </c>
      <c r="K18" s="258">
        <v>1630.4</v>
      </c>
      <c r="L18" s="258">
        <v>1632.9</v>
      </c>
      <c r="M18" s="258">
        <v>1563.3</v>
      </c>
      <c r="N18" s="258">
        <v>1568.1</v>
      </c>
    </row>
    <row r="19" spans="1:14" ht="12.75" customHeight="1">
      <c r="A19" s="129" t="s">
        <v>31</v>
      </c>
      <c r="B19" s="631">
        <f t="shared" si="0"/>
        <v>365855.4</v>
      </c>
      <c r="C19" s="258">
        <v>30929.5</v>
      </c>
      <c r="D19" s="258">
        <v>29732.2</v>
      </c>
      <c r="E19" s="258">
        <v>30925.599999999999</v>
      </c>
      <c r="F19" s="258">
        <v>30368.1</v>
      </c>
      <c r="G19" s="258">
        <v>30710.2</v>
      </c>
      <c r="H19" s="258">
        <v>30824.799999999999</v>
      </c>
      <c r="I19" s="258">
        <v>31488.9</v>
      </c>
      <c r="J19" s="258">
        <v>30872.7</v>
      </c>
      <c r="K19" s="258">
        <v>31405.4</v>
      </c>
      <c r="L19" s="258">
        <v>30678.799999999999</v>
      </c>
      <c r="M19" s="258">
        <v>28249.7</v>
      </c>
      <c r="N19" s="258">
        <v>29669.5</v>
      </c>
    </row>
    <row r="20" spans="1:14" ht="12.75" customHeight="1">
      <c r="A20" s="152" t="s">
        <v>32</v>
      </c>
      <c r="B20" s="631">
        <f t="shared" si="0"/>
        <v>89716.3</v>
      </c>
      <c r="C20" s="258">
        <v>7276.6</v>
      </c>
      <c r="D20" s="258">
        <v>6827.1</v>
      </c>
      <c r="E20" s="258">
        <v>7054.7</v>
      </c>
      <c r="F20" s="258">
        <v>6910.7</v>
      </c>
      <c r="G20" s="258">
        <v>7345.3</v>
      </c>
      <c r="H20" s="258">
        <v>7264</v>
      </c>
      <c r="I20" s="258">
        <v>7599.2</v>
      </c>
      <c r="J20" s="258">
        <v>7768.8</v>
      </c>
      <c r="K20" s="258">
        <v>7767.6</v>
      </c>
      <c r="L20" s="258">
        <v>7958.5</v>
      </c>
      <c r="M20" s="258">
        <v>8118</v>
      </c>
      <c r="N20" s="258">
        <v>7825.8</v>
      </c>
    </row>
    <row r="21" spans="1:14" ht="12.75" customHeight="1">
      <c r="A21" s="152" t="s">
        <v>33</v>
      </c>
      <c r="B21" s="631">
        <f t="shared" si="0"/>
        <v>61400.4</v>
      </c>
      <c r="C21" s="258">
        <v>5780.8</v>
      </c>
      <c r="D21" s="258">
        <v>5316.1</v>
      </c>
      <c r="E21" s="258">
        <v>5618</v>
      </c>
      <c r="F21" s="258">
        <v>5553.8</v>
      </c>
      <c r="G21" s="258">
        <v>5290.1</v>
      </c>
      <c r="H21" s="258">
        <v>5056.7</v>
      </c>
      <c r="I21" s="258">
        <v>4936.7</v>
      </c>
      <c r="J21" s="258">
        <v>5004.7</v>
      </c>
      <c r="K21" s="258">
        <v>4767.8999999999996</v>
      </c>
      <c r="L21" s="258">
        <v>4500.3999999999996</v>
      </c>
      <c r="M21" s="258">
        <v>4502.5</v>
      </c>
      <c r="N21" s="258">
        <v>5072.7</v>
      </c>
    </row>
    <row r="22" spans="1:14" ht="12.75" customHeight="1">
      <c r="A22" s="152" t="s">
        <v>34</v>
      </c>
      <c r="B22" s="631">
        <f t="shared" si="0"/>
        <v>39030.9</v>
      </c>
      <c r="C22" s="258">
        <v>3481</v>
      </c>
      <c r="D22" s="258">
        <v>3180</v>
      </c>
      <c r="E22" s="258">
        <v>3404.8</v>
      </c>
      <c r="F22" s="258">
        <v>3449.1</v>
      </c>
      <c r="G22" s="258">
        <v>3302.5</v>
      </c>
      <c r="H22" s="258">
        <v>3059.2</v>
      </c>
      <c r="I22" s="258">
        <v>3309.2</v>
      </c>
      <c r="J22" s="258">
        <v>3214.2</v>
      </c>
      <c r="K22" s="258">
        <v>2950</v>
      </c>
      <c r="L22" s="258">
        <v>3639.8</v>
      </c>
      <c r="M22" s="258">
        <v>3136</v>
      </c>
      <c r="N22" s="258">
        <v>2905.1</v>
      </c>
    </row>
    <row r="23" spans="1:14" ht="12.75" customHeight="1">
      <c r="A23" s="152" t="s">
        <v>35</v>
      </c>
      <c r="B23" s="631">
        <f t="shared" si="0"/>
        <v>60562.400000000009</v>
      </c>
      <c r="C23" s="258">
        <v>4888.2</v>
      </c>
      <c r="D23" s="258">
        <v>4718.3</v>
      </c>
      <c r="E23" s="258">
        <v>5177</v>
      </c>
      <c r="F23" s="258">
        <v>5051.7</v>
      </c>
      <c r="G23" s="258">
        <v>5217.8</v>
      </c>
      <c r="H23" s="258">
        <v>5082.1000000000004</v>
      </c>
      <c r="I23" s="258">
        <v>5191.8</v>
      </c>
      <c r="J23" s="258">
        <v>5155.3</v>
      </c>
      <c r="K23" s="258">
        <v>5013.1000000000004</v>
      </c>
      <c r="L23" s="258">
        <v>5130.3</v>
      </c>
      <c r="M23" s="258">
        <v>4916.8999999999996</v>
      </c>
      <c r="N23" s="258">
        <v>5019.8999999999996</v>
      </c>
    </row>
    <row r="24" spans="1:14" ht="12.75" customHeight="1">
      <c r="A24" s="152" t="s">
        <v>36</v>
      </c>
      <c r="B24" s="631">
        <f t="shared" si="0"/>
        <v>22146.800000000003</v>
      </c>
      <c r="C24" s="258">
        <v>1690.3</v>
      </c>
      <c r="D24" s="258">
        <v>1747.9</v>
      </c>
      <c r="E24" s="258">
        <v>1732.3</v>
      </c>
      <c r="F24" s="258">
        <v>2023.5</v>
      </c>
      <c r="G24" s="258">
        <v>2012.6</v>
      </c>
      <c r="H24" s="258">
        <v>1910.7</v>
      </c>
      <c r="I24" s="258">
        <v>1720.6</v>
      </c>
      <c r="J24" s="258">
        <v>1910.7</v>
      </c>
      <c r="K24" s="258">
        <v>1968.4</v>
      </c>
      <c r="L24" s="258">
        <v>1940.5</v>
      </c>
      <c r="M24" s="258">
        <v>1730.7</v>
      </c>
      <c r="N24" s="258">
        <v>1758.6</v>
      </c>
    </row>
    <row r="25" spans="1:14" ht="12.75" customHeight="1">
      <c r="A25" s="129" t="s">
        <v>37</v>
      </c>
      <c r="B25" s="631">
        <f t="shared" si="0"/>
        <v>355571.20000000007</v>
      </c>
      <c r="C25" s="258">
        <v>30945</v>
      </c>
      <c r="D25" s="258">
        <v>26872</v>
      </c>
      <c r="E25" s="258">
        <v>30245.7</v>
      </c>
      <c r="F25" s="258">
        <v>29558.400000000001</v>
      </c>
      <c r="G25" s="258">
        <v>30700.2</v>
      </c>
      <c r="H25" s="258">
        <v>29007</v>
      </c>
      <c r="I25" s="258">
        <v>30100.799999999999</v>
      </c>
      <c r="J25" s="258">
        <v>30150.6</v>
      </c>
      <c r="K25" s="258">
        <v>29178</v>
      </c>
      <c r="L25" s="258">
        <v>29929.4</v>
      </c>
      <c r="M25" s="258">
        <v>28988.2</v>
      </c>
      <c r="N25" s="258">
        <v>29895.9</v>
      </c>
    </row>
    <row r="26" spans="1:14" ht="12.75" customHeight="1">
      <c r="A26" s="152" t="s">
        <v>38</v>
      </c>
      <c r="B26" s="631">
        <f t="shared" si="0"/>
        <v>17948.099999999999</v>
      </c>
      <c r="C26" s="258">
        <v>1534.5</v>
      </c>
      <c r="D26" s="258">
        <v>1398.7</v>
      </c>
      <c r="E26" s="258">
        <v>1528.4</v>
      </c>
      <c r="F26" s="258">
        <v>1481.5</v>
      </c>
      <c r="G26" s="258">
        <v>1530.2</v>
      </c>
      <c r="H26" s="258">
        <v>1464.2</v>
      </c>
      <c r="I26" s="258">
        <v>1499.4</v>
      </c>
      <c r="J26" s="258">
        <v>1501.6</v>
      </c>
      <c r="K26" s="258">
        <v>1458.1</v>
      </c>
      <c r="L26" s="258">
        <v>1530.3</v>
      </c>
      <c r="M26" s="258">
        <v>1475.1</v>
      </c>
      <c r="N26" s="258">
        <v>1546.1</v>
      </c>
    </row>
    <row r="27" spans="1:14" ht="12.75" customHeight="1">
      <c r="A27" s="152" t="s">
        <v>39</v>
      </c>
      <c r="B27" s="631">
        <f t="shared" si="0"/>
        <v>23486.5</v>
      </c>
      <c r="C27" s="258">
        <v>2044.3</v>
      </c>
      <c r="D27" s="258">
        <v>1567.8</v>
      </c>
      <c r="E27" s="258">
        <v>2051.3000000000002</v>
      </c>
      <c r="F27" s="258">
        <v>2000.5</v>
      </c>
      <c r="G27" s="258">
        <v>2070.9</v>
      </c>
      <c r="H27" s="258">
        <v>1917.9</v>
      </c>
      <c r="I27" s="258">
        <v>1970.9</v>
      </c>
      <c r="J27" s="258">
        <v>1977.5</v>
      </c>
      <c r="K27" s="258">
        <v>1920</v>
      </c>
      <c r="L27" s="258">
        <v>1961.3</v>
      </c>
      <c r="M27" s="258">
        <v>2001.4</v>
      </c>
      <c r="N27" s="258">
        <v>2002.7</v>
      </c>
    </row>
    <row r="28" spans="1:14" ht="12.75" customHeight="1">
      <c r="A28" s="152" t="s">
        <v>40</v>
      </c>
      <c r="B28" s="631">
        <f t="shared" si="0"/>
        <v>55772.700000000004</v>
      </c>
      <c r="C28" s="258">
        <v>2996.3</v>
      </c>
      <c r="D28" s="258">
        <v>4039.5</v>
      </c>
      <c r="E28" s="258">
        <v>6941.7</v>
      </c>
      <c r="F28" s="258">
        <v>7839.2</v>
      </c>
      <c r="G28" s="258">
        <v>7935.5</v>
      </c>
      <c r="H28" s="258">
        <v>7048.5</v>
      </c>
      <c r="I28" s="258">
        <v>5827.5</v>
      </c>
      <c r="J28" s="258">
        <v>4736.3</v>
      </c>
      <c r="K28" s="258">
        <v>2650.9</v>
      </c>
      <c r="L28" s="258">
        <v>2064.1</v>
      </c>
      <c r="M28" s="258">
        <v>2145.8000000000002</v>
      </c>
      <c r="N28" s="258">
        <v>1547.4</v>
      </c>
    </row>
    <row r="29" spans="1:14" ht="12.75" customHeight="1">
      <c r="A29" s="129" t="s">
        <v>41</v>
      </c>
      <c r="B29" s="631">
        <f t="shared" si="0"/>
        <v>33075.1</v>
      </c>
      <c r="C29" s="258">
        <v>3445.8</v>
      </c>
      <c r="D29" s="258">
        <v>3440.7</v>
      </c>
      <c r="E29" s="258">
        <v>3456.1</v>
      </c>
      <c r="F29" s="258">
        <v>3583.2</v>
      </c>
      <c r="G29" s="258">
        <v>3200.2</v>
      </c>
      <c r="H29" s="258">
        <v>3087.2</v>
      </c>
      <c r="I29" s="258">
        <v>2820.8</v>
      </c>
      <c r="J29" s="258">
        <v>2389.4</v>
      </c>
      <c r="K29" s="258">
        <v>2107.1</v>
      </c>
      <c r="L29" s="258">
        <v>1952.3</v>
      </c>
      <c r="M29" s="258">
        <v>1826.9</v>
      </c>
      <c r="N29" s="258">
        <v>1765.4</v>
      </c>
    </row>
    <row r="30" spans="1:14" ht="12.75" customHeight="1">
      <c r="A30" s="127" t="s">
        <v>100</v>
      </c>
      <c r="B30" s="631">
        <f t="shared" si="0"/>
        <v>18178.2</v>
      </c>
      <c r="C30" s="258">
        <v>2023.3</v>
      </c>
      <c r="D30" s="258">
        <v>2021.3</v>
      </c>
      <c r="E30" s="258">
        <v>2030.5</v>
      </c>
      <c r="F30" s="258">
        <v>2102.4</v>
      </c>
      <c r="G30" s="258">
        <v>1739.4</v>
      </c>
      <c r="H30" s="258">
        <v>1671.3</v>
      </c>
      <c r="I30" s="258">
        <v>1560.4</v>
      </c>
      <c r="J30" s="258">
        <v>1390.7</v>
      </c>
      <c r="K30" s="258">
        <v>1105.7</v>
      </c>
      <c r="L30" s="258">
        <v>1011.7</v>
      </c>
      <c r="M30" s="258">
        <v>796.4</v>
      </c>
      <c r="N30" s="258">
        <v>725.1</v>
      </c>
    </row>
    <row r="31" spans="1:14" ht="12.75" customHeight="1">
      <c r="A31" s="127" t="s">
        <v>101</v>
      </c>
      <c r="B31" s="631">
        <f t="shared" si="0"/>
        <v>14896.699999999999</v>
      </c>
      <c r="C31" s="258">
        <v>1422.4</v>
      </c>
      <c r="D31" s="258">
        <v>1419.4</v>
      </c>
      <c r="E31" s="258">
        <v>1425.6</v>
      </c>
      <c r="F31" s="258">
        <v>1480.8</v>
      </c>
      <c r="G31" s="258">
        <v>1460.8</v>
      </c>
      <c r="H31" s="258">
        <v>1415.9</v>
      </c>
      <c r="I31" s="258">
        <v>1260.4000000000001</v>
      </c>
      <c r="J31" s="258">
        <v>998.7</v>
      </c>
      <c r="K31" s="258">
        <v>1001.4</v>
      </c>
      <c r="L31" s="258">
        <v>940.6</v>
      </c>
      <c r="M31" s="258">
        <v>1030.4000000000001</v>
      </c>
      <c r="N31" s="258">
        <v>1040.3</v>
      </c>
    </row>
    <row r="32" spans="1:14" ht="12.75" customHeight="1">
      <c r="A32" s="152" t="s">
        <v>44</v>
      </c>
      <c r="B32" s="631">
        <f t="shared" si="0"/>
        <v>138765.89999999997</v>
      </c>
      <c r="C32" s="258">
        <v>11843.9</v>
      </c>
      <c r="D32" s="258">
        <v>10981.6</v>
      </c>
      <c r="E32" s="258">
        <v>12581.1</v>
      </c>
      <c r="F32" s="258">
        <v>12305.1</v>
      </c>
      <c r="G32" s="258">
        <v>12707.5</v>
      </c>
      <c r="H32" s="258">
        <v>11675.9</v>
      </c>
      <c r="I32" s="258">
        <v>11556.8</v>
      </c>
      <c r="J32" s="258">
        <v>11213.5</v>
      </c>
      <c r="K32" s="258">
        <v>10674.4</v>
      </c>
      <c r="L32" s="258">
        <v>11024.2</v>
      </c>
      <c r="M32" s="258">
        <v>10836.9</v>
      </c>
      <c r="N32" s="258">
        <v>11365</v>
      </c>
    </row>
    <row r="33" spans="1:14" ht="12.75" customHeight="1">
      <c r="A33" s="152" t="s">
        <v>45</v>
      </c>
      <c r="B33" s="631">
        <f t="shared" si="0"/>
        <v>141475.69999999998</v>
      </c>
      <c r="C33" s="258">
        <v>11929.6</v>
      </c>
      <c r="D33" s="258">
        <v>14642.2</v>
      </c>
      <c r="E33" s="258">
        <v>16196.7</v>
      </c>
      <c r="F33" s="258">
        <v>15483.8</v>
      </c>
      <c r="G33" s="258">
        <v>14619.9</v>
      </c>
      <c r="H33" s="258">
        <v>13404.4</v>
      </c>
      <c r="I33" s="258">
        <v>11627.3</v>
      </c>
      <c r="J33" s="258">
        <v>9919.1</v>
      </c>
      <c r="K33" s="258">
        <v>8238.5</v>
      </c>
      <c r="L33" s="258">
        <v>7976.3</v>
      </c>
      <c r="M33" s="258">
        <v>8362.6</v>
      </c>
      <c r="N33" s="258">
        <v>9075.2999999999993</v>
      </c>
    </row>
    <row r="34" spans="1:14" ht="12.75" customHeight="1">
      <c r="A34" s="129" t="s">
        <v>46</v>
      </c>
      <c r="B34" s="631">
        <f t="shared" si="0"/>
        <v>34010.6</v>
      </c>
      <c r="C34" s="258">
        <v>2776.9</v>
      </c>
      <c r="D34" s="258">
        <v>2966</v>
      </c>
      <c r="E34" s="258">
        <v>3169</v>
      </c>
      <c r="F34" s="258">
        <v>3100.1</v>
      </c>
      <c r="G34" s="258">
        <v>3043.8</v>
      </c>
      <c r="H34" s="258">
        <v>3158.9</v>
      </c>
      <c r="I34" s="258">
        <v>2775.5</v>
      </c>
      <c r="J34" s="258">
        <v>2836.6</v>
      </c>
      <c r="K34" s="258">
        <v>2656.9</v>
      </c>
      <c r="L34" s="258">
        <v>2464.4</v>
      </c>
      <c r="M34" s="258">
        <v>2557.8000000000002</v>
      </c>
      <c r="N34" s="258">
        <v>2504.6999999999998</v>
      </c>
    </row>
    <row r="35" spans="1:14" ht="12.75" customHeight="1">
      <c r="A35" s="129" t="s">
        <v>47</v>
      </c>
      <c r="B35" s="631">
        <f t="shared" si="0"/>
        <v>1420.3999999999999</v>
      </c>
      <c r="C35" s="258">
        <v>120.9</v>
      </c>
      <c r="D35" s="258">
        <v>113.6</v>
      </c>
      <c r="E35" s="258">
        <v>119.7</v>
      </c>
      <c r="F35" s="258">
        <v>115.8</v>
      </c>
      <c r="G35" s="258">
        <v>116.8</v>
      </c>
      <c r="H35" s="258">
        <v>113.8</v>
      </c>
      <c r="I35" s="258">
        <v>121</v>
      </c>
      <c r="J35" s="258">
        <v>120.8</v>
      </c>
      <c r="K35" s="258">
        <v>118.8</v>
      </c>
      <c r="L35" s="258">
        <v>122</v>
      </c>
      <c r="M35" s="258">
        <v>112.8</v>
      </c>
      <c r="N35" s="258">
        <v>124.4</v>
      </c>
    </row>
    <row r="36" spans="1:14" ht="12.75" customHeight="1">
      <c r="A36" s="129" t="s">
        <v>48</v>
      </c>
      <c r="B36" s="631">
        <f t="shared" si="0"/>
        <v>4027.7</v>
      </c>
      <c r="C36" s="258">
        <v>371.3</v>
      </c>
      <c r="D36" s="258">
        <v>389.4</v>
      </c>
      <c r="E36" s="258">
        <v>392.8</v>
      </c>
      <c r="F36" s="258">
        <v>354.6</v>
      </c>
      <c r="G36" s="258">
        <v>355.3</v>
      </c>
      <c r="H36" s="258">
        <v>355.5</v>
      </c>
      <c r="I36" s="258">
        <v>353.8</v>
      </c>
      <c r="J36" s="258">
        <v>330.7</v>
      </c>
      <c r="K36" s="258">
        <v>283.39999999999998</v>
      </c>
      <c r="L36" s="258">
        <v>293.89999999999998</v>
      </c>
      <c r="M36" s="258">
        <v>273.10000000000002</v>
      </c>
      <c r="N36" s="258">
        <v>273.89999999999998</v>
      </c>
    </row>
    <row r="37" spans="1:14" ht="12.75" customHeight="1" thickBot="1">
      <c r="A37" s="154" t="s">
        <v>49</v>
      </c>
      <c r="B37" s="644">
        <f t="shared" si="0"/>
        <v>1221.8</v>
      </c>
      <c r="C37" s="259">
        <v>103.6</v>
      </c>
      <c r="D37" s="259">
        <v>104</v>
      </c>
      <c r="E37" s="259">
        <v>106.3</v>
      </c>
      <c r="F37" s="259">
        <v>104.1</v>
      </c>
      <c r="G37" s="259">
        <v>98.9</v>
      </c>
      <c r="H37" s="259">
        <v>102.8</v>
      </c>
      <c r="I37" s="259">
        <v>102.2</v>
      </c>
      <c r="J37" s="259">
        <v>104.1</v>
      </c>
      <c r="K37" s="259">
        <v>103.7</v>
      </c>
      <c r="L37" s="259">
        <v>105.6</v>
      </c>
      <c r="M37" s="259">
        <v>93.5</v>
      </c>
      <c r="N37" s="259">
        <v>93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</row>
    <row r="42" spans="1:14" ht="13.25" customHeight="1">
      <c r="A42" s="73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</row>
    <row r="43" spans="1:14" ht="13.25" customHeight="1">
      <c r="A43" s="73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4" ht="13.25" customHeight="1">
      <c r="A44" s="24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</row>
    <row r="45" spans="1:14" ht="13.25" customHeight="1">
      <c r="A45" s="33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</row>
    <row r="46" spans="1:14" ht="13.25" customHeight="1">
      <c r="A46" s="24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</row>
    <row r="47" spans="1:14" ht="13.25" customHeight="1">
      <c r="A47" s="73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</row>
    <row r="48" spans="1:14" ht="13.25" customHeight="1">
      <c r="A48" s="73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</row>
    <row r="49" spans="1:14" ht="13.25" customHeight="1">
      <c r="A49" s="73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</row>
    <row r="50" spans="1:14" ht="13.25" customHeight="1">
      <c r="A50" s="73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</row>
    <row r="51" spans="1:14" ht="13.25" customHeight="1">
      <c r="A51" s="73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</row>
    <row r="52" spans="1:14" ht="13.25" customHeight="1">
      <c r="A52" s="73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</row>
    <row r="53" spans="1:14" ht="13.25" customHeight="1">
      <c r="A53" s="73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</row>
    <row r="54" spans="1:14" ht="13.25" customHeight="1">
      <c r="A54" s="73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</row>
    <row r="55" spans="1:14" ht="13.25" customHeight="1"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</row>
    <row r="56" spans="1:14" ht="13.25" customHeight="1"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</row>
    <row r="57" spans="1:14" ht="13.25" customHeight="1"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</row>
    <row r="58" spans="1:14" ht="13.25" customHeight="1"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</row>
    <row r="59" spans="1:14" ht="13.25" customHeight="1"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77">
    <tabColor theme="9" tint="0.59999389629810485"/>
  </sheetPr>
  <dimension ref="A4:N5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549</v>
      </c>
      <c r="B4" s="245"/>
    </row>
    <row r="5" spans="1:14" ht="13.25" customHeight="1">
      <c r="A5" s="252" t="s">
        <v>427</v>
      </c>
      <c r="B5" s="245"/>
    </row>
    <row r="6" spans="1:14" ht="4" customHeight="1" thickBot="1"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</row>
    <row r="7" spans="1:14" ht="15" customHeight="1">
      <c r="A7" s="595" t="s">
        <v>18</v>
      </c>
      <c r="B7" s="596" t="s">
        <v>103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10">
        <f>'C-75'!B8/'C-74'!B8*1000/365</f>
        <v>6.5104897194975866</v>
      </c>
      <c r="C8" s="610">
        <f>'C-75'!C8/'C-74'!C8*1000/31</f>
        <v>6.4587544130925671</v>
      </c>
      <c r="D8" s="610">
        <f>('C-75'!D8/'C-74'!D8)*1000/28</f>
        <v>6.7081536264006463</v>
      </c>
      <c r="E8" s="610">
        <f>('C-75'!E8/'C-74'!E8)*1000/31</f>
        <v>6.4273062864742476</v>
      </c>
      <c r="F8" s="610">
        <f>('C-75'!F8/'C-74'!F8)*1000/30</f>
        <v>6.6205303045488764</v>
      </c>
      <c r="G8" s="610">
        <f>('C-75'!G8/'C-74'!G8)*1000/31</f>
        <v>6.5265954834412279</v>
      </c>
      <c r="H8" s="610">
        <f>('C-75'!H8/'C-74'!H8)*1000/30</f>
        <v>6.6558628840645664</v>
      </c>
      <c r="I8" s="610">
        <f>('C-75'!I8/'C-74'!I8)*1000/31</f>
        <v>6.5172329269028504</v>
      </c>
      <c r="J8" s="610">
        <f>('C-75'!J8/'C-74'!J8)*1000/31</f>
        <v>6.5109598720490869</v>
      </c>
      <c r="K8" s="610">
        <f>('C-75'!K8/'C-74'!K8)*1000/30</f>
        <v>6.5128227560382888</v>
      </c>
      <c r="L8" s="610">
        <f>('C-75'!L8/'C-74'!L8)*1000/31</f>
        <v>6.4345335608497605</v>
      </c>
      <c r="M8" s="610">
        <f>('C-75'!M8/'C-74'!M8)*1000/30</f>
        <v>6.4323721257128268</v>
      </c>
      <c r="N8" s="610">
        <f>('C-75'!N8/'C-74'!N8)*1000/31</f>
        <v>6.335842419947828</v>
      </c>
    </row>
    <row r="9" spans="1:14" ht="12.75" customHeight="1">
      <c r="A9" s="152" t="s">
        <v>21</v>
      </c>
      <c r="B9" s="642">
        <f>('C-75'!B9/'C-74'!B9)*1000/365</f>
        <v>2.5017737270097697</v>
      </c>
      <c r="C9" s="264">
        <f>('C-75'!C9/'C-74'!C9)*1000/31</f>
        <v>2.4667931688804559</v>
      </c>
      <c r="D9" s="264">
        <f>('C-75'!D9/'C-74'!D9)*1000/28</f>
        <v>2.7813852813852811</v>
      </c>
      <c r="E9" s="264">
        <f>('C-75'!E9/'C-74'!E9)*1000/31</f>
        <v>2.5767703187058024</v>
      </c>
      <c r="F9" s="264">
        <f>('C-75'!F9/'C-74'!F9)*1000/30</f>
        <v>2.5757575757575757</v>
      </c>
      <c r="G9" s="264">
        <f>('C-75'!G9/'C-74'!G9)*1000/31</f>
        <v>2.5577400267226569</v>
      </c>
      <c r="H9" s="264">
        <f>('C-75'!H9/'C-74'!H9)*1000/30</f>
        <v>2.3611111111111112</v>
      </c>
      <c r="I9" s="264">
        <f>('C-75'!I9/'C-74'!I9)*1000/31</f>
        <v>2.2696542399072821</v>
      </c>
      <c r="J9" s="264">
        <f>('C-75'!J9/'C-74'!J9)*1000/31</f>
        <v>2.0972735443922903</v>
      </c>
      <c r="K9" s="264">
        <f>('C-75'!K9/'C-74'!K9)*1000/30</f>
        <v>2.5579053373615306</v>
      </c>
      <c r="L9" s="264">
        <f>('C-75'!L9/'C-74'!L9)*1000/31</f>
        <v>2.4336705478144682</v>
      </c>
      <c r="M9" s="264">
        <f>('C-75'!M9/'C-74'!M9)*1000/30</f>
        <v>2.6162790697674421</v>
      </c>
      <c r="N9" s="264">
        <f>('C-75'!N9/'C-74'!N9)*1000/31</f>
        <v>2.7405081358835286</v>
      </c>
    </row>
    <row r="10" spans="1:14" ht="12.75" customHeight="1">
      <c r="A10" s="152" t="s">
        <v>22</v>
      </c>
      <c r="B10" s="642">
        <f>('C-75'!B10/'C-74'!B10)*1000/365</f>
        <v>4.8982472711671363</v>
      </c>
      <c r="C10" s="264">
        <f>('C-75'!C10/'C-74'!C10)*1000/31</f>
        <v>3.7781459756288358</v>
      </c>
      <c r="D10" s="264">
        <f>('C-75'!D10/'C-74'!D10)*1000/28</f>
        <v>4.5151953515544525</v>
      </c>
      <c r="E10" s="264">
        <f>('C-75'!E10/'C-74'!E10)*1000/31</f>
        <v>4.6576252139044261</v>
      </c>
      <c r="F10" s="264">
        <f>('C-75'!F10/'C-74'!F10)*1000/30</f>
        <v>6.5777144728245736</v>
      </c>
      <c r="G10" s="264">
        <f>('C-75'!G10/'C-74'!G10)*1000/31</f>
        <v>6.7183498219440025</v>
      </c>
      <c r="H10" s="264">
        <f>('C-75'!H10/'C-74'!H10)*1000/30</f>
        <v>6.7406433229218026</v>
      </c>
      <c r="I10" s="264">
        <f>('C-75'!I10/'C-74'!I10)*1000/31</f>
        <v>5.6980492540804422</v>
      </c>
      <c r="J10" s="264">
        <f>('C-75'!J10/'C-74'!J10)*1000/31</f>
        <v>5.111880295234398</v>
      </c>
      <c r="K10" s="264">
        <f>('C-75'!K10/'C-74'!K10)*1000/30</f>
        <v>3.7712689905855923</v>
      </c>
      <c r="L10" s="264">
        <f>('C-75'!L10/'C-74'!L10)*1000/31</f>
        <v>3.6138386145966903</v>
      </c>
      <c r="M10" s="264">
        <f>('C-75'!M10/'C-74'!M10)*1000/30</f>
        <v>3.8378608035263815</v>
      </c>
      <c r="N10" s="264">
        <f>('C-75'!N10/'C-74'!N10)*1000/31</f>
        <v>3.8715844817971798</v>
      </c>
    </row>
    <row r="11" spans="1:14" ht="12.75" customHeight="1">
      <c r="A11" s="152" t="s">
        <v>23</v>
      </c>
      <c r="B11" s="642">
        <f>('C-75'!B11/'C-74'!B11)*1000/365</f>
        <v>6.9931609642945061</v>
      </c>
      <c r="C11" s="264">
        <f>('C-75'!C11/'C-74'!C11)*1000/31</f>
        <v>7.1539657853810255</v>
      </c>
      <c r="D11" s="264">
        <f>('C-75'!D11/'C-74'!D11)*1000/28</f>
        <v>7.3371982395210509</v>
      </c>
      <c r="E11" s="264">
        <f>('C-75'!E11/'C-74'!E11)*1000/31</f>
        <v>6.4963144066559622</v>
      </c>
      <c r="F11" s="264">
        <f>('C-75'!F11/'C-74'!F11)*1000/30</f>
        <v>6.8169766226006434</v>
      </c>
      <c r="G11" s="264">
        <f>('C-75'!G11/'C-74'!G11)*1000/31</f>
        <v>6.8728240530204197</v>
      </c>
      <c r="H11" s="264">
        <f>('C-75'!H11/'C-74'!H11)*1000/30</f>
        <v>7.4455919248497588</v>
      </c>
      <c r="I11" s="264">
        <f>('C-75'!I11/'C-74'!I11)*1000/31</f>
        <v>6.9357953333496933</v>
      </c>
      <c r="J11" s="264">
        <f>('C-75'!J11/'C-74'!J11)*1000/31</f>
        <v>6.6494175250555534</v>
      </c>
      <c r="K11" s="264">
        <f>('C-75'!K11/'C-74'!K11)*1000/30</f>
        <v>6.6659575222494052</v>
      </c>
      <c r="L11" s="264">
        <f>('C-75'!L11/'C-74'!L11)*1000/31</f>
        <v>6.9234663534084033</v>
      </c>
      <c r="M11" s="264">
        <f>('C-75'!M11/'C-74'!M11)*1000/30</f>
        <v>7.240611293859649</v>
      </c>
      <c r="N11" s="264">
        <f>('C-75'!N11/'C-74'!N11)*1000/31</f>
        <v>7.4082433417827005</v>
      </c>
    </row>
    <row r="12" spans="1:14" ht="12.75" customHeight="1">
      <c r="A12" s="129" t="s">
        <v>24</v>
      </c>
      <c r="B12" s="642">
        <f>('C-75'!B12/'C-74'!B12)*1000/365</f>
        <v>8.7522843220510431</v>
      </c>
      <c r="C12" s="264">
        <f>('C-75'!C12/'C-74'!C12)*1000/31</f>
        <v>8.3726572682606815</v>
      </c>
      <c r="D12" s="264">
        <f>('C-75'!D12/'C-74'!D12)*1000/28</f>
        <v>9.2672297842578164</v>
      </c>
      <c r="E12" s="264">
        <f>('C-75'!E12/'C-74'!E12)*1000/31</f>
        <v>8.4177228737162242</v>
      </c>
      <c r="F12" s="264">
        <f>('C-75'!F12/'C-74'!F12)*1000/30</f>
        <v>8.6727332072753462</v>
      </c>
      <c r="G12" s="264">
        <f>('C-75'!G12/'C-74'!G12)*1000/31</f>
        <v>8.2948297345811319</v>
      </c>
      <c r="H12" s="264">
        <f>('C-75'!H12/'C-74'!H12)*1000/30</f>
        <v>8.8270979650639294</v>
      </c>
      <c r="I12" s="264">
        <f>('C-75'!I12/'C-74'!I12)*1000/31</f>
        <v>8.7155160080624441</v>
      </c>
      <c r="J12" s="264">
        <f>('C-75'!J12/'C-74'!J12)*1000/31</f>
        <v>8.7762771015190832</v>
      </c>
      <c r="K12" s="264">
        <f>('C-75'!K12/'C-74'!K12)*1000/30</f>
        <v>9.0689338287756076</v>
      </c>
      <c r="L12" s="264">
        <f>('C-75'!L12/'C-74'!L12)*1000/31</f>
        <v>8.8529419289713172</v>
      </c>
      <c r="M12" s="264">
        <f>('C-75'!M12/'C-74'!M12)*1000/30</f>
        <v>9.1026750306438835</v>
      </c>
      <c r="N12" s="264">
        <f>('C-75'!N12/'C-74'!N12)*1000/31</f>
        <v>8.7425192876198707</v>
      </c>
    </row>
    <row r="13" spans="1:14" ht="12.75" customHeight="1">
      <c r="A13" s="129" t="s">
        <v>25</v>
      </c>
      <c r="B13" s="642">
        <f>('C-75'!B13/'C-74'!B13)*1000/365</f>
        <v>6.3317101525575623</v>
      </c>
      <c r="C13" s="264">
        <f>('C-75'!C13/'C-74'!C13)*1000/31</f>
        <v>6.1323651265652579</v>
      </c>
      <c r="D13" s="264">
        <f>('C-75'!D13/'C-74'!D13)*1000/28</f>
        <v>6.5676860803151005</v>
      </c>
      <c r="E13" s="264">
        <f>('C-75'!E13/'C-74'!E13)*1000/31</f>
        <v>5.9028786205737482</v>
      </c>
      <c r="F13" s="264">
        <f>('C-75'!F13/'C-74'!F13)*1000/30</f>
        <v>6.2360788551894348</v>
      </c>
      <c r="G13" s="264">
        <f>('C-75'!G13/'C-74'!G13)*1000/31</f>
        <v>6.2181500840333035</v>
      </c>
      <c r="H13" s="264">
        <f>('C-75'!H13/'C-74'!H13)*1000/30</f>
        <v>6.6246679548304241</v>
      </c>
      <c r="I13" s="264">
        <f>('C-75'!I13/'C-74'!I13)*1000/31</f>
        <v>6.4003684824434703</v>
      </c>
      <c r="J13" s="264">
        <f>('C-75'!J13/'C-74'!J13)*1000/31</f>
        <v>6.4699498194633689</v>
      </c>
      <c r="K13" s="264">
        <f>('C-75'!K13/'C-74'!K13)*1000/30</f>
        <v>6.4700069807420473</v>
      </c>
      <c r="L13" s="264">
        <f>('C-75'!L13/'C-74'!L13)*1000/31</f>
        <v>6.3495238381774106</v>
      </c>
      <c r="M13" s="264">
        <f>('C-75'!M13/'C-74'!M13)*1000/30</f>
        <v>6.3670324182871996</v>
      </c>
      <c r="N13" s="264">
        <f>('C-75'!N13/'C-74'!N13)*1000/31</f>
        <v>6.2732667047959385</v>
      </c>
    </row>
    <row r="14" spans="1:14" ht="12.75" customHeight="1">
      <c r="A14" s="127" t="s">
        <v>97</v>
      </c>
      <c r="B14" s="642">
        <f>('C-75'!B14/'C-74'!B14)*1000/365</f>
        <v>6.5665846457032258</v>
      </c>
      <c r="C14" s="264">
        <f>('C-75'!C14/'C-74'!C14)*1000/31</f>
        <v>6.1985518509084603</v>
      </c>
      <c r="D14" s="264">
        <f>('C-75'!D14/'C-74'!D14)*1000/28</f>
        <v>6.8260592142473442</v>
      </c>
      <c r="E14" s="264">
        <f>('C-75'!E14/'C-74'!E14)*1000/31</f>
        <v>6.3986503518091755</v>
      </c>
      <c r="F14" s="264">
        <f>('C-75'!F14/'C-74'!F14)*1000/30</f>
        <v>6.7100198296978881</v>
      </c>
      <c r="G14" s="264">
        <f>('C-75'!G14/'C-74'!G14)*1000/31</f>
        <v>6.4516442921315234</v>
      </c>
      <c r="H14" s="264">
        <f>('C-75'!H14/'C-74'!H14)*1000/30</f>
        <v>6.7621455193647702</v>
      </c>
      <c r="I14" s="264">
        <f>('C-75'!I14/'C-74'!I14)*1000/31</f>
        <v>6.675641115295857</v>
      </c>
      <c r="J14" s="264">
        <f>('C-75'!J14/'C-74'!J14)*1000/31</f>
        <v>6.6082346041055722</v>
      </c>
      <c r="K14" s="264">
        <f>('C-75'!K14/'C-74'!K14)*1000/30</f>
        <v>6.6704079263100855</v>
      </c>
      <c r="L14" s="264">
        <f>('C-75'!L14/'C-74'!L14)*1000/31</f>
        <v>6.5790930679229005</v>
      </c>
      <c r="M14" s="264">
        <f>('C-75'!M14/'C-74'!M14)*1000/30</f>
        <v>6.4786802161714894</v>
      </c>
      <c r="N14" s="264">
        <f>('C-75'!N14/'C-74'!N14)*1000/31</f>
        <v>6.4583943375960526</v>
      </c>
    </row>
    <row r="15" spans="1:14" ht="12.75" customHeight="1">
      <c r="A15" s="127" t="s">
        <v>98</v>
      </c>
      <c r="B15" s="642">
        <f>('C-75'!B15/'C-74'!B15)*1000/365</f>
        <v>6.1753387635346586</v>
      </c>
      <c r="C15" s="264">
        <f>('C-75'!C15/'C-74'!C15)*1000/31</f>
        <v>6.1992389009584175</v>
      </c>
      <c r="D15" s="264">
        <f>('C-75'!D15/'C-74'!D15)*1000/28</f>
        <v>6.3295180749329623</v>
      </c>
      <c r="E15" s="264">
        <f>('C-75'!E15/'C-74'!E15)*1000/31</f>
        <v>5.2990297189579962</v>
      </c>
      <c r="F15" s="264">
        <f>('C-75'!F15/'C-74'!F15)*1000/30</f>
        <v>5.7067379317759448</v>
      </c>
      <c r="G15" s="264">
        <f>('C-75'!G15/'C-74'!G15)*1000/31</f>
        <v>6.1229047363584854</v>
      </c>
      <c r="H15" s="264">
        <f>('C-75'!H15/'C-74'!H15)*1000/30</f>
        <v>6.7283893466654332</v>
      </c>
      <c r="I15" s="264">
        <f>('C-75'!I15/'C-74'!I15)*1000/31</f>
        <v>6.2160958801528556</v>
      </c>
      <c r="J15" s="264">
        <f>('C-75'!J15/'C-74'!J15)*1000/31</f>
        <v>6.4305848230697329</v>
      </c>
      <c r="K15" s="264">
        <f>('C-75'!K15/'C-74'!K15)*1000/30</f>
        <v>6.3786520453554756</v>
      </c>
      <c r="L15" s="264">
        <f>('C-75'!L15/'C-74'!L15)*1000/31</f>
        <v>6.2089266854741672</v>
      </c>
      <c r="M15" s="264">
        <f>('C-75'!M15/'C-74'!M15)*1000/30</f>
        <v>6.3746615038088725</v>
      </c>
      <c r="N15" s="264">
        <f>('C-75'!N15/'C-74'!N15)*1000/31</f>
        <v>6.1781206171107996</v>
      </c>
    </row>
    <row r="16" spans="1:14" ht="12.75" customHeight="1">
      <c r="A16" s="127" t="s">
        <v>99</v>
      </c>
      <c r="B16" s="642">
        <f>('C-75'!B16/'C-74'!B16)*1000/365</f>
        <v>3.91208738017195</v>
      </c>
      <c r="C16" s="264">
        <f>('C-75'!C16/'C-74'!C16)*1000/31</f>
        <v>3.7620605408091432</v>
      </c>
      <c r="D16" s="264">
        <f>('C-75'!D16/'C-74'!D16)*1000/28</f>
        <v>4.3376042364112246</v>
      </c>
      <c r="E16" s="264">
        <f>('C-75'!E16/'C-74'!E16)*1000/31</f>
        <v>3.8058886928584661</v>
      </c>
      <c r="F16" s="264">
        <f>('C-75'!F16/'C-74'!F16)*1000/30</f>
        <v>3.842460782671802</v>
      </c>
      <c r="G16" s="264">
        <f>('C-75'!G16/'C-74'!G16)*1000/31</f>
        <v>3.809946019245313</v>
      </c>
      <c r="H16" s="264">
        <f>('C-75'!H16/'C-74'!H16)*1000/30</f>
        <v>3.7551581843191197</v>
      </c>
      <c r="I16" s="264">
        <f>('C-75'!I16/'C-74'!I16)*1000/31</f>
        <v>3.6650180851849119</v>
      </c>
      <c r="J16" s="264">
        <f>('C-75'!J16/'C-74'!J16)*1000/31</f>
        <v>4.0251750516048084</v>
      </c>
      <c r="K16" s="264">
        <f>('C-75'!K16/'C-74'!K16)*1000/30</f>
        <v>3.7873335732277797</v>
      </c>
      <c r="L16" s="264">
        <f>('C-75'!L16/'C-74'!L16)*1000/31</f>
        <v>3.8056596711814579</v>
      </c>
      <c r="M16" s="264">
        <f>('C-75'!M16/'C-74'!M16)*1000/30</f>
        <v>4.3331076506431963</v>
      </c>
      <c r="N16" s="264">
        <f>('C-75'!N16/'C-74'!N16)*1000/31</f>
        <v>4.1350437442971391</v>
      </c>
    </row>
    <row r="17" spans="1:14" ht="12.75" customHeight="1">
      <c r="A17" s="152" t="s">
        <v>29</v>
      </c>
      <c r="B17" s="642">
        <f>('C-75'!B17/'C-74'!B17)*1000/365</f>
        <v>3.5092146476137902</v>
      </c>
      <c r="C17" s="264">
        <f>('C-75'!C17/'C-74'!C17)*1000/31</f>
        <v>3.520278409851425</v>
      </c>
      <c r="D17" s="264">
        <f>('C-75'!D17/'C-74'!D17)*1000/28</f>
        <v>3.5830046881088387</v>
      </c>
      <c r="E17" s="264">
        <f>('C-75'!E17/'C-74'!E17)*1000/31</f>
        <v>3.5350007475797107</v>
      </c>
      <c r="F17" s="264">
        <f>('C-75'!F17/'C-74'!F17)*1000/30</f>
        <v>3.569442245470452</v>
      </c>
      <c r="G17" s="264">
        <f>('C-75'!G17/'C-74'!G17)*1000/31</f>
        <v>3.5349759358371631</v>
      </c>
      <c r="H17" s="264">
        <f>('C-75'!H17/'C-74'!H17)*1000/30</f>
        <v>3.5370722204853182</v>
      </c>
      <c r="I17" s="264">
        <f>('C-75'!I17/'C-74'!I17)*1000/31</f>
        <v>3.4657161819404023</v>
      </c>
      <c r="J17" s="264">
        <f>('C-75'!J17/'C-74'!J17)*1000/31</f>
        <v>3.4180159123274101</v>
      </c>
      <c r="K17" s="264">
        <f>('C-75'!K17/'C-74'!K17)*1000/30</f>
        <v>3.4133483719105531</v>
      </c>
      <c r="L17" s="264">
        <f>('C-75'!L17/'C-74'!L17)*1000/31</f>
        <v>3.5080615504338222</v>
      </c>
      <c r="M17" s="264">
        <f>('C-75'!M17/'C-74'!M17)*1000/30</f>
        <v>3.595817407402826</v>
      </c>
      <c r="N17" s="264">
        <f>('C-75'!N17/'C-74'!N17)*1000/31</f>
        <v>3.4367896547915948</v>
      </c>
    </row>
    <row r="18" spans="1:14" ht="12.75" customHeight="1">
      <c r="A18" s="129" t="s">
        <v>30</v>
      </c>
      <c r="B18" s="642">
        <f>('C-75'!B18/'C-74'!B18)*1000/365</f>
        <v>3.1574873589463825</v>
      </c>
      <c r="C18" s="264">
        <f>('C-75'!C18/'C-74'!C18)*1000/31</f>
        <v>3.5440304585835243</v>
      </c>
      <c r="D18" s="264">
        <f>('C-75'!D18/'C-74'!D18)*1000/28</f>
        <v>3.6607619047619049</v>
      </c>
      <c r="E18" s="264">
        <f>('C-75'!E18/'C-74'!E18)*1000/31</f>
        <v>3.150855659558375</v>
      </c>
      <c r="F18" s="264">
        <f>('C-75'!F18/'C-74'!F18)*1000/30</f>
        <v>3.2372953433978311</v>
      </c>
      <c r="G18" s="264">
        <f>('C-75'!G18/'C-74'!G18)*1000/31</f>
        <v>3.0986381900798516</v>
      </c>
      <c r="H18" s="264">
        <f>('C-75'!H18/'C-74'!H18)*1000/30</f>
        <v>3.0967639425877866</v>
      </c>
      <c r="I18" s="264">
        <f>('C-75'!I18/'C-74'!I18)*1000/31</f>
        <v>3.0726466342315453</v>
      </c>
      <c r="J18" s="264">
        <f>('C-75'!J18/'C-74'!J18)*1000/31</f>
        <v>2.9526189325463337</v>
      </c>
      <c r="K18" s="264">
        <f>('C-75'!K18/'C-74'!K18)*1000/30</f>
        <v>3.0548997564174631</v>
      </c>
      <c r="L18" s="264">
        <f>('C-75'!L18/'C-74'!L18)*1000/31</f>
        <v>2.9517620368947659</v>
      </c>
      <c r="M18" s="264">
        <f>('C-75'!M18/'C-74'!M18)*1000/30</f>
        <v>3.0699893955461297</v>
      </c>
      <c r="N18" s="264">
        <f>('C-75'!N18/'C-74'!N18)*1000/31</f>
        <v>3.0102279795133264</v>
      </c>
    </row>
    <row r="19" spans="1:14" ht="12.75" customHeight="1">
      <c r="A19" s="129" t="s">
        <v>31</v>
      </c>
      <c r="B19" s="642">
        <f>('C-75'!B19/'C-74'!B19)*1000/365</f>
        <v>13.763247508009739</v>
      </c>
      <c r="C19" s="264">
        <f>('C-75'!C19/'C-74'!C19)*1000/31</f>
        <v>13.803293646742398</v>
      </c>
      <c r="D19" s="264">
        <f>('C-75'!D19/'C-74'!D19)*1000/28</f>
        <v>14.526592612355882</v>
      </c>
      <c r="E19" s="264">
        <f>('C-75'!E19/'C-74'!E19)*1000/31</f>
        <v>13.504922744694145</v>
      </c>
      <c r="F19" s="264">
        <f>('C-75'!F19/'C-74'!F19)*1000/30</f>
        <v>13.589391932202188</v>
      </c>
      <c r="G19" s="264">
        <f>('C-75'!G19/'C-74'!G19)*1000/31</f>
        <v>13.40566928915529</v>
      </c>
      <c r="H19" s="264">
        <f>('C-75'!H19/'C-74'!H19)*1000/30</f>
        <v>13.811188779856332</v>
      </c>
      <c r="I19" s="264">
        <f>('C-75'!I19/'C-74'!I19)*1000/31</f>
        <v>13.623727688019464</v>
      </c>
      <c r="J19" s="264">
        <f>('C-75'!J19/'C-74'!J19)*1000/31</f>
        <v>13.813245327643269</v>
      </c>
      <c r="K19" s="264">
        <f>('C-75'!K19/'C-74'!K19)*1000/30</f>
        <v>14.133260753067066</v>
      </c>
      <c r="L19" s="264">
        <f>('C-75'!L19/'C-74'!L19)*1000/31</f>
        <v>13.80330680146708</v>
      </c>
      <c r="M19" s="264">
        <f>('C-75'!M19/'C-74'!M19)*1000/30</f>
        <v>13.755455495930097</v>
      </c>
      <c r="N19" s="264">
        <f>('C-75'!N19/'C-74'!N19)*1000/31</f>
        <v>13.476266101320737</v>
      </c>
    </row>
    <row r="20" spans="1:14" ht="12.75" customHeight="1">
      <c r="A20" s="152" t="s">
        <v>32</v>
      </c>
      <c r="B20" s="642">
        <f>('C-75'!B20/'C-74'!B20)*1000/365</f>
        <v>15.511924786884864</v>
      </c>
      <c r="C20" s="264">
        <f>('C-75'!C20/'C-74'!C20)*1000/31</f>
        <v>15.691492229297715</v>
      </c>
      <c r="D20" s="264">
        <f>('C-75'!D20/'C-74'!D20)*1000/28</f>
        <v>16.353118712273645</v>
      </c>
      <c r="E20" s="264">
        <f>('C-75'!E20/'C-74'!E20)*1000/31</f>
        <v>15.178481140661342</v>
      </c>
      <c r="F20" s="264">
        <f>('C-75'!F20/'C-74'!F20)*1000/30</f>
        <v>15.316267730496454</v>
      </c>
      <c r="G20" s="264">
        <f>('C-75'!G20/'C-74'!G20)*1000/31</f>
        <v>15.257254429512081</v>
      </c>
      <c r="H20" s="264">
        <f>('C-75'!H20/'C-74'!H20)*1000/30</f>
        <v>15.672060409924487</v>
      </c>
      <c r="I20" s="264">
        <f>('C-75'!I20/'C-74'!I20)*1000/31</f>
        <v>15.495289751641449</v>
      </c>
      <c r="J20" s="264">
        <f>('C-75'!J20/'C-74'!J20)*1000/31</f>
        <v>15.374628933306948</v>
      </c>
      <c r="K20" s="264">
        <f>('C-75'!K20/'C-74'!K20)*1000/30</f>
        <v>15.749391727493919</v>
      </c>
      <c r="L20" s="264">
        <f>('C-75'!L20/'C-74'!L20)*1000/31</f>
        <v>15.468205486028372</v>
      </c>
      <c r="M20" s="264">
        <f>('C-75'!M20/'C-74'!M20)*1000/30</f>
        <v>15.865384615384615</v>
      </c>
      <c r="N20" s="264">
        <f>('C-75'!N20/'C-74'!N20)*1000/31</f>
        <v>14.80269504458324</v>
      </c>
    </row>
    <row r="21" spans="1:14" ht="12.75" customHeight="1">
      <c r="A21" s="152" t="s">
        <v>33</v>
      </c>
      <c r="B21" s="642">
        <f>('C-75'!B21/'C-74'!B21)*1000/365</f>
        <v>4.1038844115734801</v>
      </c>
      <c r="C21" s="264">
        <f>('C-75'!C21/'C-74'!C21)*1000/31</f>
        <v>4.3031595558979738</v>
      </c>
      <c r="D21" s="264">
        <f>('C-75'!D21/'C-74'!D21)*1000/28</f>
        <v>4.4051209811070597</v>
      </c>
      <c r="E21" s="264">
        <f>('C-75'!E21/'C-74'!E21)*1000/31</f>
        <v>4.140411387973792</v>
      </c>
      <c r="F21" s="264">
        <f>('C-75'!F21/'C-74'!F21)*1000/30</f>
        <v>4.1720565809538828</v>
      </c>
      <c r="G21" s="264">
        <f>('C-75'!G21/'C-74'!G21)*1000/31</f>
        <v>4.1724342183616763</v>
      </c>
      <c r="H21" s="264">
        <f>('C-75'!H21/'C-74'!H21)*1000/30</f>
        <v>4.2141273730353186</v>
      </c>
      <c r="I21" s="264">
        <f>('C-75'!I21/'C-74'!I21)*1000/31</f>
        <v>3.8421247610686691</v>
      </c>
      <c r="J21" s="264">
        <f>('C-75'!J21/'C-74'!J21)*1000/31</f>
        <v>3.9135541424384508</v>
      </c>
      <c r="K21" s="264">
        <f>('C-75'!K21/'C-74'!K21)*1000/30</f>
        <v>3.9241006394903826</v>
      </c>
      <c r="L21" s="264">
        <f>('C-75'!L21/'C-74'!L21)*1000/31</f>
        <v>3.8815591440974062</v>
      </c>
      <c r="M21" s="264">
        <f>('C-75'!M21/'C-74'!M21)*1000/30</f>
        <v>4.0404720240498948</v>
      </c>
      <c r="N21" s="264">
        <f>('C-75'!N21/'C-74'!N21)*1000/31</f>
        <v>4.2322440479766126</v>
      </c>
    </row>
    <row r="22" spans="1:14" ht="12.75" customHeight="1">
      <c r="A22" s="152" t="s">
        <v>34</v>
      </c>
      <c r="B22" s="642">
        <f>('C-75'!B22/'C-74'!B22)*1000/365</f>
        <v>3.4501600347188472</v>
      </c>
      <c r="C22" s="264">
        <f>('C-75'!C22/'C-74'!C22)*1000/31</f>
        <v>3.57601103724866</v>
      </c>
      <c r="D22" s="264">
        <f>('C-75'!D22/'C-74'!D22)*1000/28</f>
        <v>3.6168092917877956</v>
      </c>
      <c r="E22" s="264">
        <f>('C-75'!E22/'C-74'!E22)*1000/31</f>
        <v>3.497731220805584</v>
      </c>
      <c r="F22" s="264">
        <f>('C-75'!F22/'C-74'!F22)*1000/30</f>
        <v>3.6613483647017606</v>
      </c>
      <c r="G22" s="264">
        <f>('C-75'!G22/'C-74'!G22)*1000/31</f>
        <v>3.4999756246966331</v>
      </c>
      <c r="H22" s="264">
        <f>('C-75'!H22/'C-74'!H22)*1000/30</f>
        <v>3.2590793356557679</v>
      </c>
      <c r="I22" s="264">
        <f>('C-75'!I22/'C-74'!I22)*1000/31</f>
        <v>3.4116905972314289</v>
      </c>
      <c r="J22" s="264">
        <f>('C-75'!J22/'C-74'!J22)*1000/31</f>
        <v>3.3123720838202644</v>
      </c>
      <c r="K22" s="264">
        <f>('C-75'!K22/'C-74'!K22)*1000/30</f>
        <v>3.1427445215038299</v>
      </c>
      <c r="L22" s="264">
        <f>('C-75'!L22/'C-74'!L22)*1000/31</f>
        <v>3.926327689466508</v>
      </c>
      <c r="M22" s="264">
        <f>('C-75'!M22/'C-74'!M22)*1000/30</f>
        <v>3.439614798240707</v>
      </c>
      <c r="N22" s="264">
        <f>('C-75'!N22/'C-74'!N22)*1000/31</f>
        <v>3.0805332903522715</v>
      </c>
    </row>
    <row r="23" spans="1:14" ht="12.75" customHeight="1">
      <c r="A23" s="152" t="s">
        <v>35</v>
      </c>
      <c r="B23" s="642">
        <f>('C-75'!B23/'C-74'!B23)*1000/365</f>
        <v>3.9468999201929282</v>
      </c>
      <c r="C23" s="264">
        <f>('C-75'!C23/'C-74'!C23)*1000/31</f>
        <v>3.8771544373676403</v>
      </c>
      <c r="D23" s="264">
        <f>('C-75'!D23/'C-74'!D23)*1000/28</f>
        <v>4.0423814778514195</v>
      </c>
      <c r="E23" s="264">
        <f>('C-75'!E23/'C-74'!E23)*1000/31</f>
        <v>3.9787482429180665</v>
      </c>
      <c r="F23" s="264">
        <f>('C-75'!F23/'C-74'!F23)*1000/30</f>
        <v>4.0081405312767782</v>
      </c>
      <c r="G23" s="264">
        <f>('C-75'!G23/'C-74'!G23)*1000/31</f>
        <v>3.9689711618623389</v>
      </c>
      <c r="H23" s="264">
        <f>('C-75'!H23/'C-74'!H23)*1000/30</f>
        <v>3.9937603633763197</v>
      </c>
      <c r="I23" s="264">
        <f>('C-75'!I23/'C-74'!I23)*1000/31</f>
        <v>3.9541357420573422</v>
      </c>
      <c r="J23" s="264">
        <f>('C-75'!J23/'C-74'!J23)*1000/31</f>
        <v>3.9502125941233759</v>
      </c>
      <c r="K23" s="264">
        <f>('C-75'!K23/'C-74'!K23)*1000/30</f>
        <v>3.9488464053059844</v>
      </c>
      <c r="L23" s="264">
        <f>('C-75'!L23/'C-74'!L23)*1000/31</f>
        <v>3.8882021564997014</v>
      </c>
      <c r="M23" s="264">
        <f>('C-75'!M23/'C-74'!M23)*1000/30</f>
        <v>3.9246346272040098</v>
      </c>
      <c r="N23" s="264">
        <f>('C-75'!N23/'C-74'!N23)*1000/31</f>
        <v>3.8364391021942272</v>
      </c>
    </row>
    <row r="24" spans="1:14" ht="12.75" customHeight="1">
      <c r="A24" s="152" t="s">
        <v>36</v>
      </c>
      <c r="B24" s="642">
        <f>('C-75'!B24/'C-74'!B24)*1000/365</f>
        <v>4.7059650572334144</v>
      </c>
      <c r="C24" s="264">
        <f>('C-75'!C24/'C-74'!C24)*1000/31</f>
        <v>4.5260900183956929</v>
      </c>
      <c r="D24" s="264">
        <f>('C-75'!D24/'C-74'!D24)*1000/28</f>
        <v>5.3138965737390933</v>
      </c>
      <c r="E24" s="264">
        <f>('C-75'!E24/'C-74'!E24)*1000/31</f>
        <v>4.6633268097546798</v>
      </c>
      <c r="F24" s="264">
        <f>('C-75'!F24/'C-74'!F24)*1000/30</f>
        <v>5.232738557020947</v>
      </c>
      <c r="G24" s="264">
        <f>('C-75'!G24/'C-74'!G24)*1000/31</f>
        <v>4.7807496793196833</v>
      </c>
      <c r="H24" s="264">
        <f>('C-75'!H24/'C-74'!H24)*1000/30</f>
        <v>4.7800960672470731</v>
      </c>
      <c r="I24" s="264">
        <f>('C-75'!I24/'C-74'!I24)*1000/31</f>
        <v>4.4872848093177788</v>
      </c>
      <c r="J24" s="264">
        <f>('C-75'!J24/'C-74'!J24)*1000/31</f>
        <v>4.4995973040566319</v>
      </c>
      <c r="K24" s="264">
        <f>('C-75'!K24/'C-74'!K24)*1000/30</f>
        <v>4.760108338169859</v>
      </c>
      <c r="L24" s="264">
        <f>('C-75'!L24/'C-74'!L24)*1000/31</f>
        <v>4.5664410704368539</v>
      </c>
      <c r="M24" s="264">
        <f>('C-75'!M24/'C-74'!M24)*1000/30</f>
        <v>4.5105551211884283</v>
      </c>
      <c r="N24" s="264">
        <f>('C-75'!N24/'C-74'!N24)*1000/31</f>
        <v>4.4316094256749095</v>
      </c>
    </row>
    <row r="25" spans="1:14" ht="12.75" customHeight="1">
      <c r="A25" s="129" t="s">
        <v>37</v>
      </c>
      <c r="B25" s="642">
        <f>('C-75'!B25/'C-74'!B25)*1000/365</f>
        <v>12.963220702535448</v>
      </c>
      <c r="C25" s="264">
        <f>('C-75'!C25/'C-74'!C25)*1000/31</f>
        <v>13.209286839375585</v>
      </c>
      <c r="D25" s="264">
        <f>('C-75'!D25/'C-74'!D25)*1000/28</f>
        <v>12.746563854251258</v>
      </c>
      <c r="E25" s="264">
        <f>('C-75'!E25/'C-74'!E25)*1000/31</f>
        <v>12.95415035032574</v>
      </c>
      <c r="F25" s="264">
        <f>('C-75'!F25/'C-74'!F25)*1000/30</f>
        <v>13.085770446516324</v>
      </c>
      <c r="G25" s="264">
        <f>('C-75'!G25/'C-74'!G25)*1000/31</f>
        <v>13.155099324637884</v>
      </c>
      <c r="H25" s="264">
        <f>('C-75'!H25/'C-74'!H25)*1000/30</f>
        <v>12.84797427481829</v>
      </c>
      <c r="I25" s="264">
        <f>('C-75'!I25/'C-74'!I25)*1000/31</f>
        <v>12.90408319782977</v>
      </c>
      <c r="J25" s="264">
        <f>('C-75'!J25/'C-74'!J25)*1000/31</f>
        <v>12.9614328740105</v>
      </c>
      <c r="K25" s="264">
        <f>('C-75'!K25/'C-74'!K25)*1000/30</f>
        <v>12.977690008539708</v>
      </c>
      <c r="L25" s="264">
        <f>('C-75'!L25/'C-74'!L25)*1000/31</f>
        <v>12.888670317309664</v>
      </c>
      <c r="M25" s="264">
        <f>('C-75'!M25/'C-74'!M25)*1000/30</f>
        <v>12.909118438162418</v>
      </c>
      <c r="N25" s="264">
        <f>('C-75'!N25/'C-74'!N25)*1000/31</f>
        <v>12.895763354876671</v>
      </c>
    </row>
    <row r="26" spans="1:14" ht="12.75" customHeight="1">
      <c r="A26" s="152" t="s">
        <v>38</v>
      </c>
      <c r="B26" s="642">
        <f>('C-75'!B26/'C-74'!B26)*1000/365</f>
        <v>8.5911496206968891</v>
      </c>
      <c r="C26" s="264">
        <f>('C-75'!C26/'C-74'!C26)*1000/31</f>
        <v>8.5743980599341771</v>
      </c>
      <c r="D26" s="264">
        <f>('C-75'!D26/'C-74'!D26)*1000/28</f>
        <v>8.7270390336428072</v>
      </c>
      <c r="E26" s="264">
        <f>('C-75'!E26/'C-74'!E26)*1000/31</f>
        <v>8.6512064934991422</v>
      </c>
      <c r="F26" s="264">
        <f>('C-75'!F26/'C-74'!F26)*1000/30</f>
        <v>8.7373201226704413</v>
      </c>
      <c r="G26" s="264">
        <f>('C-75'!G26/'C-74'!G26)*1000/31</f>
        <v>8.56818092737036</v>
      </c>
      <c r="H26" s="264">
        <f>('C-75'!H26/'C-74'!H26)*1000/30</f>
        <v>8.5972638130467978</v>
      </c>
      <c r="I26" s="264">
        <f>('C-75'!I26/'C-74'!I26)*1000/31</f>
        <v>8.5169469863503924</v>
      </c>
      <c r="J26" s="264">
        <f>('C-75'!J26/'C-74'!J26)*1000/31</f>
        <v>8.4329229939796928</v>
      </c>
      <c r="K26" s="264">
        <f>('C-75'!K26/'C-74'!K26)*1000/30</f>
        <v>8.497086247086246</v>
      </c>
      <c r="L26" s="264">
        <f>('C-75'!L26/'C-74'!L26)*1000/31</f>
        <v>8.5732053020201899</v>
      </c>
      <c r="M26" s="264">
        <f>('C-75'!M26/'C-74'!M26)*1000/30</f>
        <v>8.6232900736583638</v>
      </c>
      <c r="N26" s="264">
        <f>('C-75'!N26/'C-74'!N26)*1000/31</f>
        <v>8.6064182136992393</v>
      </c>
    </row>
    <row r="27" spans="1:14" ht="12.75" customHeight="1">
      <c r="A27" s="152" t="s">
        <v>39</v>
      </c>
      <c r="B27" s="642">
        <f>('C-75'!B27/'C-74'!B27)*1000/365</f>
        <v>11.834759814692147</v>
      </c>
      <c r="C27" s="264">
        <f>('C-75'!C27/'C-74'!C27)*1000/31</f>
        <v>12.158031211342657</v>
      </c>
      <c r="D27" s="264">
        <f>('C-75'!D27/'C-74'!D27)*1000/28</f>
        <v>10.323166877370417</v>
      </c>
      <c r="E27" s="264">
        <f>('C-75'!E27/'C-74'!E27)*1000/31</f>
        <v>12.19966219430964</v>
      </c>
      <c r="F27" s="264">
        <f>('C-75'!F27/'C-74'!F27)*1000/30</f>
        <v>12.294124877089478</v>
      </c>
      <c r="G27" s="264">
        <f>('C-75'!G27/'C-74'!G27)*1000/31</f>
        <v>12.197046888159873</v>
      </c>
      <c r="H27" s="264">
        <f>('C-75'!H27/'C-74'!H27)*1000/30</f>
        <v>11.786504424778762</v>
      </c>
      <c r="I27" s="264">
        <f>('C-75'!I27/'C-74'!I27)*1000/31</f>
        <v>11.721500618517462</v>
      </c>
      <c r="J27" s="264">
        <f>('C-75'!J27/'C-74'!J27)*1000/31</f>
        <v>11.760752688172042</v>
      </c>
      <c r="K27" s="264">
        <f>('C-75'!K27/'C-74'!K27)*1000/30</f>
        <v>11.799410029498524</v>
      </c>
      <c r="L27" s="264">
        <f>('C-75'!L27/'C-74'!L27)*1000/31</f>
        <v>11.562087342010942</v>
      </c>
      <c r="M27" s="264">
        <f>('C-75'!M27/'C-74'!M27)*1000/30</f>
        <v>12.173965936739659</v>
      </c>
      <c r="N27" s="264">
        <f>('C-75'!N27/'C-74'!N27)*1000/31</f>
        <v>11.910624226853171</v>
      </c>
    </row>
    <row r="28" spans="1:14" ht="12.75" customHeight="1">
      <c r="A28" s="152" t="s">
        <v>40</v>
      </c>
      <c r="B28" s="642">
        <f>('C-75'!B28/'C-74'!B28)*1000/365</f>
        <v>5.3173134660161647</v>
      </c>
      <c r="C28" s="264">
        <f>('C-75'!C28/'C-74'!C28)*1000/31</f>
        <v>4.8402443141708362</v>
      </c>
      <c r="D28" s="264">
        <f>('C-75'!D28/'C-74'!D28)*1000/28</f>
        <v>4.7693430243266599</v>
      </c>
      <c r="E28" s="264">
        <f>('C-75'!E28/'C-74'!E28)*1000/31</f>
        <v>5.4520307375246615</v>
      </c>
      <c r="F28" s="264">
        <f>('C-75'!F28/'C-74'!F28)*1000/30</f>
        <v>5.7011385113680957</v>
      </c>
      <c r="G28" s="264">
        <f>('C-75'!G28/'C-74'!G28)*1000/31</f>
        <v>5.5025444630971379</v>
      </c>
      <c r="H28" s="264">
        <f>('C-75'!H28/'C-74'!H28)*1000/30</f>
        <v>5.6165136737425891</v>
      </c>
      <c r="I28" s="264">
        <f>('C-75'!I28/'C-74'!I28)*1000/31</f>
        <v>5.7755890060139468</v>
      </c>
      <c r="J28" s="264">
        <f>('C-75'!J28/'C-74'!J28)*1000/31</f>
        <v>6.0184302752596688</v>
      </c>
      <c r="K28" s="264">
        <f>('C-75'!K28/'C-74'!K28)*1000/30</f>
        <v>4.8225363386636104</v>
      </c>
      <c r="L28" s="264">
        <f>('C-75'!L28/'C-74'!L28)*1000/31</f>
        <v>4.9526830532387631</v>
      </c>
      <c r="M28" s="264">
        <f>('C-75'!M28/'C-74'!M28)*1000/30</f>
        <v>4.8240821923967543</v>
      </c>
      <c r="N28" s="264">
        <f>('C-75'!N28/'C-74'!N28)*1000/31</f>
        <v>3.3647542320362702</v>
      </c>
    </row>
    <row r="29" spans="1:14" ht="12.75" customHeight="1">
      <c r="A29" s="129" t="s">
        <v>41</v>
      </c>
      <c r="B29" s="642">
        <f>('C-75'!B29/'C-74'!B29)*1000/365</f>
        <v>3.0568314778291432</v>
      </c>
      <c r="C29" s="264">
        <f>('C-75'!C29/'C-74'!C29)*1000/31</f>
        <v>3.6784313558037405</v>
      </c>
      <c r="D29" s="264">
        <f>('C-75'!D29/'C-74'!D29)*1000/28</f>
        <v>4.0830058099794941</v>
      </c>
      <c r="E29" s="264">
        <f>('C-75'!E29/'C-74'!E29)*1000/31</f>
        <v>3.6855238603039187</v>
      </c>
      <c r="F29" s="264">
        <f>('C-75'!F29/'C-74'!F29)*1000/30</f>
        <v>3.9106803745661707</v>
      </c>
      <c r="G29" s="264">
        <f>('C-75'!G29/'C-74'!G29)*1000/31</f>
        <v>3.390890095405207</v>
      </c>
      <c r="H29" s="264">
        <f>('C-75'!H29/'C-74'!H29)*1000/30</f>
        <v>3.4108938238868629</v>
      </c>
      <c r="I29" s="264">
        <f>('C-75'!I29/'C-74'!I29)*1000/31</f>
        <v>3.0837953159283145</v>
      </c>
      <c r="J29" s="264">
        <f>('C-75'!J29/'C-74'!J29)*1000/31</f>
        <v>2.6973725058561229</v>
      </c>
      <c r="K29" s="264">
        <f>('C-75'!K29/'C-74'!K29)*1000/30</f>
        <v>2.352120379982809</v>
      </c>
      <c r="L29" s="264">
        <f>('C-75'!L29/'C-74'!L29)*1000/31</f>
        <v>2.1902903820414812</v>
      </c>
      <c r="M29" s="264">
        <f>('C-75'!M29/'C-74'!M29)*1000/30</f>
        <v>2.1010442543012235</v>
      </c>
      <c r="N29" s="264">
        <f>('C-75'!N29/'C-74'!N29)*1000/31</f>
        <v>2.0103214874602582</v>
      </c>
    </row>
    <row r="30" spans="1:14" ht="12.75" customHeight="1">
      <c r="A30" s="127" t="s">
        <v>100</v>
      </c>
      <c r="B30" s="642">
        <f>('C-75'!B30/'C-74'!B30)*1000/365</f>
        <v>2.7616584200752041</v>
      </c>
      <c r="C30" s="264">
        <f>('C-75'!C30/'C-74'!C30)*1000/31</f>
        <v>3.5572128807218157</v>
      </c>
      <c r="D30" s="264">
        <f>('C-75'!D30/'C-74'!D30)*1000/28</f>
        <v>3.9452008806583079</v>
      </c>
      <c r="E30" s="264">
        <f>('C-75'!E30/'C-74'!E30)*1000/31</f>
        <v>3.5675381263616557</v>
      </c>
      <c r="F30" s="264">
        <f>('C-75'!F30/'C-74'!F30)*1000/30</f>
        <v>3.7632907313929764</v>
      </c>
      <c r="G30" s="264">
        <f>('C-75'!G30/'C-74'!G30)*1000/31</f>
        <v>3.0247804538735763</v>
      </c>
      <c r="H30" s="264">
        <f>('C-75'!H30/'C-74'!H30)*1000/30</f>
        <v>3.0224609375</v>
      </c>
      <c r="I30" s="264">
        <f>('C-75'!I30/'C-74'!I30)*1000/31</f>
        <v>2.8060811612759364</v>
      </c>
      <c r="J30" s="264">
        <f>('C-75'!J30/'C-74'!J30)*1000/31</f>
        <v>2.6549855194756846</v>
      </c>
      <c r="K30" s="264">
        <f>('C-75'!K30/'C-74'!K30)*1000/30</f>
        <v>2.0310060432394703</v>
      </c>
      <c r="L30" s="264">
        <f>('C-75'!L30/'C-74'!L30)*1000/31</f>
        <v>1.7866792878007087</v>
      </c>
      <c r="M30" s="264">
        <f>('C-75'!M30/'C-74'!M30)*1000/30</f>
        <v>1.5034641596345171</v>
      </c>
      <c r="N30" s="264">
        <f>('C-75'!N30/'C-74'!N30)*1000/31</f>
        <v>1.3847802131694491</v>
      </c>
    </row>
    <row r="31" spans="1:14" ht="12.75" customHeight="1">
      <c r="A31" s="127" t="s">
        <v>101</v>
      </c>
      <c r="B31" s="642">
        <f>('C-75'!B31/'C-74'!B31)*1000/365</f>
        <v>3.5152705283296624</v>
      </c>
      <c r="C31" s="264">
        <f>('C-75'!C31/'C-74'!C31)*1000/31</f>
        <v>3.865532516237737</v>
      </c>
      <c r="D31" s="264">
        <f>('C-75'!D31/'C-74'!D31)*1000/28</f>
        <v>4.2967331024628868</v>
      </c>
      <c r="E31" s="264">
        <f>('C-75'!E31/'C-74'!E31)*1000/31</f>
        <v>3.8677120920263706</v>
      </c>
      <c r="F31" s="264">
        <f>('C-75'!F31/'C-74'!F31)*1000/30</f>
        <v>4.1409395973154357</v>
      </c>
      <c r="G31" s="264">
        <f>('C-75'!G31/'C-74'!G31)*1000/31</f>
        <v>3.9618783121877659</v>
      </c>
      <c r="H31" s="264">
        <f>('C-75'!H31/'C-74'!H31)*1000/30</f>
        <v>4.0208439825069577</v>
      </c>
      <c r="I31" s="264">
        <f>('C-75'!I31/'C-74'!I31)*1000/31</f>
        <v>3.5143974860514335</v>
      </c>
      <c r="J31" s="264">
        <f>('C-75'!J31/'C-74'!J31)*1000/31</f>
        <v>2.7587026059477711</v>
      </c>
      <c r="K31" s="264">
        <f>('C-75'!K31/'C-74'!K31)*1000/30</f>
        <v>2.849581697114564</v>
      </c>
      <c r="L31" s="264">
        <f>('C-75'!L31/'C-74'!L31)*1000/31</f>
        <v>2.8932903102766252</v>
      </c>
      <c r="M31" s="264">
        <f>('C-75'!M31/'C-74'!M31)*1000/30</f>
        <v>3.0322827462405462</v>
      </c>
      <c r="N31" s="264">
        <f>('C-75'!N31/'C-74'!N31)*1000/31</f>
        <v>2.9341666972220888</v>
      </c>
    </row>
    <row r="32" spans="1:14" ht="12.75" customHeight="1">
      <c r="A32" s="152" t="s">
        <v>44</v>
      </c>
      <c r="B32" s="642">
        <f>('C-75'!B32/'C-74'!B32)*1000/365</f>
        <v>4.3891633141518547</v>
      </c>
      <c r="C32" s="264">
        <f>('C-75'!C32/'C-74'!C32)*1000/31</f>
        <v>4.4108763804588031</v>
      </c>
      <c r="D32" s="264">
        <f>('C-75'!D32/'C-74'!D32)*1000/28</f>
        <v>4.527927220670068</v>
      </c>
      <c r="E32" s="264">
        <f>('C-75'!E32/'C-74'!E32)*1000/31</f>
        <v>4.6854226082785448</v>
      </c>
      <c r="F32" s="264">
        <f>('C-75'!F32/'C-74'!F32)*1000/30</f>
        <v>4.7353898727747126</v>
      </c>
      <c r="G32" s="264">
        <f>('C-75'!G32/'C-74'!G32)*1000/31</f>
        <v>4.7324961883062375</v>
      </c>
      <c r="H32" s="264">
        <f>('C-75'!H32/'C-74'!H32)*1000/30</f>
        <v>4.4932539041153881</v>
      </c>
      <c r="I32" s="264">
        <f>('C-75'!I32/'C-74'!I32)*1000/31</f>
        <v>4.3039552979750164</v>
      </c>
      <c r="J32" s="264">
        <f>('C-75'!J32/'C-74'!J32)*1000/31</f>
        <v>4.176104348421954</v>
      </c>
      <c r="K32" s="264">
        <f>('C-75'!K32/'C-74'!K32)*1000/30</f>
        <v>4.1078451745980429</v>
      </c>
      <c r="L32" s="264">
        <f>('C-75'!L32/'C-74'!L32)*1000/31</f>
        <v>4.1056057036494691</v>
      </c>
      <c r="M32" s="264">
        <f>('C-75'!M32/'C-74'!M32)*1000/30</f>
        <v>4.1703802904708018</v>
      </c>
      <c r="N32" s="264">
        <f>('C-75'!N32/'C-74'!N32)*1000/31</f>
        <v>4.2325256092937549</v>
      </c>
    </row>
    <row r="33" spans="1:14" ht="12.75" customHeight="1">
      <c r="A33" s="152" t="s">
        <v>45</v>
      </c>
      <c r="B33" s="642">
        <f>('C-75'!B33/'C-74'!B33)*1000/365</f>
        <v>3.9471277678959922</v>
      </c>
      <c r="C33" s="264">
        <f>('C-75'!C33/'C-74'!C33)*1000/31</f>
        <v>3.8565496462555782</v>
      </c>
      <c r="D33" s="264">
        <f>('C-75'!D33/'C-74'!D33)*1000/28</f>
        <v>4.4363581275564306</v>
      </c>
      <c r="E33" s="264">
        <f>('C-75'!E33/'C-74'!E33)*1000/31</f>
        <v>4.462921274010311</v>
      </c>
      <c r="F33" s="264">
        <f>('C-75'!F33/'C-74'!F33)*1000/30</f>
        <v>4.4223002884642844</v>
      </c>
      <c r="G33" s="264">
        <f>('C-75'!G33/'C-74'!G33)*1000/31</f>
        <v>4.1842753741403147</v>
      </c>
      <c r="H33" s="264">
        <f>('C-75'!H33/'C-74'!H33)*1000/30</f>
        <v>4.1494551758296181</v>
      </c>
      <c r="I33" s="264">
        <f>('C-75'!I33/'C-74'!I33)*1000/31</f>
        <v>3.9510607136667764</v>
      </c>
      <c r="J33" s="264">
        <f>('C-75'!J33/'C-74'!J33)*1000/31</f>
        <v>3.7297000552737556</v>
      </c>
      <c r="K33" s="264">
        <f>('C-75'!K33/'C-74'!K33)*1000/30</f>
        <v>3.5311388281685314</v>
      </c>
      <c r="L33" s="264">
        <f>('C-75'!L33/'C-74'!L33)*1000/31</f>
        <v>3.3331174298853559</v>
      </c>
      <c r="M33" s="264">
        <f>('C-75'!M33/'C-74'!M33)*1000/30</f>
        <v>3.2545631445806578</v>
      </c>
      <c r="N33" s="264">
        <f>('C-75'!N33/'C-74'!N33)*1000/31</f>
        <v>3.4350438592340953</v>
      </c>
    </row>
    <row r="34" spans="1:14" ht="12.75" customHeight="1">
      <c r="A34" s="129" t="s">
        <v>46</v>
      </c>
      <c r="B34" s="642">
        <f>('C-75'!B34/'C-74'!B34)*1000/365</f>
        <v>4.5663465458215082</v>
      </c>
      <c r="C34" s="264">
        <f>('C-75'!C34/'C-74'!C34)*1000/31</f>
        <v>4.4459707839407736</v>
      </c>
      <c r="D34" s="264">
        <f>('C-75'!D34/'C-74'!D34)*1000/28</f>
        <v>5.1869832253731971</v>
      </c>
      <c r="E34" s="264">
        <f>('C-75'!E34/'C-74'!E34)*1000/31</f>
        <v>4.9880846321661414</v>
      </c>
      <c r="F34" s="264">
        <f>('C-75'!F34/'C-74'!F34)*1000/30</f>
        <v>5.0660195443997775</v>
      </c>
      <c r="G34" s="264">
        <f>('C-75'!G34/'C-74'!G34)*1000/31</f>
        <v>4.8638775833057686</v>
      </c>
      <c r="H34" s="264">
        <f>('C-75'!H34/'C-74'!H34)*1000/30</f>
        <v>5.1730123638745606</v>
      </c>
      <c r="I34" s="264">
        <f>('C-75'!I34/'C-74'!I34)*1000/31</f>
        <v>4.3672141878208937</v>
      </c>
      <c r="J34" s="264">
        <f>('C-75'!J34/'C-74'!J34)*1000/31</f>
        <v>4.4393181547861253</v>
      </c>
      <c r="K34" s="264">
        <f>('C-75'!K34/'C-74'!K34)*1000/30</f>
        <v>4.3258600758722867</v>
      </c>
      <c r="L34" s="264">
        <f>('C-75'!L34/'C-74'!L34)*1000/31</f>
        <v>3.881678427419355</v>
      </c>
      <c r="M34" s="264">
        <f>('C-75'!M34/'C-74'!M34)*1000/30</f>
        <v>4.1997931136397222</v>
      </c>
      <c r="N34" s="264">
        <f>('C-75'!N34/'C-74'!N34)*1000/31</f>
        <v>3.9416906134036678</v>
      </c>
    </row>
    <row r="35" spans="1:14" ht="12.75" customHeight="1">
      <c r="A35" s="129" t="s">
        <v>47</v>
      </c>
      <c r="B35" s="642">
        <f>('C-75'!B35/'C-74'!B35)*1000/365</f>
        <v>3.3206344444130567</v>
      </c>
      <c r="C35" s="264">
        <f>('C-75'!C35/'C-74'!C35)*1000/31</f>
        <v>3.3276450511945392</v>
      </c>
      <c r="D35" s="264">
        <f>('C-75'!D35/'C-74'!D35)*1000/28</f>
        <v>3.4470202694501757</v>
      </c>
      <c r="E35" s="264">
        <f>('C-75'!E35/'C-74'!E35)*1000/31</f>
        <v>3.3547266051960434</v>
      </c>
      <c r="F35" s="264">
        <f>('C-75'!F35/'C-74'!F35)*1000/30</f>
        <v>3.3711790393013099</v>
      </c>
      <c r="G35" s="264">
        <f>('C-75'!G35/'C-74'!G35)*1000/31</f>
        <v>3.2734508561979769</v>
      </c>
      <c r="H35" s="264">
        <f>('C-75'!H35/'C-74'!H35)*1000/30</f>
        <v>3.2871172732524552</v>
      </c>
      <c r="I35" s="264">
        <f>('C-75'!I35/'C-74'!I35)*1000/31</f>
        <v>3.3078184800437396</v>
      </c>
      <c r="J35" s="264">
        <f>('C-75'!J35/'C-74'!J35)*1000/31</f>
        <v>3.2967632771136945</v>
      </c>
      <c r="K35" s="264">
        <f>('C-75'!K35/'C-74'!K35)*1000/30</f>
        <v>3.373083475298126</v>
      </c>
      <c r="L35" s="264">
        <f>('C-75'!L35/'C-74'!L35)*1000/31</f>
        <v>3.3408182266279645</v>
      </c>
      <c r="M35" s="264">
        <f>('C-75'!M35/'C-74'!M35)*1000/30</f>
        <v>3.2469775474956819</v>
      </c>
      <c r="N35" s="264">
        <f>('C-75'!N35/'C-74'!N35)*1000/31</f>
        <v>3.2336045332848125</v>
      </c>
    </row>
    <row r="36" spans="1:14" ht="12.75" customHeight="1">
      <c r="A36" s="129" t="s">
        <v>48</v>
      </c>
      <c r="B36" s="642">
        <f>('C-75'!B36/'C-74'!B36)*1000/365</f>
        <v>3.4338865786674795</v>
      </c>
      <c r="C36" s="264">
        <f>('C-75'!C36/'C-74'!C36)*1000/31</f>
        <v>3.786727586101394</v>
      </c>
      <c r="D36" s="264">
        <f>('C-75'!D36/'C-74'!D36)*1000/28</f>
        <v>4.4445966305985474</v>
      </c>
      <c r="E36" s="264">
        <f>('C-75'!E36/'C-74'!E36)*1000/31</f>
        <v>4.049526283776121</v>
      </c>
      <c r="F36" s="264">
        <f>('C-75'!F36/'C-74'!F36)*1000/30</f>
        <v>3.7787723785166238</v>
      </c>
      <c r="G36" s="264">
        <f>('C-75'!G36/'C-74'!G36)*1000/31</f>
        <v>3.6617540966711326</v>
      </c>
      <c r="H36" s="264">
        <f>('C-75'!H36/'C-74'!H36)*1000/30</f>
        <v>3.6710037174721188</v>
      </c>
      <c r="I36" s="264">
        <f>('C-75'!I36/'C-74'!I36)*1000/31</f>
        <v>3.4293579404466499</v>
      </c>
      <c r="J36" s="264">
        <f>('C-75'!J36/'C-74'!J36)*1000/31</f>
        <v>3.2160813794042422</v>
      </c>
      <c r="K36" s="264">
        <f>('C-75'!K36/'C-74'!K36)*1000/30</f>
        <v>2.9392242273387263</v>
      </c>
      <c r="L36" s="264">
        <f>('C-75'!L36/'C-74'!L36)*1000/31</f>
        <v>2.8607861078124084</v>
      </c>
      <c r="M36" s="264">
        <f>('C-75'!M36/'C-74'!M36)*1000/30</f>
        <v>2.778795278795279</v>
      </c>
      <c r="N36" s="264">
        <f>('C-75'!N36/'C-74'!N36)*1000/31</f>
        <v>2.7559213571327947</v>
      </c>
    </row>
    <row r="37" spans="1:14" ht="12.75" customHeight="1" thickBot="1">
      <c r="A37" s="154" t="s">
        <v>49</v>
      </c>
      <c r="B37" s="643">
        <f>('C-75'!B37/'C-74'!B37)*1000/365</f>
        <v>3.5372285244177233</v>
      </c>
      <c r="C37" s="265">
        <f>('C-75'!C37/'C-74'!C37)*1000/31</f>
        <v>3.4848128090416761</v>
      </c>
      <c r="D37" s="265">
        <f>('C-75'!D37/'C-74'!D37)*1000/28</f>
        <v>4.0682209356908157</v>
      </c>
      <c r="E37" s="265">
        <f>('C-75'!E37/'C-74'!E37)*1000/31</f>
        <v>3.6595861879023648</v>
      </c>
      <c r="F37" s="265">
        <f>('C-75'!F37/'C-74'!F37)*1000/30</f>
        <v>3.6875664187035064</v>
      </c>
      <c r="G37" s="265">
        <f>('C-75'!G37/'C-74'!G37)*1000/31</f>
        <v>3.4304543877904963</v>
      </c>
      <c r="H37" s="265">
        <f>('C-75'!H37/'C-74'!H37)*1000/30</f>
        <v>3.5145299145299145</v>
      </c>
      <c r="I37" s="265">
        <f>('C-75'!I37/'C-74'!I37)*1000/31</f>
        <v>3.3368159853728616</v>
      </c>
      <c r="J37" s="265">
        <f>('C-75'!J37/'C-74'!J37)*1000/31</f>
        <v>3.6540419109129836</v>
      </c>
      <c r="K37" s="265">
        <f>('C-75'!K37/'C-74'!K37)*1000/30</f>
        <v>3.5932085932085935</v>
      </c>
      <c r="L37" s="265">
        <f>('C-75'!L37/'C-74'!L37)*1000/31</f>
        <v>3.5857385398981321</v>
      </c>
      <c r="M37" s="265">
        <f>('C-75'!M37/'C-74'!M37)*1000/30</f>
        <v>3.2910946849700813</v>
      </c>
      <c r="N37" s="265">
        <f>('C-75'!N37/'C-74'!N37)*1000/31</f>
        <v>3.2085561497326203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</row>
    <row r="42" spans="1:14" ht="13.25" customHeight="1">
      <c r="A42" s="73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</row>
    <row r="43" spans="1:14" ht="13.25" customHeight="1">
      <c r="A43" s="73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4" ht="13.25" customHeight="1">
      <c r="A44" s="24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</row>
    <row r="45" spans="1:14" ht="13.25" customHeight="1">
      <c r="A45" s="33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</row>
    <row r="46" spans="1:14" ht="13.25" customHeight="1">
      <c r="A46" s="24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</row>
    <row r="47" spans="1:14" ht="13.25" customHeight="1">
      <c r="A47" s="73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</row>
    <row r="48" spans="1:14" ht="13.25" customHeight="1">
      <c r="A48" s="73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</row>
    <row r="49" spans="1:14" ht="13.25" customHeight="1">
      <c r="A49" s="73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</row>
    <row r="50" spans="1:14" ht="13.25" customHeight="1">
      <c r="A50" s="73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</row>
    <row r="51" spans="1:14" ht="13.25" customHeight="1">
      <c r="A51" s="73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</row>
    <row r="52" spans="1:14" ht="13.25" customHeight="1">
      <c r="A52" s="73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</row>
    <row r="53" spans="1:14" ht="13.25" customHeight="1">
      <c r="A53" s="73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</row>
    <row r="54" spans="1:14" ht="13.25" customHeight="1">
      <c r="A54" s="73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</row>
    <row r="55" spans="1:14" ht="13.25" customHeight="1"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</row>
    <row r="56" spans="1:14" ht="13.25" customHeight="1"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</row>
    <row r="57" spans="1:14" ht="13.25" customHeight="1"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</row>
    <row r="58" spans="1:14" ht="13.25" customHeight="1"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78">
    <tabColor theme="9" tint="0.59999389629810485"/>
  </sheetPr>
  <dimension ref="A4:AD54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" width="7.796875" style="129" customWidth="1"/>
    <col min="17" max="16384" width="7" style="129"/>
  </cols>
  <sheetData>
    <row r="4" spans="1:30" ht="13.25" customHeight="1">
      <c r="A4" s="249" t="s">
        <v>550</v>
      </c>
      <c r="B4" s="245"/>
    </row>
    <row r="5" spans="1:30" ht="13.25" customHeight="1">
      <c r="A5" s="253" t="s">
        <v>238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30" ht="4" customHeight="1" thickBo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P6" s="152"/>
      <c r="Q6" s="130"/>
      <c r="R6" s="128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</row>
    <row r="7" spans="1:30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Q7" s="130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 spans="1:30" ht="15" customHeight="1">
      <c r="A8" s="604" t="s">
        <v>90</v>
      </c>
      <c r="B8" s="608">
        <f>SUM(C8:N8)</f>
        <v>2139190.2200000002</v>
      </c>
      <c r="C8" s="608">
        <f>(C9+C10+C11+C12+C13+C17+C18+C19+C20+C21+C22+C23+C24+C25+C26+C27+C28+C29+C32+C33+C34+C35+C36+C37)</f>
        <v>211019</v>
      </c>
      <c r="D8" s="608">
        <f>(D9+D10+D11+D12+D13+D17+D18+D19+D20+D21+D22+D23+D24+D25+D26+D27+D28+D29+D32+D33+D34+D35+D36+D37)</f>
        <v>315426.09999999998</v>
      </c>
      <c r="E8" s="608">
        <f t="shared" ref="E8:N8" si="0">(E9+E10+E11+E12+E13+E17+E18+E19+E20+E21+E22+E23+E24+E25+E26+E27+E28+E29+E32+E33+E34+E35+E36+E37)</f>
        <v>301515</v>
      </c>
      <c r="F8" s="608">
        <f t="shared" si="0"/>
        <v>27167.42</v>
      </c>
      <c r="G8" s="608">
        <f t="shared" si="0"/>
        <v>36141.4</v>
      </c>
      <c r="H8" s="608">
        <f t="shared" si="0"/>
        <v>22020.6</v>
      </c>
      <c r="I8" s="608">
        <f t="shared" si="0"/>
        <v>2519</v>
      </c>
      <c r="J8" s="608">
        <f t="shared" si="0"/>
        <v>302</v>
      </c>
      <c r="K8" s="608">
        <f t="shared" si="0"/>
        <v>9071</v>
      </c>
      <c r="L8" s="608">
        <f t="shared" si="0"/>
        <v>63950</v>
      </c>
      <c r="M8" s="608">
        <f t="shared" si="0"/>
        <v>828271</v>
      </c>
      <c r="N8" s="608">
        <f t="shared" si="0"/>
        <v>321787.7</v>
      </c>
      <c r="P8" s="508">
        <f t="shared" ref="P8" si="1">(P9+P10+P11+P12+P13+P17+P18+P19+P20+P21+P22+P23+P24+P25+P26+P27+P28+P29+P32+P33+P34+P35+P36+P37)</f>
        <v>0</v>
      </c>
    </row>
    <row r="9" spans="1:30" ht="12.75" customHeight="1">
      <c r="A9" s="152" t="s">
        <v>21</v>
      </c>
      <c r="B9" s="630" t="s">
        <v>240</v>
      </c>
      <c r="C9" s="482">
        <v>0</v>
      </c>
      <c r="D9" s="482">
        <v>0</v>
      </c>
      <c r="E9" s="482">
        <v>0</v>
      </c>
      <c r="F9" s="482">
        <v>0</v>
      </c>
      <c r="G9" s="482">
        <v>0</v>
      </c>
      <c r="H9" s="482">
        <v>0</v>
      </c>
      <c r="I9" s="482">
        <v>0</v>
      </c>
      <c r="J9" s="482">
        <v>0</v>
      </c>
      <c r="K9" s="482">
        <v>0</v>
      </c>
      <c r="L9" s="482">
        <v>0</v>
      </c>
      <c r="M9" s="482">
        <v>0</v>
      </c>
      <c r="N9" s="482">
        <v>0</v>
      </c>
    </row>
    <row r="10" spans="1:30" ht="12.75" customHeight="1">
      <c r="A10" s="152" t="s">
        <v>22</v>
      </c>
      <c r="B10" s="631">
        <f>SUM(C10:N10)</f>
        <v>47</v>
      </c>
      <c r="C10" s="482">
        <v>0</v>
      </c>
      <c r="D10" s="482">
        <v>0</v>
      </c>
      <c r="E10" s="482">
        <v>0</v>
      </c>
      <c r="F10" s="482">
        <v>32</v>
      </c>
      <c r="G10" s="482">
        <v>15</v>
      </c>
      <c r="H10" s="482">
        <v>0</v>
      </c>
      <c r="I10" s="482">
        <v>0</v>
      </c>
      <c r="J10" s="482">
        <v>0</v>
      </c>
      <c r="K10" s="482">
        <v>0</v>
      </c>
      <c r="L10" s="482">
        <v>0</v>
      </c>
      <c r="M10" s="482">
        <v>0</v>
      </c>
      <c r="N10" s="482">
        <v>0</v>
      </c>
    </row>
    <row r="11" spans="1:30" ht="12.75" customHeight="1">
      <c r="A11" s="152" t="s">
        <v>23</v>
      </c>
      <c r="B11" s="630" t="s">
        <v>240</v>
      </c>
      <c r="C11" s="482">
        <v>0</v>
      </c>
      <c r="D11" s="482">
        <v>0</v>
      </c>
      <c r="E11" s="482">
        <v>0</v>
      </c>
      <c r="F11" s="482">
        <v>0</v>
      </c>
      <c r="G11" s="482">
        <v>0</v>
      </c>
      <c r="H11" s="482">
        <v>0</v>
      </c>
      <c r="I11" s="482">
        <v>0</v>
      </c>
      <c r="J11" s="482">
        <v>0</v>
      </c>
      <c r="K11" s="482">
        <v>0</v>
      </c>
      <c r="L11" s="482">
        <v>0</v>
      </c>
      <c r="M11" s="482">
        <v>0</v>
      </c>
      <c r="N11" s="482">
        <v>0</v>
      </c>
    </row>
    <row r="12" spans="1:30" ht="12.75" customHeight="1">
      <c r="A12" s="129" t="s">
        <v>24</v>
      </c>
      <c r="B12" s="631">
        <f>SUM(C12:N12)</f>
        <v>5297</v>
      </c>
      <c r="C12" s="482">
        <v>0</v>
      </c>
      <c r="D12" s="482">
        <v>0</v>
      </c>
      <c r="E12" s="482">
        <v>0</v>
      </c>
      <c r="F12" s="482">
        <v>63</v>
      </c>
      <c r="G12" s="482">
        <v>1285</v>
      </c>
      <c r="H12" s="482">
        <v>1309</v>
      </c>
      <c r="I12" s="482">
        <v>203</v>
      </c>
      <c r="J12" s="482">
        <v>15</v>
      </c>
      <c r="K12" s="482">
        <v>0</v>
      </c>
      <c r="L12" s="482">
        <v>230</v>
      </c>
      <c r="M12" s="482">
        <v>1192</v>
      </c>
      <c r="N12" s="482">
        <v>1000</v>
      </c>
    </row>
    <row r="13" spans="1:30" ht="12.75" customHeight="1">
      <c r="A13" s="129" t="s">
        <v>25</v>
      </c>
      <c r="B13" s="630" t="s">
        <v>240</v>
      </c>
      <c r="C13" s="482">
        <v>0</v>
      </c>
      <c r="D13" s="482">
        <v>0</v>
      </c>
      <c r="E13" s="482">
        <v>0</v>
      </c>
      <c r="F13" s="482">
        <v>0</v>
      </c>
      <c r="G13" s="482">
        <v>0</v>
      </c>
      <c r="H13" s="482">
        <v>0</v>
      </c>
      <c r="I13" s="482">
        <v>0</v>
      </c>
      <c r="J13" s="482">
        <v>0</v>
      </c>
      <c r="K13" s="482">
        <v>0</v>
      </c>
      <c r="L13" s="482">
        <v>0</v>
      </c>
      <c r="M13" s="482">
        <v>0</v>
      </c>
      <c r="N13" s="482">
        <v>0</v>
      </c>
    </row>
    <row r="14" spans="1:30" ht="12.75" customHeight="1">
      <c r="A14" s="127" t="s">
        <v>97</v>
      </c>
      <c r="B14" s="630" t="s">
        <v>240</v>
      </c>
      <c r="C14" s="482">
        <v>0</v>
      </c>
      <c r="D14" s="482">
        <v>0</v>
      </c>
      <c r="E14" s="482">
        <v>0</v>
      </c>
      <c r="F14" s="482">
        <v>0</v>
      </c>
      <c r="G14" s="482">
        <v>0</v>
      </c>
      <c r="H14" s="482">
        <v>0</v>
      </c>
      <c r="I14" s="482">
        <v>0</v>
      </c>
      <c r="J14" s="482">
        <v>0</v>
      </c>
      <c r="K14" s="482">
        <v>0</v>
      </c>
      <c r="L14" s="482">
        <v>0</v>
      </c>
      <c r="M14" s="482">
        <v>0</v>
      </c>
      <c r="N14" s="482">
        <v>0</v>
      </c>
    </row>
    <row r="15" spans="1:30" ht="12.75" customHeight="1">
      <c r="A15" s="127" t="s">
        <v>98</v>
      </c>
      <c r="B15" s="630" t="s">
        <v>240</v>
      </c>
      <c r="C15" s="482">
        <v>0</v>
      </c>
      <c r="D15" s="482">
        <v>0</v>
      </c>
      <c r="E15" s="482">
        <v>0</v>
      </c>
      <c r="F15" s="482">
        <v>0</v>
      </c>
      <c r="G15" s="482">
        <v>0</v>
      </c>
      <c r="H15" s="482">
        <v>0</v>
      </c>
      <c r="I15" s="482">
        <v>0</v>
      </c>
      <c r="J15" s="482">
        <v>0</v>
      </c>
      <c r="K15" s="482">
        <v>0</v>
      </c>
      <c r="L15" s="482">
        <v>0</v>
      </c>
      <c r="M15" s="482">
        <v>0</v>
      </c>
      <c r="N15" s="482">
        <v>0</v>
      </c>
    </row>
    <row r="16" spans="1:30" ht="12.75" customHeight="1">
      <c r="A16" s="127" t="s">
        <v>99</v>
      </c>
      <c r="B16" s="630" t="s">
        <v>240</v>
      </c>
      <c r="C16" s="482">
        <v>0</v>
      </c>
      <c r="D16" s="482">
        <v>0</v>
      </c>
      <c r="E16" s="482">
        <v>0</v>
      </c>
      <c r="F16" s="482">
        <v>0</v>
      </c>
      <c r="G16" s="482">
        <v>0</v>
      </c>
      <c r="H16" s="482">
        <v>0</v>
      </c>
      <c r="I16" s="482">
        <v>0</v>
      </c>
      <c r="J16" s="482">
        <v>0</v>
      </c>
      <c r="K16" s="482">
        <v>0</v>
      </c>
      <c r="L16" s="482">
        <v>0</v>
      </c>
      <c r="M16" s="482">
        <v>0</v>
      </c>
      <c r="N16" s="482">
        <v>0</v>
      </c>
    </row>
    <row r="17" spans="1:14" ht="12.75" customHeight="1">
      <c r="A17" s="152" t="s">
        <v>29</v>
      </c>
      <c r="B17" s="630" t="s">
        <v>240</v>
      </c>
      <c r="C17" s="482">
        <v>0</v>
      </c>
      <c r="D17" s="482">
        <v>0</v>
      </c>
      <c r="E17" s="482">
        <v>0</v>
      </c>
      <c r="F17" s="482">
        <v>0</v>
      </c>
      <c r="G17" s="482">
        <v>0</v>
      </c>
      <c r="H17" s="482">
        <v>0</v>
      </c>
      <c r="I17" s="482">
        <v>0</v>
      </c>
      <c r="J17" s="482">
        <v>0</v>
      </c>
      <c r="K17" s="482">
        <v>0</v>
      </c>
      <c r="L17" s="482">
        <v>0</v>
      </c>
      <c r="M17" s="482">
        <v>0</v>
      </c>
      <c r="N17" s="482">
        <v>0</v>
      </c>
    </row>
    <row r="18" spans="1:14" ht="12.75" customHeight="1">
      <c r="A18" s="129" t="s">
        <v>30</v>
      </c>
      <c r="B18" s="630" t="s">
        <v>240</v>
      </c>
      <c r="C18" s="482">
        <v>0</v>
      </c>
      <c r="D18" s="482">
        <v>0</v>
      </c>
      <c r="E18" s="482">
        <v>0</v>
      </c>
      <c r="F18" s="482">
        <v>0</v>
      </c>
      <c r="G18" s="482">
        <v>0</v>
      </c>
      <c r="H18" s="482">
        <v>0</v>
      </c>
      <c r="I18" s="482">
        <v>0</v>
      </c>
      <c r="J18" s="482">
        <v>0</v>
      </c>
      <c r="K18" s="482">
        <v>0</v>
      </c>
      <c r="L18" s="482">
        <v>0</v>
      </c>
      <c r="M18" s="482">
        <v>0</v>
      </c>
      <c r="N18" s="482">
        <v>0</v>
      </c>
    </row>
    <row r="19" spans="1:14" ht="12.75" customHeight="1">
      <c r="A19" s="129" t="s">
        <v>31</v>
      </c>
      <c r="B19" s="631">
        <f t="shared" ref="B19:B33" si="2">SUM(C19:N19)</f>
        <v>17102.02</v>
      </c>
      <c r="C19" s="482">
        <v>0</v>
      </c>
      <c r="D19" s="482">
        <v>0</v>
      </c>
      <c r="E19" s="482">
        <v>0</v>
      </c>
      <c r="F19" s="482">
        <v>5479.42</v>
      </c>
      <c r="G19" s="482">
        <v>7025</v>
      </c>
      <c r="H19" s="482">
        <v>2149.6</v>
      </c>
      <c r="I19" s="482">
        <v>2218</v>
      </c>
      <c r="J19" s="482">
        <v>230</v>
      </c>
      <c r="K19" s="482">
        <v>0</v>
      </c>
      <c r="L19" s="482">
        <v>0</v>
      </c>
      <c r="M19" s="482">
        <v>0</v>
      </c>
      <c r="N19" s="482">
        <v>0</v>
      </c>
    </row>
    <row r="20" spans="1:14" ht="12.75" customHeight="1">
      <c r="A20" s="152" t="s">
        <v>32</v>
      </c>
      <c r="B20" s="630" t="s">
        <v>240</v>
      </c>
      <c r="C20" s="482">
        <v>0</v>
      </c>
      <c r="D20" s="482">
        <v>0</v>
      </c>
      <c r="E20" s="482">
        <v>0</v>
      </c>
      <c r="F20" s="482">
        <v>0</v>
      </c>
      <c r="G20" s="482">
        <v>0</v>
      </c>
      <c r="H20" s="482">
        <v>0</v>
      </c>
      <c r="I20" s="482">
        <v>0</v>
      </c>
      <c r="J20" s="482">
        <v>0</v>
      </c>
      <c r="K20" s="482">
        <v>0</v>
      </c>
      <c r="L20" s="482">
        <v>0</v>
      </c>
      <c r="M20" s="482">
        <v>0</v>
      </c>
      <c r="N20" s="482">
        <v>0</v>
      </c>
    </row>
    <row r="21" spans="1:14" ht="12.75" customHeight="1">
      <c r="A21" s="152" t="s">
        <v>33</v>
      </c>
      <c r="B21" s="631">
        <f t="shared" si="2"/>
        <v>2033</v>
      </c>
      <c r="C21" s="482">
        <v>79</v>
      </c>
      <c r="D21" s="482">
        <v>248</v>
      </c>
      <c r="E21" s="482">
        <v>178</v>
      </c>
      <c r="F21" s="482">
        <v>98</v>
      </c>
      <c r="G21" s="482">
        <v>261</v>
      </c>
      <c r="H21" s="482">
        <v>157</v>
      </c>
      <c r="I21" s="482">
        <v>98</v>
      </c>
      <c r="J21" s="482">
        <v>57</v>
      </c>
      <c r="K21" s="482">
        <v>69</v>
      </c>
      <c r="L21" s="482">
        <v>251</v>
      </c>
      <c r="M21" s="482">
        <v>277</v>
      </c>
      <c r="N21" s="482">
        <v>260</v>
      </c>
    </row>
    <row r="22" spans="1:14" ht="12.75" customHeight="1">
      <c r="A22" s="152" t="s">
        <v>34</v>
      </c>
      <c r="B22" s="631">
        <f t="shared" si="2"/>
        <v>103958</v>
      </c>
      <c r="C22" s="482">
        <v>0</v>
      </c>
      <c r="D22" s="482">
        <v>0</v>
      </c>
      <c r="E22" s="482">
        <v>0</v>
      </c>
      <c r="F22" s="482">
        <v>0</v>
      </c>
      <c r="G22" s="482">
        <v>0</v>
      </c>
      <c r="H22" s="482">
        <v>0</v>
      </c>
      <c r="I22" s="482">
        <v>0</v>
      </c>
      <c r="J22" s="482">
        <v>0</v>
      </c>
      <c r="K22" s="482">
        <v>0</v>
      </c>
      <c r="L22" s="482">
        <v>13034</v>
      </c>
      <c r="M22" s="482">
        <v>49112</v>
      </c>
      <c r="N22" s="482">
        <v>41812</v>
      </c>
    </row>
    <row r="23" spans="1:14" ht="12.75" customHeight="1">
      <c r="A23" s="152" t="s">
        <v>35</v>
      </c>
      <c r="B23" s="631">
        <f t="shared" si="2"/>
        <v>63261</v>
      </c>
      <c r="C23" s="482">
        <v>0</v>
      </c>
      <c r="D23" s="482">
        <v>0</v>
      </c>
      <c r="E23" s="482">
        <v>0</v>
      </c>
      <c r="F23" s="482">
        <v>0</v>
      </c>
      <c r="G23" s="482">
        <v>0</v>
      </c>
      <c r="H23" s="482">
        <v>0</v>
      </c>
      <c r="I23" s="482">
        <v>0</v>
      </c>
      <c r="J23" s="482">
        <v>0</v>
      </c>
      <c r="K23" s="482">
        <v>7250</v>
      </c>
      <c r="L23" s="482">
        <v>25948</v>
      </c>
      <c r="M23" s="482">
        <v>26008</v>
      </c>
      <c r="N23" s="482">
        <v>4055</v>
      </c>
    </row>
    <row r="24" spans="1:14" ht="12.75" customHeight="1">
      <c r="A24" s="152" t="s">
        <v>36</v>
      </c>
      <c r="B24" s="631">
        <f t="shared" si="2"/>
        <v>53379.200000000004</v>
      </c>
      <c r="C24" s="482">
        <v>0</v>
      </c>
      <c r="D24" s="482">
        <v>7891.4</v>
      </c>
      <c r="E24" s="482">
        <v>4497</v>
      </c>
      <c r="F24" s="482">
        <v>2063</v>
      </c>
      <c r="G24" s="482">
        <v>13680.4</v>
      </c>
      <c r="H24" s="482">
        <v>18283</v>
      </c>
      <c r="I24" s="482">
        <v>0</v>
      </c>
      <c r="J24" s="482">
        <v>0</v>
      </c>
      <c r="K24" s="482">
        <v>450</v>
      </c>
      <c r="L24" s="482">
        <v>364</v>
      </c>
      <c r="M24" s="482">
        <v>203</v>
      </c>
      <c r="N24" s="482">
        <v>5947.4</v>
      </c>
    </row>
    <row r="25" spans="1:14" ht="12.75" customHeight="1">
      <c r="A25" s="129" t="s">
        <v>37</v>
      </c>
      <c r="B25" s="631">
        <f t="shared" si="2"/>
        <v>64694</v>
      </c>
      <c r="C25" s="482">
        <v>17507</v>
      </c>
      <c r="D25" s="482">
        <v>17961</v>
      </c>
      <c r="E25" s="482">
        <v>18770</v>
      </c>
      <c r="F25" s="482">
        <v>0</v>
      </c>
      <c r="G25" s="482">
        <v>0</v>
      </c>
      <c r="H25" s="482">
        <v>0</v>
      </c>
      <c r="I25" s="482">
        <v>0</v>
      </c>
      <c r="J25" s="482">
        <v>0</v>
      </c>
      <c r="K25" s="482">
        <v>0</v>
      </c>
      <c r="L25" s="482">
        <v>0</v>
      </c>
      <c r="M25" s="482">
        <v>0</v>
      </c>
      <c r="N25" s="482">
        <v>10456</v>
      </c>
    </row>
    <row r="26" spans="1:14" ht="12.75" customHeight="1">
      <c r="A26" s="152" t="s">
        <v>38</v>
      </c>
      <c r="B26" s="631">
        <f t="shared" si="2"/>
        <v>26948</v>
      </c>
      <c r="C26" s="482">
        <v>1600</v>
      </c>
      <c r="D26" s="482">
        <v>80</v>
      </c>
      <c r="E26" s="482">
        <v>1200</v>
      </c>
      <c r="F26" s="482">
        <v>1630</v>
      </c>
      <c r="G26" s="482">
        <v>0</v>
      </c>
      <c r="H26" s="482">
        <v>0</v>
      </c>
      <c r="I26" s="482">
        <v>0</v>
      </c>
      <c r="J26" s="482">
        <v>0</v>
      </c>
      <c r="K26" s="482">
        <v>1302</v>
      </c>
      <c r="L26" s="482">
        <v>465</v>
      </c>
      <c r="M26" s="482">
        <v>11641</v>
      </c>
      <c r="N26" s="482">
        <v>9030</v>
      </c>
    </row>
    <row r="27" spans="1:14" ht="12.75" customHeight="1">
      <c r="A27" s="152" t="s">
        <v>39</v>
      </c>
      <c r="B27" s="631">
        <f t="shared" si="2"/>
        <v>33817</v>
      </c>
      <c r="C27" s="482">
        <v>0</v>
      </c>
      <c r="D27" s="482">
        <v>0</v>
      </c>
      <c r="E27" s="482">
        <v>0</v>
      </c>
      <c r="F27" s="482">
        <v>0</v>
      </c>
      <c r="G27" s="482">
        <v>0</v>
      </c>
      <c r="H27" s="482">
        <v>0</v>
      </c>
      <c r="I27" s="482">
        <v>0</v>
      </c>
      <c r="J27" s="482">
        <v>0</v>
      </c>
      <c r="K27" s="482">
        <v>0</v>
      </c>
      <c r="L27" s="482">
        <v>23437</v>
      </c>
      <c r="M27" s="482">
        <v>10380</v>
      </c>
      <c r="N27" s="482">
        <v>0</v>
      </c>
    </row>
    <row r="28" spans="1:14" ht="12.75" customHeight="1">
      <c r="A28" s="152" t="s">
        <v>40</v>
      </c>
      <c r="B28" s="631">
        <f t="shared" si="2"/>
        <v>75860</v>
      </c>
      <c r="C28" s="482">
        <v>4413</v>
      </c>
      <c r="D28" s="482">
        <v>8602</v>
      </c>
      <c r="E28" s="482">
        <v>15871</v>
      </c>
      <c r="F28" s="482">
        <v>15599</v>
      </c>
      <c r="G28" s="482">
        <v>13342</v>
      </c>
      <c r="H28" s="482">
        <v>122</v>
      </c>
      <c r="I28" s="482">
        <v>0</v>
      </c>
      <c r="J28" s="482">
        <v>0</v>
      </c>
      <c r="K28" s="482">
        <v>0</v>
      </c>
      <c r="L28" s="482">
        <v>221</v>
      </c>
      <c r="M28" s="482">
        <v>15650</v>
      </c>
      <c r="N28" s="482">
        <v>2040</v>
      </c>
    </row>
    <row r="29" spans="1:14" ht="12.75" customHeight="1">
      <c r="A29" s="129" t="s">
        <v>41</v>
      </c>
      <c r="B29" s="631">
        <f t="shared" si="2"/>
        <v>39084</v>
      </c>
      <c r="C29" s="482">
        <v>4430</v>
      </c>
      <c r="D29" s="482">
        <v>12873.7</v>
      </c>
      <c r="E29" s="482">
        <v>9979</v>
      </c>
      <c r="F29" s="482">
        <v>2203</v>
      </c>
      <c r="G29" s="482">
        <v>533</v>
      </c>
      <c r="H29" s="482">
        <v>0</v>
      </c>
      <c r="I29" s="482">
        <v>0</v>
      </c>
      <c r="J29" s="482">
        <v>0</v>
      </c>
      <c r="K29" s="482">
        <v>0</v>
      </c>
      <c r="L29" s="482">
        <v>0</v>
      </c>
      <c r="M29" s="482">
        <v>1198</v>
      </c>
      <c r="N29" s="482">
        <v>7867.3</v>
      </c>
    </row>
    <row r="30" spans="1:14" ht="12.75" customHeight="1">
      <c r="A30" s="127" t="s">
        <v>100</v>
      </c>
      <c r="B30" s="631">
        <f t="shared" si="2"/>
        <v>30571.3</v>
      </c>
      <c r="C30" s="482">
        <v>2020</v>
      </c>
      <c r="D30" s="482">
        <v>9943</v>
      </c>
      <c r="E30" s="482">
        <v>7745</v>
      </c>
      <c r="F30" s="482">
        <v>1798</v>
      </c>
      <c r="G30" s="482">
        <v>0</v>
      </c>
      <c r="H30" s="482">
        <v>0</v>
      </c>
      <c r="I30" s="482">
        <v>0</v>
      </c>
      <c r="J30" s="482">
        <v>0</v>
      </c>
      <c r="K30" s="482">
        <v>0</v>
      </c>
      <c r="L30" s="482">
        <v>0</v>
      </c>
      <c r="M30" s="482">
        <v>1198</v>
      </c>
      <c r="N30" s="482">
        <v>7867.3</v>
      </c>
    </row>
    <row r="31" spans="1:14" ht="12.75" customHeight="1">
      <c r="A31" s="127" t="s">
        <v>101</v>
      </c>
      <c r="B31" s="631">
        <f t="shared" si="2"/>
        <v>8512.7000000000007</v>
      </c>
      <c r="C31" s="482">
        <v>2410</v>
      </c>
      <c r="D31" s="482">
        <v>2930.7</v>
      </c>
      <c r="E31" s="482">
        <v>2234</v>
      </c>
      <c r="F31" s="482">
        <v>405</v>
      </c>
      <c r="G31" s="482">
        <v>533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</row>
    <row r="32" spans="1:14" ht="12.75" customHeight="1">
      <c r="A32" s="152" t="s">
        <v>44</v>
      </c>
      <c r="B32" s="631">
        <f t="shared" si="2"/>
        <v>352595</v>
      </c>
      <c r="C32" s="482">
        <v>106850</v>
      </c>
      <c r="D32" s="482">
        <v>34850</v>
      </c>
      <c r="E32" s="482">
        <v>1525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93520</v>
      </c>
      <c r="N32" s="482">
        <v>115850</v>
      </c>
    </row>
    <row r="33" spans="1:14" ht="12.75" customHeight="1">
      <c r="A33" s="152" t="s">
        <v>45</v>
      </c>
      <c r="B33" s="631">
        <f t="shared" si="2"/>
        <v>1301115</v>
      </c>
      <c r="C33" s="482">
        <v>76140</v>
      </c>
      <c r="D33" s="482">
        <v>232920</v>
      </c>
      <c r="E33" s="482">
        <v>249495</v>
      </c>
      <c r="F33" s="482">
        <v>0</v>
      </c>
      <c r="G33" s="482">
        <v>0</v>
      </c>
      <c r="H33" s="482">
        <v>0</v>
      </c>
      <c r="I33" s="482">
        <v>0</v>
      </c>
      <c r="J33" s="482">
        <v>0</v>
      </c>
      <c r="K33" s="482">
        <v>0</v>
      </c>
      <c r="L33" s="482">
        <v>0</v>
      </c>
      <c r="M33" s="482">
        <v>619090</v>
      </c>
      <c r="N33" s="482">
        <v>123470</v>
      </c>
    </row>
    <row r="34" spans="1:14" ht="12.75" customHeight="1">
      <c r="A34" s="129" t="s">
        <v>46</v>
      </c>
      <c r="B34" s="630" t="s">
        <v>240</v>
      </c>
      <c r="C34" s="482">
        <v>0</v>
      </c>
      <c r="D34" s="482">
        <v>0</v>
      </c>
      <c r="E34" s="482">
        <v>0</v>
      </c>
      <c r="F34" s="482">
        <v>0</v>
      </c>
      <c r="G34" s="482">
        <v>0</v>
      </c>
      <c r="H34" s="482">
        <v>0</v>
      </c>
      <c r="I34" s="482">
        <v>0</v>
      </c>
      <c r="J34" s="482">
        <v>0</v>
      </c>
      <c r="K34" s="482">
        <v>0</v>
      </c>
      <c r="L34" s="482">
        <v>0</v>
      </c>
      <c r="M34" s="482">
        <v>0</v>
      </c>
      <c r="N34" s="482">
        <v>0</v>
      </c>
    </row>
    <row r="35" spans="1:14" ht="12.75" customHeight="1">
      <c r="A35" s="129" t="s">
        <v>47</v>
      </c>
      <c r="B35" s="630" t="s">
        <v>240</v>
      </c>
      <c r="C35" s="482">
        <v>0</v>
      </c>
      <c r="D35" s="482">
        <v>0</v>
      </c>
      <c r="E35" s="482">
        <v>0</v>
      </c>
      <c r="F35" s="482">
        <v>0</v>
      </c>
      <c r="G35" s="482">
        <v>0</v>
      </c>
      <c r="H35" s="482">
        <v>0</v>
      </c>
      <c r="I35" s="482">
        <v>0</v>
      </c>
      <c r="J35" s="482">
        <v>0</v>
      </c>
      <c r="K35" s="482">
        <v>0</v>
      </c>
      <c r="L35" s="482">
        <v>0</v>
      </c>
      <c r="M35" s="482">
        <v>0</v>
      </c>
      <c r="N35" s="482">
        <v>0</v>
      </c>
    </row>
    <row r="36" spans="1:14" ht="12.75" customHeight="1">
      <c r="A36" s="129" t="s">
        <v>48</v>
      </c>
      <c r="B36" s="630" t="s">
        <v>240</v>
      </c>
      <c r="C36" s="482">
        <v>0</v>
      </c>
      <c r="D36" s="482">
        <v>0</v>
      </c>
      <c r="E36" s="482">
        <v>0</v>
      </c>
      <c r="F36" s="482">
        <v>0</v>
      </c>
      <c r="G36" s="482">
        <v>0</v>
      </c>
      <c r="H36" s="482">
        <v>0</v>
      </c>
      <c r="I36" s="482">
        <v>0</v>
      </c>
      <c r="J36" s="482">
        <v>0</v>
      </c>
      <c r="K36" s="482">
        <v>0</v>
      </c>
      <c r="L36" s="482">
        <v>0</v>
      </c>
      <c r="M36" s="482">
        <v>0</v>
      </c>
      <c r="N36" s="482">
        <v>0</v>
      </c>
    </row>
    <row r="37" spans="1:14" ht="12.75" customHeight="1" thickBot="1">
      <c r="A37" s="154" t="s">
        <v>49</v>
      </c>
      <c r="B37" s="632" t="s">
        <v>240</v>
      </c>
      <c r="C37" s="483">
        <v>0</v>
      </c>
      <c r="D37" s="483">
        <v>0</v>
      </c>
      <c r="E37" s="483">
        <v>0</v>
      </c>
      <c r="F37" s="483">
        <v>0</v>
      </c>
      <c r="G37" s="483">
        <v>0</v>
      </c>
      <c r="H37" s="483">
        <v>0</v>
      </c>
      <c r="I37" s="483">
        <v>0</v>
      </c>
      <c r="J37" s="483">
        <v>0</v>
      </c>
      <c r="K37" s="483">
        <v>0</v>
      </c>
      <c r="L37" s="483">
        <v>0</v>
      </c>
      <c r="M37" s="483">
        <v>0</v>
      </c>
      <c r="N37" s="483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  <row r="49" spans="1:1" ht="13.25" customHeight="1">
      <c r="A49" s="73"/>
    </row>
    <row r="50" spans="1:1" ht="13.25" customHeight="1">
      <c r="A50" s="73"/>
    </row>
    <row r="51" spans="1:1" ht="13.25" customHeight="1">
      <c r="A51" s="73"/>
    </row>
    <row r="52" spans="1:1" ht="13.25" customHeight="1">
      <c r="A52" s="73"/>
    </row>
    <row r="53" spans="1:1" ht="13.25" customHeight="1">
      <c r="A53" s="73"/>
    </row>
    <row r="54" spans="1:1" ht="13.25" customHeight="1">
      <c r="A54" s="73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79">
    <tabColor theme="9" tint="0.59999389629810485"/>
  </sheetPr>
  <dimension ref="A4:N4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551</v>
      </c>
      <c r="B4" s="245"/>
    </row>
    <row r="5" spans="1:14" ht="13.25" customHeight="1">
      <c r="A5" s="253" t="s">
        <v>236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4" ht="4" customHeight="1" thickBot="1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8">
        <f>SUM(C8:N8)</f>
        <v>4422.2693860000008</v>
      </c>
      <c r="C8" s="608">
        <f>(C9+C10+C11+C12+C13+C17+C18+C19+C20+C21+C22+C23+C24+C25+C26+C27+C28+C29+C32+C33+C34+C35+C36+C37)</f>
        <v>436.20000000000005</v>
      </c>
      <c r="D8" s="608">
        <f t="shared" ref="D8:N8" si="0">(D9+D10+D11+D12+D13+D17+D18+D19+D20+D21+D22+D23+D24+D25+D26+D27+D28+D29+D32+D33+D34+D35+D36+D37)</f>
        <v>618</v>
      </c>
      <c r="E8" s="608">
        <f t="shared" si="0"/>
        <v>592</v>
      </c>
      <c r="F8" s="608">
        <f t="shared" si="0"/>
        <v>50.245646000000001</v>
      </c>
      <c r="G8" s="608">
        <f t="shared" si="0"/>
        <v>67.323740000000001</v>
      </c>
      <c r="H8" s="608">
        <f t="shared" si="0"/>
        <v>43.400000000000006</v>
      </c>
      <c r="I8" s="608">
        <f t="shared" si="0"/>
        <v>4.3999999999999995</v>
      </c>
      <c r="J8" s="608">
        <f t="shared" si="0"/>
        <v>0.6</v>
      </c>
      <c r="K8" s="608">
        <f t="shared" si="0"/>
        <v>21.7</v>
      </c>
      <c r="L8" s="608">
        <f t="shared" si="0"/>
        <v>181.4</v>
      </c>
      <c r="M8" s="608">
        <f t="shared" si="0"/>
        <v>1752.2000000000003</v>
      </c>
      <c r="N8" s="608">
        <f t="shared" si="0"/>
        <v>654.79999999999995</v>
      </c>
    </row>
    <row r="9" spans="1:14" ht="12.75" customHeight="1">
      <c r="A9" s="152" t="s">
        <v>21</v>
      </c>
      <c r="B9" s="639" t="s">
        <v>240</v>
      </c>
      <c r="C9" s="262">
        <v>0</v>
      </c>
      <c r="D9" s="262">
        <v>0</v>
      </c>
      <c r="E9" s="262">
        <v>0</v>
      </c>
      <c r="F9" s="262">
        <v>0</v>
      </c>
      <c r="G9" s="262">
        <v>0</v>
      </c>
      <c r="H9" s="262">
        <v>0</v>
      </c>
      <c r="I9" s="262">
        <v>0</v>
      </c>
      <c r="J9" s="262">
        <v>0</v>
      </c>
      <c r="K9" s="262">
        <v>0</v>
      </c>
      <c r="L9" s="262">
        <v>0</v>
      </c>
      <c r="M9" s="262">
        <v>0</v>
      </c>
      <c r="N9" s="262">
        <v>0</v>
      </c>
    </row>
    <row r="10" spans="1:14" ht="12.75" customHeight="1">
      <c r="A10" s="152" t="s">
        <v>22</v>
      </c>
      <c r="B10" s="639">
        <f>SUM(C10:N10)</f>
        <v>6.9386000000000003E-2</v>
      </c>
      <c r="C10" s="262">
        <v>0</v>
      </c>
      <c r="D10" s="262">
        <v>0</v>
      </c>
      <c r="E10" s="262">
        <v>0</v>
      </c>
      <c r="F10" s="262">
        <v>4.5645999999999999E-2</v>
      </c>
      <c r="G10" s="262">
        <v>2.3740000000000001E-2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</row>
    <row r="11" spans="1:14" ht="12.75" customHeight="1">
      <c r="A11" s="152" t="s">
        <v>23</v>
      </c>
      <c r="B11" s="639" t="s">
        <v>240</v>
      </c>
      <c r="C11" s="262">
        <v>0</v>
      </c>
      <c r="D11" s="262">
        <v>0</v>
      </c>
      <c r="E11" s="262">
        <v>0</v>
      </c>
      <c r="F11" s="262">
        <v>0</v>
      </c>
      <c r="G11" s="262">
        <v>0</v>
      </c>
      <c r="H11" s="262">
        <v>0</v>
      </c>
      <c r="I11" s="262">
        <v>0</v>
      </c>
      <c r="J11" s="262">
        <v>0</v>
      </c>
      <c r="K11" s="262">
        <v>0</v>
      </c>
      <c r="L11" s="262">
        <v>0</v>
      </c>
      <c r="M11" s="262">
        <v>0</v>
      </c>
      <c r="N11" s="262">
        <v>0</v>
      </c>
    </row>
    <row r="12" spans="1:14" ht="12.75" customHeight="1">
      <c r="A12" s="129" t="s">
        <v>24</v>
      </c>
      <c r="B12" s="640">
        <f>SUM(C12:N12)</f>
        <v>18.299999999999997</v>
      </c>
      <c r="C12" s="262">
        <v>0</v>
      </c>
      <c r="D12" s="262">
        <v>0</v>
      </c>
      <c r="E12" s="262">
        <v>0</v>
      </c>
      <c r="F12" s="262">
        <v>0.2</v>
      </c>
      <c r="G12" s="262">
        <v>4.0999999999999996</v>
      </c>
      <c r="H12" s="262">
        <v>4.5</v>
      </c>
      <c r="I12" s="262">
        <v>0.7</v>
      </c>
      <c r="J12" s="262">
        <v>0.1</v>
      </c>
      <c r="K12" s="262">
        <v>0</v>
      </c>
      <c r="L12" s="262">
        <v>0.7</v>
      </c>
      <c r="M12" s="262">
        <v>4.0999999999999996</v>
      </c>
      <c r="N12" s="262">
        <v>3.9</v>
      </c>
    </row>
    <row r="13" spans="1:14" ht="12.75" customHeight="1">
      <c r="A13" s="129" t="s">
        <v>25</v>
      </c>
      <c r="B13" s="639" t="s">
        <v>240</v>
      </c>
      <c r="C13" s="262">
        <v>0</v>
      </c>
      <c r="D13" s="262">
        <v>0</v>
      </c>
      <c r="E13" s="262">
        <v>0</v>
      </c>
      <c r="F13" s="262">
        <v>0</v>
      </c>
      <c r="G13" s="262">
        <v>0</v>
      </c>
      <c r="H13" s="262">
        <v>0</v>
      </c>
      <c r="I13" s="262">
        <v>0</v>
      </c>
      <c r="J13" s="262">
        <v>0</v>
      </c>
      <c r="K13" s="262">
        <v>0</v>
      </c>
      <c r="L13" s="262">
        <v>0</v>
      </c>
      <c r="M13" s="262">
        <v>0</v>
      </c>
      <c r="N13" s="262">
        <v>0</v>
      </c>
    </row>
    <row r="14" spans="1:14" ht="12.75" customHeight="1">
      <c r="A14" s="127" t="s">
        <v>97</v>
      </c>
      <c r="B14" s="639" t="s">
        <v>240</v>
      </c>
      <c r="C14" s="262">
        <v>0</v>
      </c>
      <c r="D14" s="262">
        <v>0</v>
      </c>
      <c r="E14" s="262">
        <v>0</v>
      </c>
      <c r="F14" s="262">
        <v>0</v>
      </c>
      <c r="G14" s="262">
        <v>0</v>
      </c>
      <c r="H14" s="262">
        <v>0</v>
      </c>
      <c r="I14" s="262">
        <v>0</v>
      </c>
      <c r="J14" s="262">
        <v>0</v>
      </c>
      <c r="K14" s="262">
        <v>0</v>
      </c>
      <c r="L14" s="262">
        <v>0</v>
      </c>
      <c r="M14" s="262">
        <v>0</v>
      </c>
      <c r="N14" s="262">
        <v>0</v>
      </c>
    </row>
    <row r="15" spans="1:14" ht="12.75" customHeight="1">
      <c r="A15" s="127" t="s">
        <v>98</v>
      </c>
      <c r="B15" s="639" t="s">
        <v>240</v>
      </c>
      <c r="C15" s="262">
        <v>0</v>
      </c>
      <c r="D15" s="262">
        <v>0</v>
      </c>
      <c r="E15" s="262">
        <v>0</v>
      </c>
      <c r="F15" s="262">
        <v>0</v>
      </c>
      <c r="G15" s="262">
        <v>0</v>
      </c>
      <c r="H15" s="262">
        <v>0</v>
      </c>
      <c r="I15" s="262">
        <v>0</v>
      </c>
      <c r="J15" s="262">
        <v>0</v>
      </c>
      <c r="K15" s="262">
        <v>0</v>
      </c>
      <c r="L15" s="262">
        <v>0</v>
      </c>
      <c r="M15" s="262">
        <v>0</v>
      </c>
      <c r="N15" s="262">
        <v>0</v>
      </c>
    </row>
    <row r="16" spans="1:14" ht="12.75" customHeight="1">
      <c r="A16" s="127" t="s">
        <v>99</v>
      </c>
      <c r="B16" s="639" t="s">
        <v>240</v>
      </c>
      <c r="C16" s="262">
        <v>0</v>
      </c>
      <c r="D16" s="262">
        <v>0</v>
      </c>
      <c r="E16" s="262">
        <v>0</v>
      </c>
      <c r="F16" s="262">
        <v>0</v>
      </c>
      <c r="G16" s="262">
        <v>0</v>
      </c>
      <c r="H16" s="262">
        <v>0</v>
      </c>
      <c r="I16" s="262">
        <v>0</v>
      </c>
      <c r="J16" s="262">
        <v>0</v>
      </c>
      <c r="K16" s="262">
        <v>0</v>
      </c>
      <c r="L16" s="262">
        <v>0</v>
      </c>
      <c r="M16" s="262">
        <v>0</v>
      </c>
      <c r="N16" s="262">
        <v>0</v>
      </c>
    </row>
    <row r="17" spans="1:14" ht="12.75" customHeight="1">
      <c r="A17" s="152" t="s">
        <v>29</v>
      </c>
      <c r="B17" s="639" t="s">
        <v>240</v>
      </c>
      <c r="C17" s="262">
        <v>0</v>
      </c>
      <c r="D17" s="262">
        <v>0</v>
      </c>
      <c r="E17" s="262">
        <v>0</v>
      </c>
      <c r="F17" s="262">
        <v>0</v>
      </c>
      <c r="G17" s="262">
        <v>0</v>
      </c>
      <c r="H17" s="262">
        <v>0</v>
      </c>
      <c r="I17" s="262">
        <v>0</v>
      </c>
      <c r="J17" s="262">
        <v>0</v>
      </c>
      <c r="K17" s="262">
        <v>0</v>
      </c>
      <c r="L17" s="262">
        <v>0</v>
      </c>
      <c r="M17" s="262">
        <v>0</v>
      </c>
      <c r="N17" s="262">
        <v>0</v>
      </c>
    </row>
    <row r="18" spans="1:14" ht="12.75" customHeight="1">
      <c r="A18" s="129" t="s">
        <v>30</v>
      </c>
      <c r="B18" s="639" t="s">
        <v>240</v>
      </c>
      <c r="C18" s="262">
        <v>0</v>
      </c>
      <c r="D18" s="262">
        <v>0</v>
      </c>
      <c r="E18" s="262">
        <v>0</v>
      </c>
      <c r="F18" s="262">
        <v>0</v>
      </c>
      <c r="G18" s="262">
        <v>0</v>
      </c>
      <c r="H18" s="262">
        <v>0</v>
      </c>
      <c r="I18" s="262">
        <v>0</v>
      </c>
      <c r="J18" s="262">
        <v>0</v>
      </c>
      <c r="K18" s="262">
        <v>0</v>
      </c>
      <c r="L18" s="262">
        <v>0</v>
      </c>
      <c r="M18" s="262">
        <v>0</v>
      </c>
      <c r="N18" s="262">
        <v>0</v>
      </c>
    </row>
    <row r="19" spans="1:14" ht="12.75" customHeight="1">
      <c r="A19" s="129" t="s">
        <v>31</v>
      </c>
      <c r="B19" s="640">
        <f>SUM(C19:N19)</f>
        <v>27.7</v>
      </c>
      <c r="C19" s="262">
        <v>0</v>
      </c>
      <c r="D19" s="262">
        <v>0</v>
      </c>
      <c r="E19" s="262">
        <v>0</v>
      </c>
      <c r="F19" s="262">
        <v>8.9</v>
      </c>
      <c r="G19" s="262">
        <v>11.4</v>
      </c>
      <c r="H19" s="262">
        <v>3.6</v>
      </c>
      <c r="I19" s="262">
        <v>3.4</v>
      </c>
      <c r="J19" s="262">
        <v>0.4</v>
      </c>
      <c r="K19" s="262">
        <v>0</v>
      </c>
      <c r="L19" s="262">
        <v>0</v>
      </c>
      <c r="M19" s="262">
        <v>0</v>
      </c>
      <c r="N19" s="262">
        <v>0</v>
      </c>
    </row>
    <row r="20" spans="1:14" ht="12.75" customHeight="1">
      <c r="A20" s="152" t="s">
        <v>32</v>
      </c>
      <c r="B20" s="639" t="s">
        <v>240</v>
      </c>
      <c r="C20" s="262">
        <v>0</v>
      </c>
      <c r="D20" s="262">
        <v>0</v>
      </c>
      <c r="E20" s="262">
        <v>0</v>
      </c>
      <c r="F20" s="262">
        <v>0</v>
      </c>
      <c r="G20" s="262">
        <v>0</v>
      </c>
      <c r="H20" s="262">
        <v>0</v>
      </c>
      <c r="I20" s="262">
        <v>0</v>
      </c>
      <c r="J20" s="262">
        <v>0</v>
      </c>
      <c r="K20" s="262">
        <v>0</v>
      </c>
      <c r="L20" s="262">
        <v>0</v>
      </c>
      <c r="M20" s="262">
        <v>0</v>
      </c>
      <c r="N20" s="262">
        <v>0</v>
      </c>
    </row>
    <row r="21" spans="1:14" ht="12.75" customHeight="1">
      <c r="A21" s="152" t="s">
        <v>33</v>
      </c>
      <c r="B21" s="640">
        <f t="shared" ref="B21:B33" si="1">SUM(C21:N21)</f>
        <v>5.3</v>
      </c>
      <c r="C21" s="262">
        <v>0.2</v>
      </c>
      <c r="D21" s="262">
        <v>0.7</v>
      </c>
      <c r="E21" s="262">
        <v>0.4</v>
      </c>
      <c r="F21" s="262">
        <v>0.2</v>
      </c>
      <c r="G21" s="262">
        <v>0.7</v>
      </c>
      <c r="H21" s="262">
        <v>0.4</v>
      </c>
      <c r="I21" s="262">
        <v>0.3</v>
      </c>
      <c r="J21" s="262">
        <v>0.1</v>
      </c>
      <c r="K21" s="262">
        <v>0.2</v>
      </c>
      <c r="L21" s="262">
        <v>0.7</v>
      </c>
      <c r="M21" s="262">
        <v>0.7</v>
      </c>
      <c r="N21" s="262">
        <v>0.7</v>
      </c>
    </row>
    <row r="22" spans="1:14" ht="12.75" customHeight="1">
      <c r="A22" s="152" t="s">
        <v>34</v>
      </c>
      <c r="B22" s="640">
        <f t="shared" si="1"/>
        <v>187.7</v>
      </c>
      <c r="C22" s="262">
        <v>0</v>
      </c>
      <c r="D22" s="262">
        <v>0</v>
      </c>
      <c r="E22" s="262">
        <v>0</v>
      </c>
      <c r="F22" s="262">
        <v>0</v>
      </c>
      <c r="G22" s="262">
        <v>0</v>
      </c>
      <c r="H22" s="262">
        <v>0</v>
      </c>
      <c r="I22" s="262">
        <v>0</v>
      </c>
      <c r="J22" s="262">
        <v>0</v>
      </c>
      <c r="K22" s="262">
        <v>0</v>
      </c>
      <c r="L22" s="262">
        <v>28.1</v>
      </c>
      <c r="M22" s="262">
        <v>96.9</v>
      </c>
      <c r="N22" s="262">
        <v>62.7</v>
      </c>
    </row>
    <row r="23" spans="1:14" ht="12.75" customHeight="1">
      <c r="A23" s="152" t="s">
        <v>35</v>
      </c>
      <c r="B23" s="640">
        <f t="shared" si="1"/>
        <v>168.4</v>
      </c>
      <c r="C23" s="262">
        <v>0</v>
      </c>
      <c r="D23" s="262">
        <v>0</v>
      </c>
      <c r="E23" s="262">
        <v>0</v>
      </c>
      <c r="F23" s="262">
        <v>0</v>
      </c>
      <c r="G23" s="262">
        <v>0</v>
      </c>
      <c r="H23" s="262">
        <v>0</v>
      </c>
      <c r="I23" s="262">
        <v>0</v>
      </c>
      <c r="J23" s="262">
        <v>0</v>
      </c>
      <c r="K23" s="262">
        <v>17.7</v>
      </c>
      <c r="L23" s="262">
        <v>71.2</v>
      </c>
      <c r="M23" s="262">
        <v>70.400000000000006</v>
      </c>
      <c r="N23" s="262">
        <v>9.1</v>
      </c>
    </row>
    <row r="24" spans="1:14" ht="12.75" customHeight="1">
      <c r="A24" s="152" t="s">
        <v>36</v>
      </c>
      <c r="B24" s="640">
        <f t="shared" si="1"/>
        <v>99.5</v>
      </c>
      <c r="C24" s="262">
        <v>0</v>
      </c>
      <c r="D24" s="262">
        <v>15.4</v>
      </c>
      <c r="E24" s="262">
        <v>8.6</v>
      </c>
      <c r="F24" s="262">
        <v>3.6</v>
      </c>
      <c r="G24" s="262">
        <v>25</v>
      </c>
      <c r="H24" s="262">
        <v>34.700000000000003</v>
      </c>
      <c r="I24" s="262">
        <v>0</v>
      </c>
      <c r="J24" s="262">
        <v>0</v>
      </c>
      <c r="K24" s="262">
        <v>0.8</v>
      </c>
      <c r="L24" s="262">
        <v>0.6</v>
      </c>
      <c r="M24" s="262">
        <v>0.3</v>
      </c>
      <c r="N24" s="262">
        <v>10.5</v>
      </c>
    </row>
    <row r="25" spans="1:14" ht="12.75" customHeight="1">
      <c r="A25" s="129" t="s">
        <v>37</v>
      </c>
      <c r="B25" s="640">
        <f t="shared" si="1"/>
        <v>127.7</v>
      </c>
      <c r="C25" s="262">
        <v>34.5</v>
      </c>
      <c r="D25" s="262">
        <v>35.4</v>
      </c>
      <c r="E25" s="262">
        <v>37.1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20.7</v>
      </c>
    </row>
    <row r="26" spans="1:14" ht="12.75" customHeight="1">
      <c r="A26" s="152" t="s">
        <v>38</v>
      </c>
      <c r="B26" s="640">
        <f t="shared" si="1"/>
        <v>54.9</v>
      </c>
      <c r="C26" s="262">
        <v>2.6</v>
      </c>
      <c r="D26" s="262">
        <v>0.1</v>
      </c>
      <c r="E26" s="262">
        <v>1.9</v>
      </c>
      <c r="F26" s="262">
        <v>2.7</v>
      </c>
      <c r="G26" s="262">
        <v>0</v>
      </c>
      <c r="H26" s="262">
        <v>0</v>
      </c>
      <c r="I26" s="262">
        <v>0</v>
      </c>
      <c r="J26" s="262">
        <v>0</v>
      </c>
      <c r="K26" s="262">
        <v>3</v>
      </c>
      <c r="L26" s="262">
        <v>1.4</v>
      </c>
      <c r="M26" s="262">
        <v>25.3</v>
      </c>
      <c r="N26" s="262">
        <v>17.899999999999999</v>
      </c>
    </row>
    <row r="27" spans="1:14" ht="12.75" customHeight="1">
      <c r="A27" s="152" t="s">
        <v>39</v>
      </c>
      <c r="B27" s="640">
        <f t="shared" si="1"/>
        <v>111.19999999999999</v>
      </c>
      <c r="C27" s="262">
        <v>0</v>
      </c>
      <c r="D27" s="262">
        <v>0</v>
      </c>
      <c r="E27" s="262">
        <v>0</v>
      </c>
      <c r="F27" s="262">
        <v>0</v>
      </c>
      <c r="G27" s="262">
        <v>0</v>
      </c>
      <c r="H27" s="262">
        <v>0</v>
      </c>
      <c r="I27" s="262">
        <v>0</v>
      </c>
      <c r="J27" s="262">
        <v>0</v>
      </c>
      <c r="K27" s="262">
        <v>0</v>
      </c>
      <c r="L27" s="262">
        <v>78.099999999999994</v>
      </c>
      <c r="M27" s="262">
        <v>33.1</v>
      </c>
      <c r="N27" s="262">
        <v>0</v>
      </c>
    </row>
    <row r="28" spans="1:14" ht="12.75" customHeight="1">
      <c r="A28" s="152" t="s">
        <v>40</v>
      </c>
      <c r="B28" s="640">
        <f t="shared" si="1"/>
        <v>144.6</v>
      </c>
      <c r="C28" s="262">
        <v>8.1</v>
      </c>
      <c r="D28" s="262">
        <v>14.7</v>
      </c>
      <c r="E28" s="262">
        <v>29.9</v>
      </c>
      <c r="F28" s="262">
        <v>30.6</v>
      </c>
      <c r="G28" s="262">
        <v>25.2</v>
      </c>
      <c r="H28" s="262">
        <v>0.2</v>
      </c>
      <c r="I28" s="262">
        <v>0</v>
      </c>
      <c r="J28" s="262">
        <v>0</v>
      </c>
      <c r="K28" s="262">
        <v>0</v>
      </c>
      <c r="L28" s="262">
        <v>0.6</v>
      </c>
      <c r="M28" s="262">
        <v>31.7</v>
      </c>
      <c r="N28" s="262">
        <v>3.6</v>
      </c>
    </row>
    <row r="29" spans="1:14" ht="12.75" customHeight="1">
      <c r="A29" s="129" t="s">
        <v>41</v>
      </c>
      <c r="B29" s="640">
        <f t="shared" si="1"/>
        <v>76.8</v>
      </c>
      <c r="C29" s="262">
        <v>8.5</v>
      </c>
      <c r="D29" s="262">
        <v>25.5</v>
      </c>
      <c r="E29" s="262">
        <v>19.399999999999999</v>
      </c>
      <c r="F29" s="262">
        <v>4</v>
      </c>
      <c r="G29" s="262">
        <v>0.9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2.1</v>
      </c>
      <c r="N29" s="262">
        <v>16.399999999999999</v>
      </c>
    </row>
    <row r="30" spans="1:14" ht="12.75" customHeight="1">
      <c r="A30" s="127" t="s">
        <v>100</v>
      </c>
      <c r="B30" s="640">
        <f t="shared" si="1"/>
        <v>61.599999999999994</v>
      </c>
      <c r="C30" s="262">
        <v>4.0999999999999996</v>
      </c>
      <c r="D30" s="262">
        <v>20.3</v>
      </c>
      <c r="E30" s="262">
        <v>15.4</v>
      </c>
      <c r="F30" s="262">
        <v>3.3</v>
      </c>
      <c r="G30" s="262">
        <v>0</v>
      </c>
      <c r="H30" s="262">
        <v>0</v>
      </c>
      <c r="I30" s="262">
        <v>0</v>
      </c>
      <c r="J30" s="262">
        <v>0</v>
      </c>
      <c r="K30" s="262">
        <v>0</v>
      </c>
      <c r="L30" s="262">
        <v>0</v>
      </c>
      <c r="M30" s="262">
        <v>2.1</v>
      </c>
      <c r="N30" s="262">
        <v>16.399999999999999</v>
      </c>
    </row>
    <row r="31" spans="1:14" ht="12.75" customHeight="1">
      <c r="A31" s="127" t="s">
        <v>101</v>
      </c>
      <c r="B31" s="640">
        <f t="shared" si="1"/>
        <v>15.1</v>
      </c>
      <c r="C31" s="262">
        <v>4.4000000000000004</v>
      </c>
      <c r="D31" s="262">
        <v>5.0999999999999996</v>
      </c>
      <c r="E31" s="262">
        <v>4</v>
      </c>
      <c r="F31" s="262">
        <v>0.7</v>
      </c>
      <c r="G31" s="262">
        <v>0.9</v>
      </c>
      <c r="H31" s="262">
        <v>0</v>
      </c>
      <c r="I31" s="262">
        <v>0</v>
      </c>
      <c r="J31" s="262">
        <v>0</v>
      </c>
      <c r="K31" s="262">
        <v>0</v>
      </c>
      <c r="L31" s="262">
        <v>0</v>
      </c>
      <c r="M31" s="262">
        <v>0</v>
      </c>
      <c r="N31" s="262">
        <v>0</v>
      </c>
    </row>
    <row r="32" spans="1:14" ht="12.75" customHeight="1">
      <c r="A32" s="152" t="s">
        <v>44</v>
      </c>
      <c r="B32" s="640">
        <f t="shared" si="1"/>
        <v>691.8</v>
      </c>
      <c r="C32" s="262">
        <v>227.4</v>
      </c>
      <c r="D32" s="262">
        <v>63.2</v>
      </c>
      <c r="E32" s="262">
        <v>2.8</v>
      </c>
      <c r="F32" s="262">
        <v>0</v>
      </c>
      <c r="G32" s="262">
        <v>0</v>
      </c>
      <c r="H32" s="262">
        <v>0</v>
      </c>
      <c r="I32" s="262">
        <v>0</v>
      </c>
      <c r="J32" s="262">
        <v>0</v>
      </c>
      <c r="K32" s="262">
        <v>0</v>
      </c>
      <c r="L32" s="262">
        <v>0</v>
      </c>
      <c r="M32" s="262">
        <v>173.7</v>
      </c>
      <c r="N32" s="262">
        <v>224.7</v>
      </c>
    </row>
    <row r="33" spans="1:14" ht="12.75" customHeight="1">
      <c r="A33" s="152" t="s">
        <v>45</v>
      </c>
      <c r="B33" s="640">
        <f t="shared" si="1"/>
        <v>2708.2999999999997</v>
      </c>
      <c r="C33" s="262">
        <v>154.9</v>
      </c>
      <c r="D33" s="262">
        <v>463</v>
      </c>
      <c r="E33" s="262">
        <v>491.9</v>
      </c>
      <c r="F33" s="262">
        <v>0</v>
      </c>
      <c r="G33" s="262">
        <v>0</v>
      </c>
      <c r="H33" s="262">
        <v>0</v>
      </c>
      <c r="I33" s="262">
        <v>0</v>
      </c>
      <c r="J33" s="262">
        <v>0</v>
      </c>
      <c r="K33" s="262">
        <v>0</v>
      </c>
      <c r="L33" s="262">
        <v>0</v>
      </c>
      <c r="M33" s="262">
        <v>1313.9</v>
      </c>
      <c r="N33" s="262">
        <v>284.60000000000002</v>
      </c>
    </row>
    <row r="34" spans="1:14" ht="12.75" customHeight="1">
      <c r="A34" s="129" t="s">
        <v>46</v>
      </c>
      <c r="B34" s="639" t="s">
        <v>240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</row>
    <row r="35" spans="1:14" ht="12.75" customHeight="1">
      <c r="A35" s="129" t="s">
        <v>47</v>
      </c>
      <c r="B35" s="639" t="s">
        <v>240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</row>
    <row r="36" spans="1:14" ht="12.75" customHeight="1">
      <c r="A36" s="129" t="s">
        <v>48</v>
      </c>
      <c r="B36" s="639" t="s">
        <v>240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</row>
    <row r="37" spans="1:14" ht="12.75" customHeight="1" thickBot="1">
      <c r="A37" s="154" t="s">
        <v>49</v>
      </c>
      <c r="B37" s="641" t="s">
        <v>240</v>
      </c>
      <c r="C37" s="263">
        <v>0</v>
      </c>
      <c r="D37" s="263">
        <v>0</v>
      </c>
      <c r="E37" s="263">
        <v>0</v>
      </c>
      <c r="F37" s="263">
        <v>0</v>
      </c>
      <c r="G37" s="263">
        <v>0</v>
      </c>
      <c r="H37" s="263">
        <v>0</v>
      </c>
      <c r="I37" s="263">
        <v>0</v>
      </c>
      <c r="J37" s="263">
        <v>0</v>
      </c>
      <c r="K37" s="263">
        <v>0</v>
      </c>
      <c r="L37" s="263">
        <v>0</v>
      </c>
      <c r="M37" s="263">
        <v>0</v>
      </c>
      <c r="N37" s="263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80">
    <tabColor theme="9" tint="0.59999389629810485"/>
  </sheetPr>
  <dimension ref="A4:N4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552</v>
      </c>
      <c r="B4" s="245"/>
    </row>
    <row r="5" spans="1:14" ht="13.25" customHeight="1">
      <c r="A5" s="252" t="s">
        <v>467</v>
      </c>
      <c r="B5" s="245"/>
    </row>
    <row r="6" spans="1:14" ht="4" customHeight="1" thickBot="1"/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5">
        <f>'C-78'!B8/'C-77'!B8*1000</f>
        <v>2.0672632777836841</v>
      </c>
      <c r="C8" s="605">
        <f>'C-78'!C8/'C-77'!C8*1000</f>
        <v>2.067112440112028</v>
      </c>
      <c r="D8" s="605">
        <f>'C-78'!D8/'C-77'!D8*1000</f>
        <v>1.959254481477595</v>
      </c>
      <c r="E8" s="605">
        <f>'C-78'!E8/'C-77'!E8*1000</f>
        <v>1.9634180720693828</v>
      </c>
      <c r="F8" s="605">
        <f>'C-78'!F8/'C-77'!F8*1000</f>
        <v>1.8494816953542148</v>
      </c>
      <c r="G8" s="605">
        <f>'C-78'!G8/'C-77'!G8*1000</f>
        <v>1.8627872744276648</v>
      </c>
      <c r="H8" s="605">
        <f>'C-78'!H8/'C-77'!H8*1000</f>
        <v>1.9708818106681929</v>
      </c>
      <c r="I8" s="605">
        <f>'C-78'!I8/'C-77'!I8*1000</f>
        <v>1.7467248908296942</v>
      </c>
      <c r="J8" s="605">
        <f>'C-78'!J8/'C-77'!J8*1000</f>
        <v>1.9867549668874172</v>
      </c>
      <c r="K8" s="605">
        <f>'C-78'!K8/'C-77'!K8*1000</f>
        <v>2.3922390034174841</v>
      </c>
      <c r="L8" s="605">
        <f>'C-78'!L8/'C-77'!L8*1000</f>
        <v>2.836591086786552</v>
      </c>
      <c r="M8" s="605">
        <f>'C-78'!M8/'C-77'!M8*1000</f>
        <v>2.1154911858558374</v>
      </c>
      <c r="N8" s="605">
        <f>'C-78'!N8/'C-77'!N8*1000</f>
        <v>2.0348820045017257</v>
      </c>
    </row>
    <row r="9" spans="1:14" ht="12.75" customHeight="1">
      <c r="A9" s="152" t="s">
        <v>21</v>
      </c>
      <c r="B9" s="625" t="s">
        <v>75</v>
      </c>
      <c r="C9" s="260" t="s">
        <v>75</v>
      </c>
      <c r="D9" s="260" t="s">
        <v>75</v>
      </c>
      <c r="E9" s="260" t="s">
        <v>75</v>
      </c>
      <c r="F9" s="260" t="s">
        <v>75</v>
      </c>
      <c r="G9" s="260" t="s">
        <v>75</v>
      </c>
      <c r="H9" s="260" t="s">
        <v>75</v>
      </c>
      <c r="I9" s="260" t="s">
        <v>75</v>
      </c>
      <c r="J9" s="260" t="s">
        <v>75</v>
      </c>
      <c r="K9" s="260" t="s">
        <v>75</v>
      </c>
      <c r="L9" s="260" t="s">
        <v>75</v>
      </c>
      <c r="M9" s="260" t="s">
        <v>75</v>
      </c>
      <c r="N9" s="260" t="s">
        <v>75</v>
      </c>
    </row>
    <row r="10" spans="1:14" ht="12.75" customHeight="1">
      <c r="A10" s="152" t="s">
        <v>22</v>
      </c>
      <c r="B10" s="625">
        <f>'C-78'!B10/'C-77'!B10*1000</f>
        <v>1.4762978723404256</v>
      </c>
      <c r="C10" s="260" t="s">
        <v>75</v>
      </c>
      <c r="D10" s="260" t="s">
        <v>75</v>
      </c>
      <c r="E10" s="260" t="s">
        <v>75</v>
      </c>
      <c r="F10" s="260">
        <f>'C-78'!F10/'C-77'!F10*1000</f>
        <v>1.4264375</v>
      </c>
      <c r="G10" s="260">
        <f>'C-78'!G10/'C-77'!G10*1000</f>
        <v>1.5826666666666667</v>
      </c>
      <c r="H10" s="260" t="s">
        <v>75</v>
      </c>
      <c r="I10" s="260" t="s">
        <v>75</v>
      </c>
      <c r="J10" s="260" t="s">
        <v>75</v>
      </c>
      <c r="K10" s="260" t="s">
        <v>75</v>
      </c>
      <c r="L10" s="260" t="s">
        <v>75</v>
      </c>
      <c r="M10" s="260" t="s">
        <v>75</v>
      </c>
      <c r="N10" s="260" t="s">
        <v>75</v>
      </c>
    </row>
    <row r="11" spans="1:14" ht="12.75" customHeight="1">
      <c r="A11" s="152" t="s">
        <v>23</v>
      </c>
      <c r="B11" s="625" t="s">
        <v>75</v>
      </c>
      <c r="C11" s="260" t="s">
        <v>75</v>
      </c>
      <c r="D11" s="260" t="s">
        <v>75</v>
      </c>
      <c r="E11" s="260" t="s">
        <v>75</v>
      </c>
      <c r="F11" s="260" t="s">
        <v>75</v>
      </c>
      <c r="G11" s="260" t="s">
        <v>75</v>
      </c>
      <c r="H11" s="260" t="s">
        <v>75</v>
      </c>
      <c r="I11" s="260" t="s">
        <v>75</v>
      </c>
      <c r="J11" s="260" t="s">
        <v>75</v>
      </c>
      <c r="K11" s="260" t="s">
        <v>75</v>
      </c>
      <c r="L11" s="260" t="s">
        <v>75</v>
      </c>
      <c r="M11" s="260" t="s">
        <v>75</v>
      </c>
      <c r="N11" s="260" t="s">
        <v>75</v>
      </c>
    </row>
    <row r="12" spans="1:14" ht="12.75" customHeight="1">
      <c r="A12" s="129" t="s">
        <v>24</v>
      </c>
      <c r="B12" s="625">
        <f>'C-78'!B12/'C-77'!B12*1000</f>
        <v>3.4547857277704357</v>
      </c>
      <c r="C12" s="260" t="s">
        <v>75</v>
      </c>
      <c r="D12" s="260" t="s">
        <v>75</v>
      </c>
      <c r="E12" s="260" t="s">
        <v>75</v>
      </c>
      <c r="F12" s="260">
        <f>'C-78'!F12/'C-77'!F12*1000</f>
        <v>3.1746031746031744</v>
      </c>
      <c r="G12" s="260">
        <f>'C-78'!G12/'C-77'!G12*1000</f>
        <v>3.1906614785992216</v>
      </c>
      <c r="H12" s="260">
        <f>'C-78'!H12/'C-77'!H12*1000</f>
        <v>3.437738731856379</v>
      </c>
      <c r="I12" s="260">
        <f>'C-78'!I12/'C-77'!I12*1000</f>
        <v>3.4482758620689653</v>
      </c>
      <c r="J12" s="260">
        <f>'C-78'!J12/'C-77'!J12*1000</f>
        <v>6.666666666666667</v>
      </c>
      <c r="K12" s="260" t="s">
        <v>75</v>
      </c>
      <c r="L12" s="260">
        <f>'C-78'!L12/'C-77'!L12*1000</f>
        <v>3.043478260869565</v>
      </c>
      <c r="M12" s="260">
        <f>'C-78'!M12/'C-77'!M12*1000</f>
        <v>3.4395973154362411</v>
      </c>
      <c r="N12" s="260">
        <f>'C-78'!N12/'C-77'!N12*1000</f>
        <v>3.9</v>
      </c>
    </row>
    <row r="13" spans="1:14" ht="12.75" customHeight="1">
      <c r="A13" s="129" t="s">
        <v>25</v>
      </c>
      <c r="B13" s="625" t="s">
        <v>75</v>
      </c>
      <c r="C13" s="260" t="s">
        <v>75</v>
      </c>
      <c r="D13" s="260" t="s">
        <v>75</v>
      </c>
      <c r="E13" s="260" t="s">
        <v>75</v>
      </c>
      <c r="F13" s="260" t="s">
        <v>75</v>
      </c>
      <c r="G13" s="260" t="s">
        <v>75</v>
      </c>
      <c r="H13" s="260" t="s">
        <v>75</v>
      </c>
      <c r="I13" s="260" t="s">
        <v>75</v>
      </c>
      <c r="J13" s="260" t="s">
        <v>75</v>
      </c>
      <c r="K13" s="260" t="s">
        <v>75</v>
      </c>
      <c r="L13" s="260" t="s">
        <v>75</v>
      </c>
      <c r="M13" s="260" t="s">
        <v>75</v>
      </c>
      <c r="N13" s="260" t="s">
        <v>75</v>
      </c>
    </row>
    <row r="14" spans="1:14" ht="12.75" customHeight="1">
      <c r="A14" s="127" t="s">
        <v>97</v>
      </c>
      <c r="B14" s="625" t="s">
        <v>75</v>
      </c>
      <c r="C14" s="260" t="s">
        <v>75</v>
      </c>
      <c r="D14" s="260" t="s">
        <v>75</v>
      </c>
      <c r="E14" s="260" t="s">
        <v>75</v>
      </c>
      <c r="F14" s="260" t="s">
        <v>75</v>
      </c>
      <c r="G14" s="260" t="s">
        <v>75</v>
      </c>
      <c r="H14" s="260" t="s">
        <v>75</v>
      </c>
      <c r="I14" s="260" t="s">
        <v>75</v>
      </c>
      <c r="J14" s="260" t="s">
        <v>75</v>
      </c>
      <c r="K14" s="260" t="s">
        <v>75</v>
      </c>
      <c r="L14" s="260" t="s">
        <v>75</v>
      </c>
      <c r="M14" s="260" t="s">
        <v>75</v>
      </c>
      <c r="N14" s="260" t="s">
        <v>75</v>
      </c>
    </row>
    <row r="15" spans="1:14" ht="12.75" customHeight="1">
      <c r="A15" s="127" t="s">
        <v>98</v>
      </c>
      <c r="B15" s="625" t="s">
        <v>75</v>
      </c>
      <c r="C15" s="260" t="s">
        <v>75</v>
      </c>
      <c r="D15" s="260" t="s">
        <v>75</v>
      </c>
      <c r="E15" s="260" t="s">
        <v>75</v>
      </c>
      <c r="F15" s="260" t="s">
        <v>75</v>
      </c>
      <c r="G15" s="260" t="s">
        <v>75</v>
      </c>
      <c r="H15" s="260" t="s">
        <v>75</v>
      </c>
      <c r="I15" s="260" t="s">
        <v>75</v>
      </c>
      <c r="J15" s="260" t="s">
        <v>75</v>
      </c>
      <c r="K15" s="260" t="s">
        <v>75</v>
      </c>
      <c r="L15" s="260" t="s">
        <v>75</v>
      </c>
      <c r="M15" s="260" t="s">
        <v>75</v>
      </c>
      <c r="N15" s="260" t="s">
        <v>75</v>
      </c>
    </row>
    <row r="16" spans="1:14" ht="12.75" customHeight="1">
      <c r="A16" s="127" t="s">
        <v>99</v>
      </c>
      <c r="B16" s="625" t="s">
        <v>75</v>
      </c>
      <c r="C16" s="260" t="s">
        <v>75</v>
      </c>
      <c r="D16" s="260" t="s">
        <v>75</v>
      </c>
      <c r="E16" s="260" t="s">
        <v>75</v>
      </c>
      <c r="F16" s="260" t="s">
        <v>75</v>
      </c>
      <c r="G16" s="260" t="s">
        <v>75</v>
      </c>
      <c r="H16" s="260" t="s">
        <v>75</v>
      </c>
      <c r="I16" s="260" t="s">
        <v>75</v>
      </c>
      <c r="J16" s="260" t="s">
        <v>75</v>
      </c>
      <c r="K16" s="260" t="s">
        <v>75</v>
      </c>
      <c r="L16" s="260" t="s">
        <v>75</v>
      </c>
      <c r="M16" s="260" t="s">
        <v>75</v>
      </c>
      <c r="N16" s="260" t="s">
        <v>75</v>
      </c>
    </row>
    <row r="17" spans="1:14" ht="12.75" customHeight="1">
      <c r="A17" s="152" t="s">
        <v>29</v>
      </c>
      <c r="B17" s="625" t="s">
        <v>75</v>
      </c>
      <c r="C17" s="260" t="s">
        <v>75</v>
      </c>
      <c r="D17" s="260" t="s">
        <v>75</v>
      </c>
      <c r="E17" s="260" t="s">
        <v>75</v>
      </c>
      <c r="F17" s="260" t="s">
        <v>75</v>
      </c>
      <c r="G17" s="260" t="s">
        <v>75</v>
      </c>
      <c r="H17" s="260" t="s">
        <v>75</v>
      </c>
      <c r="I17" s="260" t="s">
        <v>75</v>
      </c>
      <c r="J17" s="260" t="s">
        <v>75</v>
      </c>
      <c r="K17" s="260" t="s">
        <v>75</v>
      </c>
      <c r="L17" s="260" t="s">
        <v>75</v>
      </c>
      <c r="M17" s="260" t="s">
        <v>75</v>
      </c>
      <c r="N17" s="260" t="s">
        <v>75</v>
      </c>
    </row>
    <row r="18" spans="1:14" ht="12.75" customHeight="1">
      <c r="A18" s="129" t="s">
        <v>30</v>
      </c>
      <c r="B18" s="625" t="s">
        <v>75</v>
      </c>
      <c r="C18" s="260" t="s">
        <v>75</v>
      </c>
      <c r="D18" s="260" t="s">
        <v>75</v>
      </c>
      <c r="E18" s="260" t="s">
        <v>75</v>
      </c>
      <c r="F18" s="260" t="s">
        <v>75</v>
      </c>
      <c r="G18" s="260" t="s">
        <v>75</v>
      </c>
      <c r="H18" s="260" t="s">
        <v>75</v>
      </c>
      <c r="I18" s="260" t="s">
        <v>75</v>
      </c>
      <c r="J18" s="260" t="s">
        <v>75</v>
      </c>
      <c r="K18" s="260" t="s">
        <v>75</v>
      </c>
      <c r="L18" s="260" t="s">
        <v>75</v>
      </c>
      <c r="M18" s="260" t="s">
        <v>75</v>
      </c>
      <c r="N18" s="260" t="s">
        <v>75</v>
      </c>
    </row>
    <row r="19" spans="1:14" ht="12.75" customHeight="1">
      <c r="A19" s="129" t="s">
        <v>31</v>
      </c>
      <c r="B19" s="625">
        <f>'C-78'!B19/'C-77'!B19*1000</f>
        <v>1.6196917089326288</v>
      </c>
      <c r="C19" s="260" t="s">
        <v>75</v>
      </c>
      <c r="D19" s="260" t="s">
        <v>75</v>
      </c>
      <c r="E19" s="260" t="s">
        <v>75</v>
      </c>
      <c r="F19" s="260">
        <f>'C-78'!F19/'C-77'!F19*1000</f>
        <v>1.6242595019180861</v>
      </c>
      <c r="G19" s="260">
        <f>'C-78'!G19/'C-77'!G19*1000</f>
        <v>1.6227758007117439</v>
      </c>
      <c r="H19" s="260">
        <f>'C-78'!H19/'C-77'!H19*1000</f>
        <v>1.6747301823595089</v>
      </c>
      <c r="I19" s="260">
        <f>'C-78'!I19/'C-77'!I19*1000</f>
        <v>1.5329125338142471</v>
      </c>
      <c r="J19" s="260" t="s">
        <v>75</v>
      </c>
      <c r="K19" s="260" t="s">
        <v>75</v>
      </c>
      <c r="L19" s="260" t="s">
        <v>75</v>
      </c>
      <c r="M19" s="260" t="s">
        <v>75</v>
      </c>
      <c r="N19" s="260" t="s">
        <v>75</v>
      </c>
    </row>
    <row r="20" spans="1:14" ht="12.75" customHeight="1">
      <c r="A20" s="152" t="s">
        <v>32</v>
      </c>
      <c r="B20" s="625" t="s">
        <v>75</v>
      </c>
      <c r="C20" s="260" t="s">
        <v>75</v>
      </c>
      <c r="D20" s="260" t="s">
        <v>75</v>
      </c>
      <c r="E20" s="260" t="s">
        <v>75</v>
      </c>
      <c r="F20" s="260" t="s">
        <v>75</v>
      </c>
      <c r="G20" s="260" t="s">
        <v>75</v>
      </c>
      <c r="H20" s="260" t="s">
        <v>75</v>
      </c>
      <c r="I20" s="260" t="s">
        <v>75</v>
      </c>
      <c r="J20" s="260" t="s">
        <v>75</v>
      </c>
      <c r="K20" s="260" t="s">
        <v>75</v>
      </c>
      <c r="L20" s="260" t="s">
        <v>75</v>
      </c>
      <c r="M20" s="260" t="s">
        <v>75</v>
      </c>
      <c r="N20" s="260" t="s">
        <v>75</v>
      </c>
    </row>
    <row r="21" spans="1:14" ht="12.75" customHeight="1">
      <c r="A21" s="152" t="s">
        <v>33</v>
      </c>
      <c r="B21" s="625">
        <f>'C-78'!B21/'C-77'!B21*1000</f>
        <v>2.6069847515986226</v>
      </c>
      <c r="C21" s="260">
        <f>'C-78'!C21/'C-77'!C21*1000</f>
        <v>2.5316455696202533</v>
      </c>
      <c r="D21" s="260">
        <f>'C-78'!D21/'C-77'!D21*1000</f>
        <v>2.82258064516129</v>
      </c>
      <c r="E21" s="260">
        <f>'C-78'!E21/'C-77'!E21*1000</f>
        <v>2.2471910112359552</v>
      </c>
      <c r="F21" s="260">
        <f>'C-78'!F21/'C-77'!F21*1000</f>
        <v>2.0408163265306123</v>
      </c>
      <c r="G21" s="260">
        <f>'C-78'!G21/'C-77'!G21*1000</f>
        <v>2.6819923371647509</v>
      </c>
      <c r="H21" s="260">
        <f>'C-78'!H21/'C-77'!H21*1000</f>
        <v>2.547770700636943</v>
      </c>
      <c r="I21" s="260">
        <f>'C-78'!I21/'C-77'!I21*1000</f>
        <v>3.0612244897959182</v>
      </c>
      <c r="J21" s="260">
        <f>'C-78'!J21/'C-77'!J21*1000</f>
        <v>1.7543859649122808</v>
      </c>
      <c r="K21" s="260">
        <f>'C-78'!K21/'C-77'!K21*1000</f>
        <v>2.8985507246376812</v>
      </c>
      <c r="L21" s="260">
        <f>'C-78'!L21/'C-77'!L21*1000</f>
        <v>2.788844621513944</v>
      </c>
      <c r="M21" s="260">
        <f>'C-78'!M21/'C-77'!M21*1000</f>
        <v>2.5270758122743682</v>
      </c>
      <c r="N21" s="260">
        <f>'C-78'!N21/'C-77'!N21*1000</f>
        <v>2.6923076923076921</v>
      </c>
    </row>
    <row r="22" spans="1:14" ht="12.75" customHeight="1">
      <c r="A22" s="152" t="s">
        <v>34</v>
      </c>
      <c r="B22" s="625">
        <f>'C-78'!B22/'C-77'!B22*1000</f>
        <v>1.8055368514207659</v>
      </c>
      <c r="C22" s="260" t="s">
        <v>75</v>
      </c>
      <c r="D22" s="260" t="s">
        <v>75</v>
      </c>
      <c r="E22" s="260" t="s">
        <v>75</v>
      </c>
      <c r="F22" s="260" t="s">
        <v>75</v>
      </c>
      <c r="G22" s="260" t="s">
        <v>75</v>
      </c>
      <c r="H22" s="260" t="s">
        <v>75</v>
      </c>
      <c r="I22" s="260" t="s">
        <v>75</v>
      </c>
      <c r="J22" s="260" t="s">
        <v>75</v>
      </c>
      <c r="K22" s="260" t="s">
        <v>75</v>
      </c>
      <c r="L22" s="260">
        <f>'C-78'!L22/'C-77'!L22*1000</f>
        <v>2.1558999539665491</v>
      </c>
      <c r="M22" s="260">
        <f>'C-78'!M22/'C-77'!M22*1000</f>
        <v>1.9730412119237664</v>
      </c>
      <c r="N22" s="260">
        <f>'C-78'!N22/'C-77'!N22*1000</f>
        <v>1.4995695015784942</v>
      </c>
    </row>
    <row r="23" spans="1:14" ht="12.75" customHeight="1">
      <c r="A23" s="152" t="s">
        <v>35</v>
      </c>
      <c r="B23" s="625">
        <f>'C-78'!B23/'C-77'!B23*1000</f>
        <v>2.6619876385134602</v>
      </c>
      <c r="C23" s="260" t="s">
        <v>75</v>
      </c>
      <c r="D23" s="260" t="s">
        <v>75</v>
      </c>
      <c r="E23" s="260" t="s">
        <v>75</v>
      </c>
      <c r="F23" s="260" t="s">
        <v>75</v>
      </c>
      <c r="G23" s="260" t="s">
        <v>75</v>
      </c>
      <c r="H23" s="260" t="s">
        <v>75</v>
      </c>
      <c r="I23" s="260" t="s">
        <v>75</v>
      </c>
      <c r="J23" s="260" t="s">
        <v>75</v>
      </c>
      <c r="K23" s="260" t="s">
        <v>75</v>
      </c>
      <c r="L23" s="260">
        <f>'C-78'!L23/'C-77'!L23*1000</f>
        <v>2.743949437336211</v>
      </c>
      <c r="M23" s="260">
        <f>'C-78'!M23/'C-77'!M23*1000</f>
        <v>2.7068594278683484</v>
      </c>
      <c r="N23" s="260">
        <f>'C-78'!N23/'C-77'!N23*1000</f>
        <v>2.2441430332922319</v>
      </c>
    </row>
    <row r="24" spans="1:14" ht="12.75" customHeight="1">
      <c r="A24" s="152" t="s">
        <v>36</v>
      </c>
      <c r="B24" s="625">
        <f>'C-78'!B24/'C-77'!B24*1000</f>
        <v>1.8640219411306274</v>
      </c>
      <c r="C24" s="260" t="s">
        <v>75</v>
      </c>
      <c r="D24" s="260">
        <f>'C-78'!D24/'C-77'!D24*1000</f>
        <v>1.9514914970727628</v>
      </c>
      <c r="E24" s="260">
        <f>'C-78'!E24/'C-77'!E24*1000</f>
        <v>1.9123860351345341</v>
      </c>
      <c r="F24" s="260">
        <f>'C-78'!F24/'C-77'!F24*1000</f>
        <v>1.7450315075133302</v>
      </c>
      <c r="G24" s="260">
        <f>'C-78'!G24/'C-77'!G24*1000</f>
        <v>1.8274319464343149</v>
      </c>
      <c r="H24" s="260">
        <f>'C-78'!H24/'C-77'!H24*1000</f>
        <v>1.8979379751681893</v>
      </c>
      <c r="I24" s="260" t="s">
        <v>75</v>
      </c>
      <c r="J24" s="260" t="s">
        <v>75</v>
      </c>
      <c r="K24" s="260">
        <f>'C-78'!K24/'C-77'!K24*1000</f>
        <v>1.7777777777777779</v>
      </c>
      <c r="L24" s="260">
        <f>'C-78'!L24/'C-77'!L24*1000</f>
        <v>1.6483516483516483</v>
      </c>
      <c r="M24" s="260">
        <f>'C-78'!M24/'C-77'!M24*1000</f>
        <v>1.4778325123152709</v>
      </c>
      <c r="N24" s="260" t="s">
        <v>75</v>
      </c>
    </row>
    <row r="25" spans="1:14" ht="12.75" customHeight="1">
      <c r="A25" s="129" t="s">
        <v>37</v>
      </c>
      <c r="B25" s="625">
        <f>'C-78'!B25/'C-77'!B25*1000</f>
        <v>1.9739079358209415</v>
      </c>
      <c r="C25" s="260">
        <f>'C-78'!C25/'C-77'!C25*1000</f>
        <v>1.9706403153024505</v>
      </c>
      <c r="D25" s="260">
        <f>'C-78'!D25/'C-77'!D25*1000</f>
        <v>1.9709370302321696</v>
      </c>
      <c r="E25" s="260">
        <f>'C-78'!E25/'C-77'!E25*1000</f>
        <v>1.976558337773042</v>
      </c>
      <c r="F25" s="260" t="s">
        <v>75</v>
      </c>
      <c r="G25" s="260" t="s">
        <v>75</v>
      </c>
      <c r="H25" s="260" t="s">
        <v>75</v>
      </c>
      <c r="I25" s="260" t="s">
        <v>75</v>
      </c>
      <c r="J25" s="260" t="s">
        <v>75</v>
      </c>
      <c r="K25" s="260" t="s">
        <v>75</v>
      </c>
      <c r="L25" s="260" t="s">
        <v>75</v>
      </c>
      <c r="M25" s="260" t="s">
        <v>75</v>
      </c>
      <c r="N25" s="260">
        <f>'C-78'!N25/'C-77'!N25*1000</f>
        <v>1.9797245600612088</v>
      </c>
    </row>
    <row r="26" spans="1:14" ht="12.75" customHeight="1">
      <c r="A26" s="152" t="s">
        <v>38</v>
      </c>
      <c r="B26" s="625">
        <f>'C-78'!B26/'C-77'!B26*1000</f>
        <v>2.0372569392904851</v>
      </c>
      <c r="C26" s="260">
        <f>'C-78'!C26/'C-77'!C26*1000</f>
        <v>1.6250000000000002</v>
      </c>
      <c r="D26" s="260">
        <f>'C-78'!D26/'C-77'!D26*1000</f>
        <v>1.25</v>
      </c>
      <c r="E26" s="260">
        <f>'C-78'!E26/'C-77'!E26*1000</f>
        <v>1.5833333333333333</v>
      </c>
      <c r="F26" s="260">
        <f>'C-78'!F26/'C-77'!F26*1000</f>
        <v>1.6564417177914113</v>
      </c>
      <c r="G26" s="260" t="s">
        <v>75</v>
      </c>
      <c r="H26" s="260" t="s">
        <v>75</v>
      </c>
      <c r="I26" s="260" t="s">
        <v>75</v>
      </c>
      <c r="J26" s="260" t="s">
        <v>75</v>
      </c>
      <c r="K26" s="260">
        <f>'C-78'!K26/'C-77'!K26*1000</f>
        <v>2.3041474654377878</v>
      </c>
      <c r="L26" s="260">
        <f>'C-78'!L26/'C-77'!L26*1000</f>
        <v>3.010752688172043</v>
      </c>
      <c r="M26" s="260">
        <f>'C-78'!M26/'C-77'!M26*1000</f>
        <v>2.1733528047418607</v>
      </c>
      <c r="N26" s="260">
        <f>'C-78'!N26/'C-77'!N26*1000</f>
        <v>1.9822812846068656</v>
      </c>
    </row>
    <row r="27" spans="1:14" ht="12.75" customHeight="1">
      <c r="A27" s="152" t="s">
        <v>39</v>
      </c>
      <c r="B27" s="625">
        <f>'C-78'!B27/'C-77'!B27*1000</f>
        <v>3.2882869562646002</v>
      </c>
      <c r="C27" s="260" t="s">
        <v>75</v>
      </c>
      <c r="D27" s="260" t="s">
        <v>75</v>
      </c>
      <c r="E27" s="260" t="s">
        <v>75</v>
      </c>
      <c r="F27" s="260" t="s">
        <v>75</v>
      </c>
      <c r="G27" s="260" t="s">
        <v>75</v>
      </c>
      <c r="H27" s="260" t="s">
        <v>75</v>
      </c>
      <c r="I27" s="260" t="s">
        <v>75</v>
      </c>
      <c r="J27" s="260" t="s">
        <v>75</v>
      </c>
      <c r="K27" s="260" t="s">
        <v>75</v>
      </c>
      <c r="L27" s="260">
        <f>'C-78'!L27/'C-77'!L27*1000</f>
        <v>3.3323377565388057</v>
      </c>
      <c r="M27" s="260">
        <f>'C-78'!M27/'C-77'!M27*1000</f>
        <v>3.1888246628131025</v>
      </c>
      <c r="N27" s="260" t="s">
        <v>75</v>
      </c>
    </row>
    <row r="28" spans="1:14" ht="12.75" customHeight="1">
      <c r="A28" s="152" t="s">
        <v>40</v>
      </c>
      <c r="B28" s="625">
        <f>'C-78'!B28/'C-77'!B28*1000</f>
        <v>1.906142894806222</v>
      </c>
      <c r="C28" s="260">
        <f>'C-78'!C28/'C-77'!C28*1000</f>
        <v>1.8354860639021073</v>
      </c>
      <c r="D28" s="260">
        <f>'C-78'!D28/'C-77'!D28*1000</f>
        <v>1.7089049058358521</v>
      </c>
      <c r="E28" s="260">
        <f>'C-78'!E28/'C-77'!E28*1000</f>
        <v>1.8839392602860563</v>
      </c>
      <c r="F28" s="260">
        <f>'C-78'!F28/'C-77'!F28*1000</f>
        <v>1.9616642092441825</v>
      </c>
      <c r="G28" s="260">
        <f>'C-78'!G28/'C-77'!G28*1000</f>
        <v>1.8887722980062958</v>
      </c>
      <c r="H28" s="260" t="s">
        <v>75</v>
      </c>
      <c r="I28" s="260" t="s">
        <v>75</v>
      </c>
      <c r="J28" s="260" t="s">
        <v>75</v>
      </c>
      <c r="K28" s="260" t="s">
        <v>75</v>
      </c>
      <c r="L28" s="260" t="s">
        <v>75</v>
      </c>
      <c r="M28" s="260">
        <f>'C-78'!M28/'C-77'!M28*1000</f>
        <v>2.0255591054313098</v>
      </c>
      <c r="N28" s="260">
        <f>'C-78'!N28/'C-77'!N28*1000</f>
        <v>1.7647058823529413</v>
      </c>
    </row>
    <row r="29" spans="1:14" ht="12.75" customHeight="1">
      <c r="A29" s="129" t="s">
        <v>41</v>
      </c>
      <c r="B29" s="625">
        <f>'C-78'!B29/'C-77'!B29*1000</f>
        <v>1.9649984648449494</v>
      </c>
      <c r="C29" s="260">
        <f>'C-78'!C29/'C-77'!C29*1000</f>
        <v>1.9187358916478556</v>
      </c>
      <c r="D29" s="260">
        <f>'C-78'!D29/'C-77'!D29*1000</f>
        <v>1.9807825256142366</v>
      </c>
      <c r="E29" s="260">
        <f>'C-78'!E29/'C-77'!E29*1000</f>
        <v>1.9440825734041485</v>
      </c>
      <c r="F29" s="260">
        <f>'C-78'!F29/'C-77'!F29*1000</f>
        <v>1.8157058556513845</v>
      </c>
      <c r="G29" s="260">
        <f>'C-78'!G29/'C-77'!G29*1000</f>
        <v>1.6885553470919326</v>
      </c>
      <c r="H29" s="260" t="s">
        <v>75</v>
      </c>
      <c r="I29" s="260" t="s">
        <v>75</v>
      </c>
      <c r="J29" s="260" t="s">
        <v>75</v>
      </c>
      <c r="K29" s="260" t="s">
        <v>75</v>
      </c>
      <c r="L29" s="260" t="s">
        <v>75</v>
      </c>
      <c r="M29" s="260">
        <f>'C-78'!M29/'C-77'!M29*1000</f>
        <v>1.7529215358931554</v>
      </c>
      <c r="N29" s="260">
        <f>'C-78'!N29/'C-77'!N29*1000</f>
        <v>2.0845779365220594</v>
      </c>
    </row>
    <row r="30" spans="1:14" ht="12.75" customHeight="1">
      <c r="A30" s="127" t="s">
        <v>100</v>
      </c>
      <c r="B30" s="625">
        <f>'C-78'!B30/'C-77'!B30*1000</f>
        <v>2.0149617451662176</v>
      </c>
      <c r="C30" s="260">
        <f>'C-78'!C30/'C-77'!C30*1000</f>
        <v>2.0297029702970293</v>
      </c>
      <c r="D30" s="260">
        <f>'C-78'!D30/'C-77'!D30*1000</f>
        <v>2.0416373327969426</v>
      </c>
      <c r="E30" s="260">
        <f>'C-78'!E30/'C-77'!E30*1000</f>
        <v>1.988379599741769</v>
      </c>
      <c r="F30" s="260">
        <f>'C-78'!F30/'C-77'!F30*1000</f>
        <v>1.8353726362625138</v>
      </c>
      <c r="G30" s="260" t="s">
        <v>75</v>
      </c>
      <c r="H30" s="260" t="s">
        <v>75</v>
      </c>
      <c r="I30" s="260" t="s">
        <v>75</v>
      </c>
      <c r="J30" s="260" t="s">
        <v>75</v>
      </c>
      <c r="K30" s="260" t="s">
        <v>75</v>
      </c>
      <c r="L30" s="260" t="s">
        <v>75</v>
      </c>
      <c r="M30" s="260">
        <f>'C-78'!M30/'C-77'!M30*1000</f>
        <v>1.7529215358931554</v>
      </c>
      <c r="N30" s="260">
        <f>'C-78'!N30/'C-77'!N30*1000</f>
        <v>2.0845779365220594</v>
      </c>
    </row>
    <row r="31" spans="1:14" ht="12.75" customHeight="1">
      <c r="A31" s="127" t="s">
        <v>101</v>
      </c>
      <c r="B31" s="625">
        <f>'C-78'!B31/'C-77'!B31*1000</f>
        <v>1.7738202920342545</v>
      </c>
      <c r="C31" s="260">
        <f>'C-78'!C31/'C-77'!C31*1000</f>
        <v>1.8257261410788381</v>
      </c>
      <c r="D31" s="260">
        <f>'C-78'!D31/'C-77'!D31*1000</f>
        <v>1.7401985873682055</v>
      </c>
      <c r="E31" s="260">
        <f>'C-78'!E31/'C-77'!E31*1000</f>
        <v>1.7905102954341987</v>
      </c>
      <c r="F31" s="260">
        <f>'C-78'!F31/'C-77'!F31*1000</f>
        <v>1.728395061728395</v>
      </c>
      <c r="G31" s="260">
        <f>'C-78'!G31/'C-77'!G31*1000</f>
        <v>1.6885553470919326</v>
      </c>
      <c r="H31" s="260" t="s">
        <v>75</v>
      </c>
      <c r="I31" s="260" t="s">
        <v>75</v>
      </c>
      <c r="J31" s="260" t="s">
        <v>75</v>
      </c>
      <c r="K31" s="260" t="s">
        <v>75</v>
      </c>
      <c r="L31" s="260" t="s">
        <v>75</v>
      </c>
      <c r="M31" s="260" t="s">
        <v>75</v>
      </c>
      <c r="N31" s="260" t="s">
        <v>75</v>
      </c>
    </row>
    <row r="32" spans="1:14" ht="12.75" customHeight="1">
      <c r="A32" s="152" t="s">
        <v>44</v>
      </c>
      <c r="B32" s="625">
        <f>'C-78'!B32/'C-77'!B32*1000</f>
        <v>1.9620244189509211</v>
      </c>
      <c r="C32" s="260">
        <f>'C-78'!C32/'C-77'!C32*1000</f>
        <v>2.1282171268132899</v>
      </c>
      <c r="D32" s="260">
        <f>'C-78'!D32/'C-77'!D32*1000</f>
        <v>1.8134863701578194</v>
      </c>
      <c r="E32" s="260">
        <f>'C-78'!E32/'C-77'!E32*1000</f>
        <v>1.8360655737704916</v>
      </c>
      <c r="F32" s="260" t="s">
        <v>75</v>
      </c>
      <c r="G32" s="260" t="s">
        <v>75</v>
      </c>
      <c r="H32" s="260" t="s">
        <v>75</v>
      </c>
      <c r="I32" s="260" t="s">
        <v>75</v>
      </c>
      <c r="J32" s="260" t="s">
        <v>75</v>
      </c>
      <c r="K32" s="260" t="s">
        <v>75</v>
      </c>
      <c r="L32" s="260" t="s">
        <v>75</v>
      </c>
      <c r="M32" s="260">
        <f>'C-78'!M32/'C-77'!M32*1000</f>
        <v>1.8573567151411461</v>
      </c>
      <c r="N32" s="260">
        <f>'C-78'!N32/'C-77'!N32*1000</f>
        <v>1.9395770392749243</v>
      </c>
    </row>
    <row r="33" spans="1:14" ht="12.75" customHeight="1">
      <c r="A33" s="152" t="s">
        <v>45</v>
      </c>
      <c r="B33" s="625">
        <f>'C-78'!B33/'C-77'!B33*1000</f>
        <v>2.0815223865684431</v>
      </c>
      <c r="C33" s="260">
        <f>'C-78'!C33/'C-77'!C33*1000</f>
        <v>2.0344102968216444</v>
      </c>
      <c r="D33" s="260">
        <f>'C-78'!D33/'C-77'!D33*1000</f>
        <v>1.9878069723510217</v>
      </c>
      <c r="E33" s="260">
        <f>'C-78'!E33/'C-77'!E33*1000</f>
        <v>1.971582596845628</v>
      </c>
      <c r="F33" s="260" t="s">
        <v>75</v>
      </c>
      <c r="G33" s="260" t="s">
        <v>75</v>
      </c>
      <c r="H33" s="260" t="s">
        <v>75</v>
      </c>
      <c r="I33" s="260" t="s">
        <v>75</v>
      </c>
      <c r="J33" s="260" t="s">
        <v>75</v>
      </c>
      <c r="K33" s="260" t="s">
        <v>75</v>
      </c>
      <c r="L33" s="260" t="s">
        <v>75</v>
      </c>
      <c r="M33" s="260">
        <f>'C-78'!M33/'C-77'!M33*1000</f>
        <v>2.1223085496454477</v>
      </c>
      <c r="N33" s="260">
        <f>'C-78'!N33/'C-77'!N33*1000</f>
        <v>2.3050133635700982</v>
      </c>
    </row>
    <row r="34" spans="1:14" ht="12.75" customHeight="1">
      <c r="A34" s="129" t="s">
        <v>46</v>
      </c>
      <c r="B34" s="625" t="s">
        <v>75</v>
      </c>
      <c r="C34" s="260" t="s">
        <v>75</v>
      </c>
      <c r="D34" s="260" t="s">
        <v>75</v>
      </c>
      <c r="E34" s="260" t="s">
        <v>75</v>
      </c>
      <c r="F34" s="260" t="s">
        <v>75</v>
      </c>
      <c r="G34" s="260" t="s">
        <v>75</v>
      </c>
      <c r="H34" s="260" t="s">
        <v>75</v>
      </c>
      <c r="I34" s="260" t="s">
        <v>75</v>
      </c>
      <c r="J34" s="260" t="s">
        <v>75</v>
      </c>
      <c r="K34" s="260" t="s">
        <v>75</v>
      </c>
      <c r="L34" s="260" t="s">
        <v>75</v>
      </c>
      <c r="M34" s="260" t="s">
        <v>75</v>
      </c>
      <c r="N34" s="260" t="s">
        <v>75</v>
      </c>
    </row>
    <row r="35" spans="1:14" ht="12.75" customHeight="1">
      <c r="A35" s="129" t="s">
        <v>47</v>
      </c>
      <c r="B35" s="625" t="s">
        <v>75</v>
      </c>
      <c r="C35" s="260" t="s">
        <v>75</v>
      </c>
      <c r="D35" s="260" t="s">
        <v>75</v>
      </c>
      <c r="E35" s="260" t="s">
        <v>75</v>
      </c>
      <c r="F35" s="260" t="s">
        <v>75</v>
      </c>
      <c r="G35" s="260" t="s">
        <v>75</v>
      </c>
      <c r="H35" s="260" t="s">
        <v>75</v>
      </c>
      <c r="I35" s="260" t="s">
        <v>75</v>
      </c>
      <c r="J35" s="260" t="s">
        <v>75</v>
      </c>
      <c r="K35" s="260" t="s">
        <v>75</v>
      </c>
      <c r="L35" s="260" t="s">
        <v>75</v>
      </c>
      <c r="M35" s="260" t="s">
        <v>75</v>
      </c>
      <c r="N35" s="260" t="s">
        <v>75</v>
      </c>
    </row>
    <row r="36" spans="1:14" ht="12.75" customHeight="1">
      <c r="A36" s="129" t="s">
        <v>48</v>
      </c>
      <c r="B36" s="625" t="s">
        <v>75</v>
      </c>
      <c r="C36" s="260" t="s">
        <v>75</v>
      </c>
      <c r="D36" s="260" t="s">
        <v>75</v>
      </c>
      <c r="E36" s="260" t="s">
        <v>75</v>
      </c>
      <c r="F36" s="260" t="s">
        <v>75</v>
      </c>
      <c r="G36" s="260" t="s">
        <v>75</v>
      </c>
      <c r="H36" s="260" t="s">
        <v>75</v>
      </c>
      <c r="I36" s="260" t="s">
        <v>75</v>
      </c>
      <c r="J36" s="260" t="s">
        <v>75</v>
      </c>
      <c r="K36" s="260" t="s">
        <v>75</v>
      </c>
      <c r="L36" s="260" t="s">
        <v>75</v>
      </c>
      <c r="M36" s="260" t="s">
        <v>75</v>
      </c>
      <c r="N36" s="260" t="s">
        <v>75</v>
      </c>
    </row>
    <row r="37" spans="1:14" ht="12.75" customHeight="1" thickBot="1">
      <c r="A37" s="154" t="s">
        <v>49</v>
      </c>
      <c r="B37" s="626" t="s">
        <v>75</v>
      </c>
      <c r="C37" s="261" t="s">
        <v>75</v>
      </c>
      <c r="D37" s="261" t="s">
        <v>75</v>
      </c>
      <c r="E37" s="261" t="s">
        <v>75</v>
      </c>
      <c r="F37" s="261" t="s">
        <v>75</v>
      </c>
      <c r="G37" s="261" t="s">
        <v>75</v>
      </c>
      <c r="H37" s="261" t="s">
        <v>75</v>
      </c>
      <c r="I37" s="261" t="s">
        <v>75</v>
      </c>
      <c r="J37" s="261" t="s">
        <v>75</v>
      </c>
      <c r="K37" s="261" t="s">
        <v>75</v>
      </c>
      <c r="L37" s="261" t="s">
        <v>75</v>
      </c>
      <c r="M37" s="261" t="s">
        <v>75</v>
      </c>
      <c r="N37" s="261" t="s">
        <v>75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81">
    <tabColor theme="9" tint="0.59999389629810485"/>
  </sheetPr>
  <dimension ref="A4:O4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5" ht="13.25" customHeight="1">
      <c r="A4" s="249" t="s">
        <v>553</v>
      </c>
      <c r="B4" s="245"/>
    </row>
    <row r="5" spans="1:15" ht="13.25" customHeight="1">
      <c r="A5" s="253" t="s">
        <v>238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5" ht="4" customHeight="1" thickBo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5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56"/>
    </row>
    <row r="8" spans="1:15" ht="15" customHeight="1">
      <c r="A8" s="604" t="s">
        <v>90</v>
      </c>
      <c r="B8" s="609">
        <f>SUM(C8:N8)</f>
        <v>347563.8</v>
      </c>
      <c r="C8" s="609">
        <f t="shared" ref="C8:N8" si="0">(C9+C10+C11+C12+C13+C17+C18+C19+C20+C21+C22+C23+C24+C25+C26+C27+C28+C29+C32+C33+C34+C35+C36+C37)</f>
        <v>23249</v>
      </c>
      <c r="D8" s="609">
        <f t="shared" si="0"/>
        <v>62011.8</v>
      </c>
      <c r="E8" s="609">
        <f t="shared" si="0"/>
        <v>51549</v>
      </c>
      <c r="F8" s="609">
        <f t="shared" si="0"/>
        <v>5903</v>
      </c>
      <c r="G8" s="609">
        <f t="shared" si="0"/>
        <v>2635</v>
      </c>
      <c r="H8" s="609">
        <f t="shared" si="0"/>
        <v>1599</v>
      </c>
      <c r="I8" s="609">
        <f t="shared" si="0"/>
        <v>125</v>
      </c>
      <c r="J8" s="609">
        <f t="shared" si="0"/>
        <v>0</v>
      </c>
      <c r="K8" s="609">
        <f t="shared" si="0"/>
        <v>1753</v>
      </c>
      <c r="L8" s="609">
        <f t="shared" si="0"/>
        <v>20400</v>
      </c>
      <c r="M8" s="609">
        <f t="shared" si="0"/>
        <v>148557</v>
      </c>
      <c r="N8" s="609">
        <f t="shared" si="0"/>
        <v>29782</v>
      </c>
    </row>
    <row r="9" spans="1:15" ht="12.75" customHeight="1">
      <c r="A9" s="152" t="s">
        <v>21</v>
      </c>
      <c r="B9" s="636" t="s">
        <v>242</v>
      </c>
      <c r="C9" s="258">
        <v>0</v>
      </c>
      <c r="D9" s="258">
        <v>0</v>
      </c>
      <c r="E9" s="258">
        <v>0</v>
      </c>
      <c r="F9" s="258">
        <v>0</v>
      </c>
      <c r="G9" s="258">
        <v>0</v>
      </c>
      <c r="H9" s="258">
        <v>0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</row>
    <row r="10" spans="1:15" ht="12.75" customHeight="1">
      <c r="A10" s="152" t="s">
        <v>22</v>
      </c>
      <c r="B10" s="636" t="s">
        <v>242</v>
      </c>
      <c r="C10" s="258">
        <v>0</v>
      </c>
      <c r="D10" s="258">
        <v>0</v>
      </c>
      <c r="E10" s="258">
        <v>0</v>
      </c>
      <c r="F10" s="258">
        <v>0</v>
      </c>
      <c r="G10" s="258">
        <v>0</v>
      </c>
      <c r="H10" s="258">
        <v>0</v>
      </c>
      <c r="I10" s="258">
        <v>0</v>
      </c>
      <c r="J10" s="258">
        <v>0</v>
      </c>
      <c r="K10" s="258">
        <v>0</v>
      </c>
      <c r="L10" s="258">
        <v>0</v>
      </c>
      <c r="M10" s="258">
        <v>0</v>
      </c>
      <c r="N10" s="258">
        <v>0</v>
      </c>
    </row>
    <row r="11" spans="1:15" ht="12.75" customHeight="1">
      <c r="A11" s="152" t="s">
        <v>23</v>
      </c>
      <c r="B11" s="636" t="s">
        <v>242</v>
      </c>
      <c r="C11" s="258">
        <v>0</v>
      </c>
      <c r="D11" s="258">
        <v>0</v>
      </c>
      <c r="E11" s="258">
        <v>0</v>
      </c>
      <c r="F11" s="258">
        <v>0</v>
      </c>
      <c r="G11" s="258">
        <v>0</v>
      </c>
      <c r="H11" s="258">
        <v>0</v>
      </c>
      <c r="I11" s="258">
        <v>0</v>
      </c>
      <c r="J11" s="258">
        <v>0</v>
      </c>
      <c r="K11" s="258">
        <v>0</v>
      </c>
      <c r="L11" s="258">
        <v>0</v>
      </c>
      <c r="M11" s="258">
        <v>0</v>
      </c>
      <c r="N11" s="258">
        <v>0</v>
      </c>
    </row>
    <row r="12" spans="1:15" ht="12.75" customHeight="1">
      <c r="A12" s="129" t="s">
        <v>24</v>
      </c>
      <c r="B12" s="636" t="s">
        <v>242</v>
      </c>
      <c r="C12" s="258">
        <v>0</v>
      </c>
      <c r="D12" s="258">
        <v>0</v>
      </c>
      <c r="E12" s="258">
        <v>0</v>
      </c>
      <c r="F12" s="258">
        <v>0</v>
      </c>
      <c r="G12" s="258">
        <v>0</v>
      </c>
      <c r="H12" s="258">
        <v>0</v>
      </c>
      <c r="I12" s="258">
        <v>0</v>
      </c>
      <c r="J12" s="258">
        <v>0</v>
      </c>
      <c r="K12" s="258">
        <v>0</v>
      </c>
      <c r="L12" s="258">
        <v>0</v>
      </c>
      <c r="M12" s="258">
        <v>0</v>
      </c>
      <c r="N12" s="258">
        <v>0</v>
      </c>
    </row>
    <row r="13" spans="1:15" ht="12.75" customHeight="1">
      <c r="A13" s="129" t="s">
        <v>25</v>
      </c>
      <c r="B13" s="636" t="s">
        <v>242</v>
      </c>
      <c r="C13" s="258">
        <v>0</v>
      </c>
      <c r="D13" s="258">
        <v>0</v>
      </c>
      <c r="E13" s="258">
        <v>0</v>
      </c>
      <c r="F13" s="258">
        <v>0</v>
      </c>
      <c r="G13" s="258">
        <v>0</v>
      </c>
      <c r="H13" s="258">
        <v>0</v>
      </c>
      <c r="I13" s="258">
        <v>0</v>
      </c>
      <c r="J13" s="258">
        <v>0</v>
      </c>
      <c r="K13" s="258">
        <v>0</v>
      </c>
      <c r="L13" s="258">
        <v>0</v>
      </c>
      <c r="M13" s="258">
        <v>0</v>
      </c>
      <c r="N13" s="258">
        <v>0</v>
      </c>
    </row>
    <row r="14" spans="1:15" ht="12.75" customHeight="1">
      <c r="A14" s="127" t="s">
        <v>97</v>
      </c>
      <c r="B14" s="636" t="s">
        <v>242</v>
      </c>
      <c r="C14" s="258">
        <v>0</v>
      </c>
      <c r="D14" s="258">
        <v>0</v>
      </c>
      <c r="E14" s="258">
        <v>0</v>
      </c>
      <c r="F14" s="258">
        <v>0</v>
      </c>
      <c r="G14" s="258">
        <v>0</v>
      </c>
      <c r="H14" s="258">
        <v>0</v>
      </c>
      <c r="I14" s="258">
        <v>0</v>
      </c>
      <c r="J14" s="258">
        <v>0</v>
      </c>
      <c r="K14" s="258">
        <v>0</v>
      </c>
      <c r="L14" s="258">
        <v>0</v>
      </c>
      <c r="M14" s="258">
        <v>0</v>
      </c>
      <c r="N14" s="258">
        <v>0</v>
      </c>
    </row>
    <row r="15" spans="1:15" ht="12.75" customHeight="1">
      <c r="A15" s="127" t="s">
        <v>98</v>
      </c>
      <c r="B15" s="636" t="s">
        <v>242</v>
      </c>
      <c r="C15" s="258">
        <v>0</v>
      </c>
      <c r="D15" s="258">
        <v>0</v>
      </c>
      <c r="E15" s="258">
        <v>0</v>
      </c>
      <c r="F15" s="258">
        <v>0</v>
      </c>
      <c r="G15" s="258">
        <v>0</v>
      </c>
      <c r="H15" s="258">
        <v>0</v>
      </c>
      <c r="I15" s="258">
        <v>0</v>
      </c>
      <c r="J15" s="258">
        <v>0</v>
      </c>
      <c r="K15" s="258">
        <v>0</v>
      </c>
      <c r="L15" s="258">
        <v>0</v>
      </c>
      <c r="M15" s="258">
        <v>0</v>
      </c>
      <c r="N15" s="258">
        <v>0</v>
      </c>
    </row>
    <row r="16" spans="1:15" ht="12.75" customHeight="1">
      <c r="A16" s="127" t="s">
        <v>99</v>
      </c>
      <c r="B16" s="636" t="s">
        <v>242</v>
      </c>
      <c r="C16" s="258">
        <v>0</v>
      </c>
      <c r="D16" s="258">
        <v>0</v>
      </c>
      <c r="E16" s="258">
        <v>0</v>
      </c>
      <c r="F16" s="258">
        <v>0</v>
      </c>
      <c r="G16" s="258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</row>
    <row r="17" spans="1:14" ht="12.75" customHeight="1">
      <c r="A17" s="152" t="s">
        <v>29</v>
      </c>
      <c r="B17" s="636" t="s">
        <v>242</v>
      </c>
      <c r="C17" s="258">
        <v>0</v>
      </c>
      <c r="D17" s="258">
        <v>0</v>
      </c>
      <c r="E17" s="258">
        <v>0</v>
      </c>
      <c r="F17" s="258">
        <v>0</v>
      </c>
      <c r="G17" s="258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</row>
    <row r="18" spans="1:14" ht="12.75" customHeight="1">
      <c r="A18" s="129" t="s">
        <v>30</v>
      </c>
      <c r="B18" s="636" t="s">
        <v>242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</row>
    <row r="19" spans="1:14" ht="12.75" customHeight="1">
      <c r="A19" s="129" t="s">
        <v>31</v>
      </c>
      <c r="B19" s="637">
        <f>SUM(C19:N19)</f>
        <v>1633</v>
      </c>
      <c r="C19" s="258">
        <v>0</v>
      </c>
      <c r="D19" s="258">
        <v>0</v>
      </c>
      <c r="E19" s="258">
        <v>318</v>
      </c>
      <c r="F19" s="258">
        <v>396</v>
      </c>
      <c r="G19" s="258">
        <v>495</v>
      </c>
      <c r="H19" s="258">
        <v>299</v>
      </c>
      <c r="I19" s="258">
        <v>125</v>
      </c>
      <c r="J19" s="258">
        <v>0</v>
      </c>
      <c r="K19" s="258">
        <v>0</v>
      </c>
      <c r="L19" s="258">
        <v>0</v>
      </c>
      <c r="M19" s="258">
        <v>0</v>
      </c>
      <c r="N19" s="258">
        <v>0</v>
      </c>
    </row>
    <row r="20" spans="1:14" ht="12.75" customHeight="1">
      <c r="A20" s="152" t="s">
        <v>32</v>
      </c>
      <c r="B20" s="636" t="s">
        <v>242</v>
      </c>
      <c r="C20" s="258">
        <v>0</v>
      </c>
      <c r="D20" s="258">
        <v>0</v>
      </c>
      <c r="E20" s="258">
        <v>0</v>
      </c>
      <c r="F20" s="258">
        <v>0</v>
      </c>
      <c r="G20" s="258">
        <v>0</v>
      </c>
      <c r="H20" s="258">
        <v>0</v>
      </c>
      <c r="I20" s="258">
        <v>0</v>
      </c>
      <c r="J20" s="258">
        <v>0</v>
      </c>
      <c r="K20" s="258">
        <v>0</v>
      </c>
      <c r="L20" s="258">
        <v>0</v>
      </c>
      <c r="M20" s="258">
        <v>0</v>
      </c>
      <c r="N20" s="258">
        <v>0</v>
      </c>
    </row>
    <row r="21" spans="1:14" ht="12.75" customHeight="1">
      <c r="A21" s="152" t="s">
        <v>33</v>
      </c>
      <c r="B21" s="636" t="s">
        <v>242</v>
      </c>
      <c r="C21" s="258">
        <v>0</v>
      </c>
      <c r="D21" s="258">
        <v>0</v>
      </c>
      <c r="E21" s="258">
        <v>0</v>
      </c>
      <c r="F21" s="258">
        <v>0</v>
      </c>
      <c r="G21" s="258">
        <v>0</v>
      </c>
      <c r="H21" s="258">
        <v>0</v>
      </c>
      <c r="I21" s="258">
        <v>0</v>
      </c>
      <c r="J21" s="258">
        <v>0</v>
      </c>
      <c r="K21" s="258">
        <v>0</v>
      </c>
      <c r="L21" s="258">
        <v>0</v>
      </c>
      <c r="M21" s="258">
        <v>0</v>
      </c>
      <c r="N21" s="258">
        <v>0</v>
      </c>
    </row>
    <row r="22" spans="1:14" ht="12.75" customHeight="1">
      <c r="A22" s="152" t="s">
        <v>34</v>
      </c>
      <c r="B22" s="637">
        <f t="shared" ref="B22:B33" si="1">SUM(C22:N22)</f>
        <v>8840</v>
      </c>
      <c r="C22" s="258">
        <v>0</v>
      </c>
      <c r="D22" s="258">
        <v>0</v>
      </c>
      <c r="E22" s="258">
        <v>0</v>
      </c>
      <c r="F22" s="258">
        <v>0</v>
      </c>
      <c r="G22" s="258">
        <v>0</v>
      </c>
      <c r="H22" s="258">
        <v>0</v>
      </c>
      <c r="I22" s="258">
        <v>0</v>
      </c>
      <c r="J22" s="258">
        <v>0</v>
      </c>
      <c r="K22" s="258">
        <v>0</v>
      </c>
      <c r="L22" s="258">
        <v>1940</v>
      </c>
      <c r="M22" s="258">
        <v>4177</v>
      </c>
      <c r="N22" s="258">
        <v>2723</v>
      </c>
    </row>
    <row r="23" spans="1:14" ht="12.75" customHeight="1">
      <c r="A23" s="152" t="s">
        <v>35</v>
      </c>
      <c r="B23" s="637">
        <f t="shared" si="1"/>
        <v>36310</v>
      </c>
      <c r="C23" s="258">
        <v>0</v>
      </c>
      <c r="D23" s="258">
        <v>0</v>
      </c>
      <c r="E23" s="258">
        <v>0</v>
      </c>
      <c r="F23" s="258">
        <v>0</v>
      </c>
      <c r="G23" s="258">
        <v>0</v>
      </c>
      <c r="H23" s="258">
        <v>0</v>
      </c>
      <c r="I23" s="258">
        <v>0</v>
      </c>
      <c r="J23" s="258">
        <v>0</v>
      </c>
      <c r="K23" s="258">
        <v>1610</v>
      </c>
      <c r="L23" s="258">
        <v>17826</v>
      </c>
      <c r="M23" s="258">
        <v>15190</v>
      </c>
      <c r="N23" s="258">
        <v>1684</v>
      </c>
    </row>
    <row r="24" spans="1:14" ht="12.75" customHeight="1">
      <c r="A24" s="152" t="s">
        <v>36</v>
      </c>
      <c r="B24" s="637">
        <f t="shared" si="1"/>
        <v>6161.8</v>
      </c>
      <c r="C24" s="258">
        <v>0</v>
      </c>
      <c r="D24" s="258">
        <v>3420.8</v>
      </c>
      <c r="E24" s="258">
        <v>343</v>
      </c>
      <c r="F24" s="258">
        <v>45</v>
      </c>
      <c r="G24" s="258">
        <v>784</v>
      </c>
      <c r="H24" s="258">
        <v>1132</v>
      </c>
      <c r="I24" s="258">
        <v>0</v>
      </c>
      <c r="J24" s="258">
        <v>0</v>
      </c>
      <c r="K24" s="258">
        <v>0</v>
      </c>
      <c r="L24" s="258">
        <v>0</v>
      </c>
      <c r="M24" s="258">
        <v>31</v>
      </c>
      <c r="N24" s="258">
        <v>406</v>
      </c>
    </row>
    <row r="25" spans="1:14" ht="12.75" customHeight="1">
      <c r="A25" s="129" t="s">
        <v>37</v>
      </c>
      <c r="B25" s="637">
        <f t="shared" si="1"/>
        <v>18259</v>
      </c>
      <c r="C25" s="258">
        <v>4916</v>
      </c>
      <c r="D25" s="258">
        <v>4606</v>
      </c>
      <c r="E25" s="258">
        <v>4573</v>
      </c>
      <c r="F25" s="258">
        <v>0</v>
      </c>
      <c r="G25" s="258">
        <v>0</v>
      </c>
      <c r="H25" s="258">
        <v>0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4164</v>
      </c>
    </row>
    <row r="26" spans="1:14" ht="12.75" customHeight="1">
      <c r="A26" s="152" t="s">
        <v>38</v>
      </c>
      <c r="B26" s="637">
        <f t="shared" si="1"/>
        <v>4286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143</v>
      </c>
      <c r="L26" s="258">
        <v>634</v>
      </c>
      <c r="M26" s="258">
        <v>1347</v>
      </c>
      <c r="N26" s="258">
        <v>2162</v>
      </c>
    </row>
    <row r="27" spans="1:14" ht="12.75" customHeight="1">
      <c r="A27" s="152" t="s">
        <v>39</v>
      </c>
      <c r="B27" s="637">
        <f t="shared" si="1"/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</row>
    <row r="28" spans="1:14" ht="12.75" customHeight="1">
      <c r="A28" s="152" t="s">
        <v>40</v>
      </c>
      <c r="B28" s="637">
        <f t="shared" si="1"/>
        <v>7925</v>
      </c>
      <c r="C28" s="258">
        <v>0</v>
      </c>
      <c r="D28" s="258">
        <v>2676</v>
      </c>
      <c r="E28" s="258">
        <v>1228</v>
      </c>
      <c r="F28" s="258">
        <v>1971</v>
      </c>
      <c r="G28" s="258">
        <v>1007</v>
      </c>
      <c r="H28" s="258">
        <v>168</v>
      </c>
      <c r="I28" s="258">
        <v>0</v>
      </c>
      <c r="J28" s="258">
        <v>0</v>
      </c>
      <c r="K28" s="258">
        <v>0</v>
      </c>
      <c r="L28" s="258">
        <v>0</v>
      </c>
      <c r="M28" s="258">
        <v>540</v>
      </c>
      <c r="N28" s="258">
        <v>335</v>
      </c>
    </row>
    <row r="29" spans="1:14" ht="12.75" customHeight="1">
      <c r="A29" s="129" t="s">
        <v>41</v>
      </c>
      <c r="B29" s="637">
        <f t="shared" si="1"/>
        <v>17489</v>
      </c>
      <c r="C29" s="258">
        <v>3353</v>
      </c>
      <c r="D29" s="258">
        <v>6009</v>
      </c>
      <c r="E29" s="258">
        <v>2197</v>
      </c>
      <c r="F29" s="258">
        <v>3491</v>
      </c>
      <c r="G29" s="258">
        <v>349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1012</v>
      </c>
      <c r="N29" s="258">
        <v>1078</v>
      </c>
    </row>
    <row r="30" spans="1:14" ht="12.75" customHeight="1">
      <c r="A30" s="127" t="s">
        <v>100</v>
      </c>
      <c r="B30" s="637">
        <f t="shared" si="1"/>
        <v>10837</v>
      </c>
      <c r="C30" s="258">
        <v>823</v>
      </c>
      <c r="D30" s="258">
        <v>3299</v>
      </c>
      <c r="E30" s="258">
        <v>1347</v>
      </c>
      <c r="F30" s="258">
        <v>3190</v>
      </c>
      <c r="G30" s="258">
        <v>88</v>
      </c>
      <c r="H30" s="258">
        <v>0</v>
      </c>
      <c r="I30" s="258">
        <v>0</v>
      </c>
      <c r="J30" s="258">
        <v>0</v>
      </c>
      <c r="K30" s="258">
        <v>0</v>
      </c>
      <c r="L30" s="258">
        <v>0</v>
      </c>
      <c r="M30" s="258">
        <v>1012</v>
      </c>
      <c r="N30" s="258">
        <v>1078</v>
      </c>
    </row>
    <row r="31" spans="1:14" ht="12.75" customHeight="1">
      <c r="A31" s="127" t="s">
        <v>101</v>
      </c>
      <c r="B31" s="637">
        <f t="shared" si="1"/>
        <v>6652</v>
      </c>
      <c r="C31" s="258">
        <v>2530</v>
      </c>
      <c r="D31" s="258">
        <v>2710</v>
      </c>
      <c r="E31" s="258">
        <v>850</v>
      </c>
      <c r="F31" s="258">
        <v>301</v>
      </c>
      <c r="G31" s="258">
        <v>261</v>
      </c>
      <c r="H31" s="258">
        <v>0</v>
      </c>
      <c r="I31" s="258">
        <v>0</v>
      </c>
      <c r="J31" s="258">
        <v>0</v>
      </c>
      <c r="K31" s="258">
        <v>0</v>
      </c>
      <c r="L31" s="258">
        <v>0</v>
      </c>
      <c r="M31" s="258">
        <v>0</v>
      </c>
      <c r="N31" s="258">
        <v>0</v>
      </c>
    </row>
    <row r="32" spans="1:14" ht="12.75" customHeight="1">
      <c r="A32" s="152" t="s">
        <v>44</v>
      </c>
      <c r="B32" s="637">
        <f t="shared" si="1"/>
        <v>24210</v>
      </c>
      <c r="C32" s="258">
        <v>14980</v>
      </c>
      <c r="D32" s="258">
        <v>2900</v>
      </c>
      <c r="E32" s="258">
        <v>1500</v>
      </c>
      <c r="F32" s="258">
        <v>0</v>
      </c>
      <c r="G32" s="258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4160</v>
      </c>
      <c r="N32" s="258">
        <v>670</v>
      </c>
    </row>
    <row r="33" spans="1:14" ht="12.75" customHeight="1">
      <c r="A33" s="152" t="s">
        <v>45</v>
      </c>
      <c r="B33" s="637">
        <f t="shared" si="1"/>
        <v>222450</v>
      </c>
      <c r="C33" s="258">
        <v>0</v>
      </c>
      <c r="D33" s="258">
        <v>42400</v>
      </c>
      <c r="E33" s="258">
        <v>41390</v>
      </c>
      <c r="F33" s="258">
        <v>0</v>
      </c>
      <c r="G33" s="258">
        <v>0</v>
      </c>
      <c r="H33" s="258">
        <v>0</v>
      </c>
      <c r="I33" s="258">
        <v>0</v>
      </c>
      <c r="J33" s="258">
        <v>0</v>
      </c>
      <c r="K33" s="258">
        <v>0</v>
      </c>
      <c r="L33" s="258">
        <v>0</v>
      </c>
      <c r="M33" s="258">
        <v>122100</v>
      </c>
      <c r="N33" s="258">
        <v>16560</v>
      </c>
    </row>
    <row r="34" spans="1:14" ht="12.75" customHeight="1">
      <c r="A34" s="129" t="s">
        <v>46</v>
      </c>
      <c r="B34" s="636" t="s">
        <v>242</v>
      </c>
      <c r="C34" s="258">
        <v>0</v>
      </c>
      <c r="D34" s="258">
        <v>0</v>
      </c>
      <c r="E34" s="258">
        <v>0</v>
      </c>
      <c r="F34" s="258">
        <v>0</v>
      </c>
      <c r="G34" s="258">
        <v>0</v>
      </c>
      <c r="H34" s="258">
        <v>0</v>
      </c>
      <c r="I34" s="258">
        <v>0</v>
      </c>
      <c r="J34" s="258">
        <v>0</v>
      </c>
      <c r="K34" s="258">
        <v>0</v>
      </c>
      <c r="L34" s="258">
        <v>0</v>
      </c>
      <c r="M34" s="258">
        <v>0</v>
      </c>
      <c r="N34" s="258">
        <v>0</v>
      </c>
    </row>
    <row r="35" spans="1:14" ht="12.75" customHeight="1">
      <c r="A35" s="129" t="s">
        <v>47</v>
      </c>
      <c r="B35" s="636" t="s">
        <v>242</v>
      </c>
      <c r="C35" s="258">
        <v>0</v>
      </c>
      <c r="D35" s="258">
        <v>0</v>
      </c>
      <c r="E35" s="258">
        <v>0</v>
      </c>
      <c r="F35" s="258">
        <v>0</v>
      </c>
      <c r="G35" s="258">
        <v>0</v>
      </c>
      <c r="H35" s="258">
        <v>0</v>
      </c>
      <c r="I35" s="258">
        <v>0</v>
      </c>
      <c r="J35" s="258">
        <v>0</v>
      </c>
      <c r="K35" s="258">
        <v>0</v>
      </c>
      <c r="L35" s="258">
        <v>0</v>
      </c>
      <c r="M35" s="258">
        <v>0</v>
      </c>
      <c r="N35" s="258">
        <v>0</v>
      </c>
    </row>
    <row r="36" spans="1:14" ht="12.75" customHeight="1">
      <c r="A36" s="129" t="s">
        <v>48</v>
      </c>
      <c r="B36" s="636" t="s">
        <v>242</v>
      </c>
      <c r="C36" s="258">
        <v>0</v>
      </c>
      <c r="D36" s="258">
        <v>0</v>
      </c>
      <c r="E36" s="258">
        <v>0</v>
      </c>
      <c r="F36" s="258">
        <v>0</v>
      </c>
      <c r="G36" s="258">
        <v>0</v>
      </c>
      <c r="H36" s="258">
        <v>0</v>
      </c>
      <c r="I36" s="258">
        <v>0</v>
      </c>
      <c r="J36" s="258">
        <v>0</v>
      </c>
      <c r="K36" s="258">
        <v>0</v>
      </c>
      <c r="L36" s="258">
        <v>0</v>
      </c>
      <c r="M36" s="258">
        <v>0</v>
      </c>
      <c r="N36" s="258">
        <v>0</v>
      </c>
    </row>
    <row r="37" spans="1:14" ht="12.75" customHeight="1" thickBot="1">
      <c r="A37" s="154" t="s">
        <v>49</v>
      </c>
      <c r="B37" s="638" t="s">
        <v>242</v>
      </c>
      <c r="C37" s="259">
        <v>0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82">
    <tabColor theme="9" tint="0.59999389629810485"/>
  </sheetPr>
  <dimension ref="A4:O4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5" ht="13.25" customHeight="1">
      <c r="A4" s="249" t="s">
        <v>554</v>
      </c>
      <c r="B4" s="245"/>
    </row>
    <row r="5" spans="1:15" ht="13.25" customHeight="1">
      <c r="A5" s="253" t="s">
        <v>236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15" ht="4" customHeight="1" thickBot="1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5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  <c r="O7" s="156"/>
    </row>
    <row r="8" spans="1:15" ht="15" customHeight="1">
      <c r="A8" s="604" t="s">
        <v>90</v>
      </c>
      <c r="B8" s="607">
        <f>SUM(C8:N8)</f>
        <v>696</v>
      </c>
      <c r="C8" s="606">
        <f t="shared" ref="C8:N8" si="0">(C9+C10+C11+C12+C13+C17+C18+C19+C20+C21+C22+C23+C24+C25+C26+C27+C28+C29+C32+C33+C34+C35+C36+C37)</f>
        <v>43</v>
      </c>
      <c r="D8" s="606">
        <f t="shared" si="0"/>
        <v>118</v>
      </c>
      <c r="E8" s="606">
        <f t="shared" si="0"/>
        <v>100</v>
      </c>
      <c r="F8" s="606">
        <f t="shared" si="0"/>
        <v>10</v>
      </c>
      <c r="G8" s="606">
        <f t="shared" si="0"/>
        <v>5</v>
      </c>
      <c r="H8" s="606">
        <f t="shared" si="0"/>
        <v>2</v>
      </c>
      <c r="I8" s="606">
        <f t="shared" si="0"/>
        <v>0</v>
      </c>
      <c r="J8" s="606">
        <f t="shared" si="0"/>
        <v>0</v>
      </c>
      <c r="K8" s="606">
        <f t="shared" si="0"/>
        <v>3</v>
      </c>
      <c r="L8" s="606">
        <f t="shared" si="0"/>
        <v>47</v>
      </c>
      <c r="M8" s="606">
        <f t="shared" si="0"/>
        <v>307</v>
      </c>
      <c r="N8" s="606">
        <f t="shared" si="0"/>
        <v>61</v>
      </c>
    </row>
    <row r="9" spans="1:15" ht="12.75" customHeight="1">
      <c r="A9" s="152" t="s">
        <v>21</v>
      </c>
      <c r="B9" s="633" t="s">
        <v>242</v>
      </c>
      <c r="C9" s="268">
        <v>0</v>
      </c>
      <c r="D9" s="268">
        <v>0</v>
      </c>
      <c r="E9" s="268">
        <v>0</v>
      </c>
      <c r="F9" s="268">
        <v>0</v>
      </c>
      <c r="G9" s="268">
        <v>0</v>
      </c>
      <c r="H9" s="268">
        <v>0</v>
      </c>
      <c r="I9" s="268">
        <v>0</v>
      </c>
      <c r="J9" s="268">
        <v>0</v>
      </c>
      <c r="K9" s="268">
        <v>0</v>
      </c>
      <c r="L9" s="268">
        <v>0</v>
      </c>
      <c r="M9" s="268">
        <v>0</v>
      </c>
      <c r="N9" s="268">
        <v>0</v>
      </c>
    </row>
    <row r="10" spans="1:15" ht="12.75" customHeight="1">
      <c r="A10" s="152" t="s">
        <v>22</v>
      </c>
      <c r="B10" s="633" t="s">
        <v>242</v>
      </c>
      <c r="C10" s="268">
        <v>0</v>
      </c>
      <c r="D10" s="268">
        <v>0</v>
      </c>
      <c r="E10" s="268">
        <v>0</v>
      </c>
      <c r="F10" s="268">
        <v>0</v>
      </c>
      <c r="G10" s="268">
        <v>0</v>
      </c>
      <c r="H10" s="268">
        <v>0</v>
      </c>
      <c r="I10" s="268">
        <v>0</v>
      </c>
      <c r="J10" s="268">
        <v>0</v>
      </c>
      <c r="K10" s="268">
        <v>0</v>
      </c>
      <c r="L10" s="268">
        <v>0</v>
      </c>
      <c r="M10" s="268">
        <v>0</v>
      </c>
      <c r="N10" s="268">
        <v>0</v>
      </c>
    </row>
    <row r="11" spans="1:15" ht="12.75" customHeight="1">
      <c r="A11" s="152" t="s">
        <v>23</v>
      </c>
      <c r="B11" s="633" t="s">
        <v>242</v>
      </c>
      <c r="C11" s="268">
        <v>0</v>
      </c>
      <c r="D11" s="268">
        <v>0</v>
      </c>
      <c r="E11" s="268">
        <v>0</v>
      </c>
      <c r="F11" s="268">
        <v>0</v>
      </c>
      <c r="G11" s="268">
        <v>0</v>
      </c>
      <c r="H11" s="268">
        <v>0</v>
      </c>
      <c r="I11" s="268">
        <v>0</v>
      </c>
      <c r="J11" s="268">
        <v>0</v>
      </c>
      <c r="K11" s="268">
        <v>0</v>
      </c>
      <c r="L11" s="268">
        <v>0</v>
      </c>
      <c r="M11" s="268">
        <v>0</v>
      </c>
      <c r="N11" s="268">
        <v>0</v>
      </c>
    </row>
    <row r="12" spans="1:15" ht="12.75" customHeight="1">
      <c r="A12" s="129" t="s">
        <v>24</v>
      </c>
      <c r="B12" s="633" t="s">
        <v>242</v>
      </c>
      <c r="C12" s="268">
        <v>0</v>
      </c>
      <c r="D12" s="268">
        <v>0</v>
      </c>
      <c r="E12" s="268">
        <v>0</v>
      </c>
      <c r="F12" s="268">
        <v>0</v>
      </c>
      <c r="G12" s="268">
        <v>0</v>
      </c>
      <c r="H12" s="268">
        <v>0</v>
      </c>
      <c r="I12" s="268">
        <v>0</v>
      </c>
      <c r="J12" s="268">
        <v>0</v>
      </c>
      <c r="K12" s="268">
        <v>0</v>
      </c>
      <c r="L12" s="268">
        <v>0</v>
      </c>
      <c r="M12" s="268">
        <v>0</v>
      </c>
      <c r="N12" s="268">
        <v>0</v>
      </c>
    </row>
    <row r="13" spans="1:15" ht="12.75" customHeight="1">
      <c r="A13" s="129" t="s">
        <v>25</v>
      </c>
      <c r="B13" s="633" t="s">
        <v>242</v>
      </c>
      <c r="C13" s="268">
        <v>0</v>
      </c>
      <c r="D13" s="268">
        <v>0</v>
      </c>
      <c r="E13" s="268">
        <v>0</v>
      </c>
      <c r="F13" s="268">
        <v>0</v>
      </c>
      <c r="G13" s="268">
        <v>0</v>
      </c>
      <c r="H13" s="268">
        <v>0</v>
      </c>
      <c r="I13" s="268">
        <v>0</v>
      </c>
      <c r="J13" s="268">
        <v>0</v>
      </c>
      <c r="K13" s="268">
        <v>0</v>
      </c>
      <c r="L13" s="268">
        <v>0</v>
      </c>
      <c r="M13" s="268">
        <v>0</v>
      </c>
      <c r="N13" s="268">
        <v>0</v>
      </c>
    </row>
    <row r="14" spans="1:15" ht="12.75" customHeight="1">
      <c r="A14" s="127" t="s">
        <v>97</v>
      </c>
      <c r="B14" s="633" t="s">
        <v>242</v>
      </c>
      <c r="C14" s="268">
        <v>0</v>
      </c>
      <c r="D14" s="268">
        <v>0</v>
      </c>
      <c r="E14" s="268">
        <v>0</v>
      </c>
      <c r="F14" s="268">
        <v>0</v>
      </c>
      <c r="G14" s="268">
        <v>0</v>
      </c>
      <c r="H14" s="268">
        <v>0</v>
      </c>
      <c r="I14" s="268">
        <v>0</v>
      </c>
      <c r="J14" s="268">
        <v>0</v>
      </c>
      <c r="K14" s="268">
        <v>0</v>
      </c>
      <c r="L14" s="268">
        <v>0</v>
      </c>
      <c r="M14" s="268">
        <v>0</v>
      </c>
      <c r="N14" s="268">
        <v>0</v>
      </c>
    </row>
    <row r="15" spans="1:15" ht="12.75" customHeight="1">
      <c r="A15" s="127" t="s">
        <v>98</v>
      </c>
      <c r="B15" s="633" t="s">
        <v>242</v>
      </c>
      <c r="C15" s="268">
        <v>0</v>
      </c>
      <c r="D15" s="268">
        <v>0</v>
      </c>
      <c r="E15" s="268">
        <v>0</v>
      </c>
      <c r="F15" s="268">
        <v>0</v>
      </c>
      <c r="G15" s="268">
        <v>0</v>
      </c>
      <c r="H15" s="268">
        <v>0</v>
      </c>
      <c r="I15" s="268">
        <v>0</v>
      </c>
      <c r="J15" s="268">
        <v>0</v>
      </c>
      <c r="K15" s="268">
        <v>0</v>
      </c>
      <c r="L15" s="268">
        <v>0</v>
      </c>
      <c r="M15" s="268">
        <v>0</v>
      </c>
      <c r="N15" s="268">
        <v>0</v>
      </c>
    </row>
    <row r="16" spans="1:15" ht="12.75" customHeight="1">
      <c r="A16" s="127" t="s">
        <v>99</v>
      </c>
      <c r="B16" s="633" t="s">
        <v>242</v>
      </c>
      <c r="C16" s="268">
        <v>0</v>
      </c>
      <c r="D16" s="268">
        <v>0</v>
      </c>
      <c r="E16" s="268">
        <v>0</v>
      </c>
      <c r="F16" s="268">
        <v>0</v>
      </c>
      <c r="G16" s="268">
        <v>0</v>
      </c>
      <c r="H16" s="268">
        <v>0</v>
      </c>
      <c r="I16" s="268">
        <v>0</v>
      </c>
      <c r="J16" s="268">
        <v>0</v>
      </c>
      <c r="K16" s="268">
        <v>0</v>
      </c>
      <c r="L16" s="268">
        <v>0</v>
      </c>
      <c r="M16" s="268">
        <v>0</v>
      </c>
      <c r="N16" s="268">
        <v>0</v>
      </c>
    </row>
    <row r="17" spans="1:14" ht="12.75" customHeight="1">
      <c r="A17" s="152" t="s">
        <v>29</v>
      </c>
      <c r="B17" s="633" t="s">
        <v>242</v>
      </c>
      <c r="C17" s="268">
        <v>0</v>
      </c>
      <c r="D17" s="268">
        <v>0</v>
      </c>
      <c r="E17" s="268">
        <v>0</v>
      </c>
      <c r="F17" s="268">
        <v>0</v>
      </c>
      <c r="G17" s="268">
        <v>0</v>
      </c>
      <c r="H17" s="268">
        <v>0</v>
      </c>
      <c r="I17" s="268">
        <v>0</v>
      </c>
      <c r="J17" s="268">
        <v>0</v>
      </c>
      <c r="K17" s="268">
        <v>0</v>
      </c>
      <c r="L17" s="268">
        <v>0</v>
      </c>
      <c r="M17" s="268">
        <v>0</v>
      </c>
      <c r="N17" s="268">
        <v>0</v>
      </c>
    </row>
    <row r="18" spans="1:14" ht="12.75" customHeight="1">
      <c r="A18" s="129" t="s">
        <v>30</v>
      </c>
      <c r="B18" s="633" t="s">
        <v>242</v>
      </c>
      <c r="C18" s="268">
        <v>0</v>
      </c>
      <c r="D18" s="268">
        <v>0</v>
      </c>
      <c r="E18" s="268">
        <v>0</v>
      </c>
      <c r="F18" s="268">
        <v>0</v>
      </c>
      <c r="G18" s="268">
        <v>0</v>
      </c>
      <c r="H18" s="268">
        <v>0</v>
      </c>
      <c r="I18" s="268">
        <v>0</v>
      </c>
      <c r="J18" s="268">
        <v>0</v>
      </c>
      <c r="K18" s="268">
        <v>0</v>
      </c>
      <c r="L18" s="268">
        <v>0</v>
      </c>
      <c r="M18" s="268">
        <v>0</v>
      </c>
      <c r="N18" s="268">
        <v>0</v>
      </c>
    </row>
    <row r="19" spans="1:14" ht="12.75" customHeight="1">
      <c r="A19" s="129" t="s">
        <v>31</v>
      </c>
      <c r="B19" s="634">
        <f>SUM(C19:N19)</f>
        <v>2</v>
      </c>
      <c r="C19" s="268">
        <v>0</v>
      </c>
      <c r="D19" s="268">
        <v>0</v>
      </c>
      <c r="E19" s="268">
        <v>0</v>
      </c>
      <c r="F19" s="268">
        <v>1</v>
      </c>
      <c r="G19" s="268">
        <v>1</v>
      </c>
      <c r="H19" s="268">
        <v>0</v>
      </c>
      <c r="I19" s="268">
        <v>0</v>
      </c>
      <c r="J19" s="268">
        <v>0</v>
      </c>
      <c r="K19" s="268">
        <v>0</v>
      </c>
      <c r="L19" s="268">
        <v>0</v>
      </c>
      <c r="M19" s="268">
        <v>0</v>
      </c>
      <c r="N19" s="268">
        <v>0</v>
      </c>
    </row>
    <row r="20" spans="1:14" ht="12.75" customHeight="1">
      <c r="A20" s="152" t="s">
        <v>32</v>
      </c>
      <c r="B20" s="633" t="s">
        <v>242</v>
      </c>
      <c r="C20" s="268">
        <v>0</v>
      </c>
      <c r="D20" s="268">
        <v>0</v>
      </c>
      <c r="E20" s="268">
        <v>0</v>
      </c>
      <c r="F20" s="268">
        <v>0</v>
      </c>
      <c r="G20" s="268">
        <v>0</v>
      </c>
      <c r="H20" s="268">
        <v>0</v>
      </c>
      <c r="I20" s="268">
        <v>0</v>
      </c>
      <c r="J20" s="268">
        <v>0</v>
      </c>
      <c r="K20" s="268">
        <v>0</v>
      </c>
      <c r="L20" s="268">
        <v>0</v>
      </c>
      <c r="M20" s="268">
        <v>0</v>
      </c>
      <c r="N20" s="268">
        <v>0</v>
      </c>
    </row>
    <row r="21" spans="1:14" ht="12.75" customHeight="1">
      <c r="A21" s="152" t="s">
        <v>33</v>
      </c>
      <c r="B21" s="633" t="s">
        <v>242</v>
      </c>
      <c r="C21" s="268">
        <v>0</v>
      </c>
      <c r="D21" s="268">
        <v>0</v>
      </c>
      <c r="E21" s="268">
        <v>0</v>
      </c>
      <c r="F21" s="268">
        <v>0</v>
      </c>
      <c r="G21" s="268">
        <v>0</v>
      </c>
      <c r="H21" s="268">
        <v>0</v>
      </c>
      <c r="I21" s="268">
        <v>0</v>
      </c>
      <c r="J21" s="268">
        <v>0</v>
      </c>
      <c r="K21" s="268">
        <v>0</v>
      </c>
      <c r="L21" s="268">
        <v>0</v>
      </c>
      <c r="M21" s="268">
        <v>0</v>
      </c>
      <c r="N21" s="268">
        <v>0</v>
      </c>
    </row>
    <row r="22" spans="1:14" ht="12.75" customHeight="1">
      <c r="A22" s="152" t="s">
        <v>34</v>
      </c>
      <c r="B22" s="634">
        <f t="shared" ref="B22:B26" si="1">SUM(C22:N22)</f>
        <v>15</v>
      </c>
      <c r="C22" s="268">
        <v>0</v>
      </c>
      <c r="D22" s="268">
        <v>0</v>
      </c>
      <c r="E22" s="268">
        <v>0</v>
      </c>
      <c r="F22" s="268">
        <v>0</v>
      </c>
      <c r="G22" s="268">
        <v>0</v>
      </c>
      <c r="H22" s="268">
        <v>0</v>
      </c>
      <c r="I22" s="268">
        <v>0</v>
      </c>
      <c r="J22" s="268">
        <v>0</v>
      </c>
      <c r="K22" s="268">
        <v>0</v>
      </c>
      <c r="L22" s="268">
        <v>4</v>
      </c>
      <c r="M22" s="268">
        <v>7</v>
      </c>
      <c r="N22" s="268">
        <v>4</v>
      </c>
    </row>
    <row r="23" spans="1:14" ht="12.75" customHeight="1">
      <c r="A23" s="152" t="s">
        <v>35</v>
      </c>
      <c r="B23" s="634">
        <f t="shared" si="1"/>
        <v>85</v>
      </c>
      <c r="C23" s="268">
        <v>0</v>
      </c>
      <c r="D23" s="268">
        <v>0</v>
      </c>
      <c r="E23" s="268">
        <v>0</v>
      </c>
      <c r="F23" s="268">
        <v>0</v>
      </c>
      <c r="G23" s="268">
        <v>0</v>
      </c>
      <c r="H23" s="268">
        <v>0</v>
      </c>
      <c r="I23" s="268">
        <v>0</v>
      </c>
      <c r="J23" s="268">
        <v>0</v>
      </c>
      <c r="K23" s="268">
        <v>3</v>
      </c>
      <c r="L23" s="268">
        <v>42</v>
      </c>
      <c r="M23" s="268">
        <v>37</v>
      </c>
      <c r="N23" s="268">
        <v>3</v>
      </c>
    </row>
    <row r="24" spans="1:14" ht="12.75" customHeight="1">
      <c r="A24" s="152" t="s">
        <v>36</v>
      </c>
      <c r="B24" s="634">
        <f t="shared" si="1"/>
        <v>11</v>
      </c>
      <c r="C24" s="268">
        <v>0</v>
      </c>
      <c r="D24" s="268">
        <v>6</v>
      </c>
      <c r="E24" s="268">
        <v>1</v>
      </c>
      <c r="F24" s="268">
        <v>0</v>
      </c>
      <c r="G24" s="268">
        <v>1</v>
      </c>
      <c r="H24" s="268">
        <v>2</v>
      </c>
      <c r="I24" s="268">
        <v>0</v>
      </c>
      <c r="J24" s="268">
        <v>0</v>
      </c>
      <c r="K24" s="268">
        <v>0</v>
      </c>
      <c r="L24" s="268">
        <v>0</v>
      </c>
      <c r="M24" s="268">
        <v>0</v>
      </c>
      <c r="N24" s="268">
        <v>1</v>
      </c>
    </row>
    <row r="25" spans="1:14" ht="12.75" customHeight="1">
      <c r="A25" s="129" t="s">
        <v>37</v>
      </c>
      <c r="B25" s="634">
        <f t="shared" si="1"/>
        <v>39</v>
      </c>
      <c r="C25" s="268">
        <v>10</v>
      </c>
      <c r="D25" s="268">
        <v>10</v>
      </c>
      <c r="E25" s="268">
        <v>10</v>
      </c>
      <c r="F25" s="268">
        <v>0</v>
      </c>
      <c r="G25" s="268">
        <v>0</v>
      </c>
      <c r="H25" s="268">
        <v>0</v>
      </c>
      <c r="I25" s="268">
        <v>0</v>
      </c>
      <c r="J25" s="268">
        <v>0</v>
      </c>
      <c r="K25" s="268">
        <v>0</v>
      </c>
      <c r="L25" s="268">
        <v>0</v>
      </c>
      <c r="M25" s="268">
        <v>0</v>
      </c>
      <c r="N25" s="268">
        <v>9</v>
      </c>
    </row>
    <row r="26" spans="1:14" ht="12.75" customHeight="1">
      <c r="A26" s="152" t="s">
        <v>38</v>
      </c>
      <c r="B26" s="634">
        <f t="shared" si="1"/>
        <v>7</v>
      </c>
      <c r="C26" s="268">
        <v>0</v>
      </c>
      <c r="D26" s="268">
        <v>0</v>
      </c>
      <c r="E26" s="268">
        <v>0</v>
      </c>
      <c r="F26" s="268">
        <v>0</v>
      </c>
      <c r="G26" s="268">
        <v>0</v>
      </c>
      <c r="H26" s="268">
        <v>0</v>
      </c>
      <c r="I26" s="268">
        <v>0</v>
      </c>
      <c r="J26" s="268">
        <v>0</v>
      </c>
      <c r="K26" s="268">
        <v>0</v>
      </c>
      <c r="L26" s="268">
        <v>1</v>
      </c>
      <c r="M26" s="268">
        <v>3</v>
      </c>
      <c r="N26" s="268">
        <v>3</v>
      </c>
    </row>
    <row r="27" spans="1:14" ht="12.75" customHeight="1">
      <c r="A27" s="152" t="s">
        <v>39</v>
      </c>
      <c r="B27" s="634">
        <f t="shared" ref="B27:B33" si="2">SUM(C27:N27)</f>
        <v>0</v>
      </c>
      <c r="C27" s="268">
        <v>0</v>
      </c>
      <c r="D27" s="268">
        <v>0</v>
      </c>
      <c r="E27" s="268">
        <v>0</v>
      </c>
      <c r="F27" s="268">
        <v>0</v>
      </c>
      <c r="G27" s="268">
        <v>0</v>
      </c>
      <c r="H27" s="268">
        <v>0</v>
      </c>
      <c r="I27" s="268">
        <v>0</v>
      </c>
      <c r="J27" s="268">
        <v>0</v>
      </c>
      <c r="K27" s="268">
        <v>0</v>
      </c>
      <c r="L27" s="268">
        <v>0</v>
      </c>
      <c r="M27" s="268">
        <v>0</v>
      </c>
      <c r="N27" s="268">
        <v>0</v>
      </c>
    </row>
    <row r="28" spans="1:14" ht="12.75" customHeight="1">
      <c r="A28" s="152" t="s">
        <v>40</v>
      </c>
      <c r="B28" s="634">
        <f t="shared" si="2"/>
        <v>12</v>
      </c>
      <c r="C28" s="268">
        <v>0</v>
      </c>
      <c r="D28" s="268">
        <v>4</v>
      </c>
      <c r="E28" s="268">
        <v>2</v>
      </c>
      <c r="F28" s="268">
        <v>3</v>
      </c>
      <c r="G28" s="268">
        <v>2</v>
      </c>
      <c r="H28" s="268">
        <v>0</v>
      </c>
      <c r="I28" s="268">
        <v>0</v>
      </c>
      <c r="J28" s="268">
        <v>0</v>
      </c>
      <c r="K28" s="268">
        <v>0</v>
      </c>
      <c r="L28" s="268">
        <v>0</v>
      </c>
      <c r="M28" s="268">
        <v>1</v>
      </c>
      <c r="N28" s="268">
        <v>0</v>
      </c>
    </row>
    <row r="29" spans="1:14" ht="12.75" customHeight="1">
      <c r="A29" s="129" t="s">
        <v>41</v>
      </c>
      <c r="B29" s="634">
        <f t="shared" si="2"/>
        <v>32</v>
      </c>
      <c r="C29" s="268">
        <v>6</v>
      </c>
      <c r="D29" s="268">
        <v>11</v>
      </c>
      <c r="E29" s="268">
        <v>4</v>
      </c>
      <c r="F29" s="268">
        <v>6</v>
      </c>
      <c r="G29" s="268">
        <v>1</v>
      </c>
      <c r="H29" s="268">
        <v>0</v>
      </c>
      <c r="I29" s="268">
        <v>0</v>
      </c>
      <c r="J29" s="268">
        <v>0</v>
      </c>
      <c r="K29" s="268">
        <v>0</v>
      </c>
      <c r="L29" s="268">
        <v>0</v>
      </c>
      <c r="M29" s="268">
        <v>2</v>
      </c>
      <c r="N29" s="268">
        <v>2</v>
      </c>
    </row>
    <row r="30" spans="1:14" ht="12.75" customHeight="1">
      <c r="A30" s="127" t="s">
        <v>100</v>
      </c>
      <c r="B30" s="634">
        <f t="shared" si="2"/>
        <v>18</v>
      </c>
      <c r="C30" s="268">
        <v>1</v>
      </c>
      <c r="D30" s="268">
        <v>6</v>
      </c>
      <c r="E30" s="268">
        <v>2</v>
      </c>
      <c r="F30" s="268">
        <v>5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2</v>
      </c>
      <c r="N30" s="268">
        <v>2</v>
      </c>
    </row>
    <row r="31" spans="1:14" ht="12.75" customHeight="1">
      <c r="A31" s="127" t="s">
        <v>101</v>
      </c>
      <c r="B31" s="634">
        <f t="shared" si="2"/>
        <v>12</v>
      </c>
      <c r="C31" s="268">
        <v>5</v>
      </c>
      <c r="D31" s="268">
        <v>5</v>
      </c>
      <c r="E31" s="268">
        <v>2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</row>
    <row r="32" spans="1:14" ht="12.75" customHeight="1">
      <c r="A32" s="152" t="s">
        <v>44</v>
      </c>
      <c r="B32" s="634">
        <f t="shared" si="2"/>
        <v>43</v>
      </c>
      <c r="C32" s="268">
        <v>27</v>
      </c>
      <c r="D32" s="268">
        <v>4</v>
      </c>
      <c r="E32" s="268">
        <v>2</v>
      </c>
      <c r="F32" s="268">
        <v>0</v>
      </c>
      <c r="G32" s="268">
        <v>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8">
        <v>9</v>
      </c>
      <c r="N32" s="268">
        <v>1</v>
      </c>
    </row>
    <row r="33" spans="1:14" ht="12.75" customHeight="1">
      <c r="A33" s="152" t="s">
        <v>45</v>
      </c>
      <c r="B33" s="634">
        <f t="shared" si="2"/>
        <v>450</v>
      </c>
      <c r="C33" s="268">
        <v>0</v>
      </c>
      <c r="D33" s="268">
        <v>83</v>
      </c>
      <c r="E33" s="268">
        <v>81</v>
      </c>
      <c r="F33" s="268">
        <v>0</v>
      </c>
      <c r="G33" s="268">
        <v>0</v>
      </c>
      <c r="H33" s="268">
        <v>0</v>
      </c>
      <c r="I33" s="268">
        <v>0</v>
      </c>
      <c r="J33" s="268">
        <v>0</v>
      </c>
      <c r="K33" s="268">
        <v>0</v>
      </c>
      <c r="L33" s="268">
        <v>0</v>
      </c>
      <c r="M33" s="268">
        <v>248</v>
      </c>
      <c r="N33" s="268">
        <v>38</v>
      </c>
    </row>
    <row r="34" spans="1:14" ht="12.75" customHeight="1">
      <c r="A34" s="129" t="s">
        <v>46</v>
      </c>
      <c r="B34" s="633" t="s">
        <v>242</v>
      </c>
      <c r="C34" s="268">
        <v>0</v>
      </c>
      <c r="D34" s="268">
        <v>0</v>
      </c>
      <c r="E34" s="268">
        <v>0</v>
      </c>
      <c r="F34" s="268">
        <v>0</v>
      </c>
      <c r="G34" s="268">
        <v>0</v>
      </c>
      <c r="H34" s="268">
        <v>0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</row>
    <row r="35" spans="1:14" ht="12.75" customHeight="1">
      <c r="A35" s="129" t="s">
        <v>47</v>
      </c>
      <c r="B35" s="633" t="s">
        <v>242</v>
      </c>
      <c r="C35" s="268">
        <v>0</v>
      </c>
      <c r="D35" s="268">
        <v>0</v>
      </c>
      <c r="E35" s="268">
        <v>0</v>
      </c>
      <c r="F35" s="268">
        <v>0</v>
      </c>
      <c r="G35" s="268">
        <v>0</v>
      </c>
      <c r="H35" s="268">
        <v>0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</row>
    <row r="36" spans="1:14" ht="12.75" customHeight="1">
      <c r="A36" s="129" t="s">
        <v>48</v>
      </c>
      <c r="B36" s="633" t="s">
        <v>242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</row>
    <row r="37" spans="1:14" ht="12.75" customHeight="1" thickBot="1">
      <c r="A37" s="154" t="s">
        <v>49</v>
      </c>
      <c r="B37" s="635" t="s">
        <v>242</v>
      </c>
      <c r="C37" s="269">
        <v>0</v>
      </c>
      <c r="D37" s="269">
        <v>0</v>
      </c>
      <c r="E37" s="269">
        <v>0</v>
      </c>
      <c r="F37" s="269">
        <v>0</v>
      </c>
      <c r="G37" s="269">
        <v>0</v>
      </c>
      <c r="H37" s="269">
        <v>0</v>
      </c>
      <c r="I37" s="269">
        <v>0</v>
      </c>
      <c r="J37" s="269">
        <v>0</v>
      </c>
      <c r="K37" s="269">
        <v>0</v>
      </c>
      <c r="L37" s="269">
        <v>0</v>
      </c>
      <c r="M37" s="269">
        <v>0</v>
      </c>
      <c r="N37" s="269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83">
    <tabColor theme="9" tint="0.59999389629810485"/>
  </sheetPr>
  <dimension ref="A4:N4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555</v>
      </c>
      <c r="B4" s="245"/>
    </row>
    <row r="5" spans="1:14" ht="13.25" customHeight="1">
      <c r="A5" s="252" t="s">
        <v>468</v>
      </c>
      <c r="B5" s="245"/>
    </row>
    <row r="6" spans="1:14" ht="4" customHeight="1" thickBot="1"/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5">
        <f>'C-81'!B8/'C-80'!B8*1000</f>
        <v>2.0025100427604947</v>
      </c>
      <c r="C8" s="605">
        <f>'C-81'!C8/'C-80'!C8*1000</f>
        <v>1.849541915781324</v>
      </c>
      <c r="D8" s="605">
        <f>'C-81'!D8/'C-80'!D8*1000</f>
        <v>1.9028636485314083</v>
      </c>
      <c r="E8" s="605">
        <f>'C-81'!E8/'C-80'!E8*1000</f>
        <v>1.9399018409668471</v>
      </c>
      <c r="F8" s="605">
        <f>'C-81'!F8/'C-80'!F8*1000</f>
        <v>1.694053870913095</v>
      </c>
      <c r="G8" s="605">
        <f>'C-81'!G8/'C-80'!G8*1000</f>
        <v>1.8975332068311195</v>
      </c>
      <c r="H8" s="605">
        <f>'C-81'!H8/'C-80'!H8*1000</f>
        <v>1.2507817385866167</v>
      </c>
      <c r="I8" s="605">
        <f>'C-81'!I8/'C-80'!I8*1000</f>
        <v>0</v>
      </c>
      <c r="J8" s="605" t="s">
        <v>75</v>
      </c>
      <c r="K8" s="605">
        <f>'C-81'!K8/'C-80'!K8*1000</f>
        <v>1.7113519680547633</v>
      </c>
      <c r="L8" s="605">
        <f>'C-81'!L8/'C-80'!L8*1000</f>
        <v>2.3039215686274512</v>
      </c>
      <c r="M8" s="605">
        <f>'C-81'!M8/'C-80'!M8*1000</f>
        <v>2.066546847338059</v>
      </c>
      <c r="N8" s="605">
        <f>'C-81'!N8/'C-80'!N8*1000</f>
        <v>2.0482170438519911</v>
      </c>
    </row>
    <row r="9" spans="1:14" ht="12.75" customHeight="1">
      <c r="A9" s="152" t="s">
        <v>21</v>
      </c>
      <c r="B9" s="625" t="s">
        <v>75</v>
      </c>
      <c r="C9" s="260" t="s">
        <v>75</v>
      </c>
      <c r="D9" s="260" t="s">
        <v>75</v>
      </c>
      <c r="E9" s="260" t="s">
        <v>75</v>
      </c>
      <c r="F9" s="260" t="s">
        <v>75</v>
      </c>
      <c r="G9" s="260" t="s">
        <v>75</v>
      </c>
      <c r="H9" s="260" t="s">
        <v>75</v>
      </c>
      <c r="I9" s="260" t="s">
        <v>75</v>
      </c>
      <c r="J9" s="260" t="s">
        <v>75</v>
      </c>
      <c r="K9" s="260" t="s">
        <v>75</v>
      </c>
      <c r="L9" s="260" t="s">
        <v>75</v>
      </c>
      <c r="M9" s="260" t="s">
        <v>75</v>
      </c>
      <c r="N9" s="260" t="s">
        <v>75</v>
      </c>
    </row>
    <row r="10" spans="1:14" ht="12.75" customHeight="1">
      <c r="A10" s="152" t="s">
        <v>22</v>
      </c>
      <c r="B10" s="625" t="s">
        <v>75</v>
      </c>
      <c r="C10" s="260" t="s">
        <v>75</v>
      </c>
      <c r="D10" s="260" t="s">
        <v>75</v>
      </c>
      <c r="E10" s="260" t="s">
        <v>75</v>
      </c>
      <c r="F10" s="260" t="s">
        <v>75</v>
      </c>
      <c r="G10" s="260" t="s">
        <v>75</v>
      </c>
      <c r="H10" s="260" t="s">
        <v>75</v>
      </c>
      <c r="I10" s="260" t="s">
        <v>75</v>
      </c>
      <c r="J10" s="260" t="s">
        <v>75</v>
      </c>
      <c r="K10" s="260" t="s">
        <v>75</v>
      </c>
      <c r="L10" s="260" t="s">
        <v>75</v>
      </c>
      <c r="M10" s="260" t="s">
        <v>75</v>
      </c>
      <c r="N10" s="260" t="s">
        <v>75</v>
      </c>
    </row>
    <row r="11" spans="1:14" ht="12.75" customHeight="1">
      <c r="A11" s="152" t="s">
        <v>23</v>
      </c>
      <c r="B11" s="625" t="s">
        <v>75</v>
      </c>
      <c r="C11" s="260" t="s">
        <v>75</v>
      </c>
      <c r="D11" s="260" t="s">
        <v>75</v>
      </c>
      <c r="E11" s="260" t="s">
        <v>75</v>
      </c>
      <c r="F11" s="260" t="s">
        <v>75</v>
      </c>
      <c r="G11" s="260" t="s">
        <v>75</v>
      </c>
      <c r="H11" s="260" t="s">
        <v>75</v>
      </c>
      <c r="I11" s="260" t="s">
        <v>75</v>
      </c>
      <c r="J11" s="260" t="s">
        <v>75</v>
      </c>
      <c r="K11" s="260" t="s">
        <v>75</v>
      </c>
      <c r="L11" s="260" t="s">
        <v>75</v>
      </c>
      <c r="M11" s="260" t="s">
        <v>75</v>
      </c>
      <c r="N11" s="260" t="s">
        <v>75</v>
      </c>
    </row>
    <row r="12" spans="1:14" ht="12.75" customHeight="1">
      <c r="A12" s="129" t="s">
        <v>24</v>
      </c>
      <c r="B12" s="625" t="s">
        <v>75</v>
      </c>
      <c r="C12" s="260" t="s">
        <v>75</v>
      </c>
      <c r="D12" s="260" t="s">
        <v>75</v>
      </c>
      <c r="E12" s="260" t="s">
        <v>75</v>
      </c>
      <c r="F12" s="260" t="s">
        <v>75</v>
      </c>
      <c r="G12" s="260" t="s">
        <v>75</v>
      </c>
      <c r="H12" s="260" t="s">
        <v>75</v>
      </c>
      <c r="I12" s="260" t="s">
        <v>75</v>
      </c>
      <c r="J12" s="260" t="s">
        <v>75</v>
      </c>
      <c r="K12" s="260" t="s">
        <v>75</v>
      </c>
      <c r="L12" s="260" t="s">
        <v>75</v>
      </c>
      <c r="M12" s="260" t="s">
        <v>75</v>
      </c>
      <c r="N12" s="260" t="s">
        <v>75</v>
      </c>
    </row>
    <row r="13" spans="1:14" ht="12.75" customHeight="1">
      <c r="A13" s="129" t="s">
        <v>25</v>
      </c>
      <c r="B13" s="625" t="s">
        <v>75</v>
      </c>
      <c r="C13" s="260" t="s">
        <v>75</v>
      </c>
      <c r="D13" s="260" t="s">
        <v>75</v>
      </c>
      <c r="E13" s="260" t="s">
        <v>75</v>
      </c>
      <c r="F13" s="260" t="s">
        <v>75</v>
      </c>
      <c r="G13" s="260" t="s">
        <v>75</v>
      </c>
      <c r="H13" s="260" t="s">
        <v>75</v>
      </c>
      <c r="I13" s="260" t="s">
        <v>75</v>
      </c>
      <c r="J13" s="260" t="s">
        <v>75</v>
      </c>
      <c r="K13" s="260" t="s">
        <v>75</v>
      </c>
      <c r="L13" s="260" t="s">
        <v>75</v>
      </c>
      <c r="M13" s="260" t="s">
        <v>75</v>
      </c>
      <c r="N13" s="260" t="s">
        <v>75</v>
      </c>
    </row>
    <row r="14" spans="1:14" ht="12.75" customHeight="1">
      <c r="A14" s="127" t="s">
        <v>97</v>
      </c>
      <c r="B14" s="625" t="s">
        <v>75</v>
      </c>
      <c r="C14" s="260" t="s">
        <v>75</v>
      </c>
      <c r="D14" s="260" t="s">
        <v>75</v>
      </c>
      <c r="E14" s="260" t="s">
        <v>75</v>
      </c>
      <c r="F14" s="260" t="s">
        <v>75</v>
      </c>
      <c r="G14" s="260" t="s">
        <v>75</v>
      </c>
      <c r="H14" s="260" t="s">
        <v>75</v>
      </c>
      <c r="I14" s="260" t="s">
        <v>75</v>
      </c>
      <c r="J14" s="260" t="s">
        <v>75</v>
      </c>
      <c r="K14" s="260" t="s">
        <v>75</v>
      </c>
      <c r="L14" s="260" t="s">
        <v>75</v>
      </c>
      <c r="M14" s="260" t="s">
        <v>75</v>
      </c>
      <c r="N14" s="260" t="s">
        <v>75</v>
      </c>
    </row>
    <row r="15" spans="1:14" ht="12.75" customHeight="1">
      <c r="A15" s="127" t="s">
        <v>98</v>
      </c>
      <c r="B15" s="625" t="s">
        <v>75</v>
      </c>
      <c r="C15" s="260" t="s">
        <v>75</v>
      </c>
      <c r="D15" s="260" t="s">
        <v>75</v>
      </c>
      <c r="E15" s="260" t="s">
        <v>75</v>
      </c>
      <c r="F15" s="260" t="s">
        <v>75</v>
      </c>
      <c r="G15" s="260" t="s">
        <v>75</v>
      </c>
      <c r="H15" s="260" t="s">
        <v>75</v>
      </c>
      <c r="I15" s="260" t="s">
        <v>75</v>
      </c>
      <c r="J15" s="260" t="s">
        <v>75</v>
      </c>
      <c r="K15" s="260" t="s">
        <v>75</v>
      </c>
      <c r="L15" s="260" t="s">
        <v>75</v>
      </c>
      <c r="M15" s="260" t="s">
        <v>75</v>
      </c>
      <c r="N15" s="260" t="s">
        <v>75</v>
      </c>
    </row>
    <row r="16" spans="1:14" ht="12.75" customHeight="1">
      <c r="A16" s="127" t="s">
        <v>99</v>
      </c>
      <c r="B16" s="625" t="s">
        <v>75</v>
      </c>
      <c r="C16" s="260" t="s">
        <v>75</v>
      </c>
      <c r="D16" s="260" t="s">
        <v>75</v>
      </c>
      <c r="E16" s="260" t="s">
        <v>75</v>
      </c>
      <c r="F16" s="260" t="s">
        <v>75</v>
      </c>
      <c r="G16" s="260" t="s">
        <v>75</v>
      </c>
      <c r="H16" s="260" t="s">
        <v>75</v>
      </c>
      <c r="I16" s="260" t="s">
        <v>75</v>
      </c>
      <c r="J16" s="260" t="s">
        <v>75</v>
      </c>
      <c r="K16" s="260" t="s">
        <v>75</v>
      </c>
      <c r="L16" s="260" t="s">
        <v>75</v>
      </c>
      <c r="M16" s="260" t="s">
        <v>75</v>
      </c>
      <c r="N16" s="260" t="s">
        <v>75</v>
      </c>
    </row>
    <row r="17" spans="1:14" ht="12.75" customHeight="1">
      <c r="A17" s="152" t="s">
        <v>29</v>
      </c>
      <c r="B17" s="625" t="s">
        <v>75</v>
      </c>
      <c r="C17" s="260" t="s">
        <v>75</v>
      </c>
      <c r="D17" s="260" t="s">
        <v>75</v>
      </c>
      <c r="E17" s="260" t="s">
        <v>75</v>
      </c>
      <c r="F17" s="260" t="s">
        <v>75</v>
      </c>
      <c r="G17" s="260" t="s">
        <v>75</v>
      </c>
      <c r="H17" s="260" t="s">
        <v>75</v>
      </c>
      <c r="I17" s="260" t="s">
        <v>75</v>
      </c>
      <c r="J17" s="260" t="s">
        <v>75</v>
      </c>
      <c r="K17" s="260" t="s">
        <v>75</v>
      </c>
      <c r="L17" s="260" t="s">
        <v>75</v>
      </c>
      <c r="M17" s="260" t="s">
        <v>75</v>
      </c>
      <c r="N17" s="260" t="s">
        <v>75</v>
      </c>
    </row>
    <row r="18" spans="1:14" ht="12.75" customHeight="1">
      <c r="A18" s="129" t="s">
        <v>30</v>
      </c>
      <c r="B18" s="625" t="s">
        <v>75</v>
      </c>
      <c r="C18" s="260" t="s">
        <v>75</v>
      </c>
      <c r="D18" s="260" t="s">
        <v>75</v>
      </c>
      <c r="E18" s="260" t="s">
        <v>75</v>
      </c>
      <c r="F18" s="260" t="s">
        <v>75</v>
      </c>
      <c r="G18" s="260" t="s">
        <v>75</v>
      </c>
      <c r="H18" s="260" t="s">
        <v>75</v>
      </c>
      <c r="I18" s="260" t="s">
        <v>75</v>
      </c>
      <c r="J18" s="260" t="s">
        <v>75</v>
      </c>
      <c r="K18" s="260" t="s">
        <v>75</v>
      </c>
      <c r="L18" s="260" t="s">
        <v>75</v>
      </c>
      <c r="M18" s="260" t="s">
        <v>75</v>
      </c>
      <c r="N18" s="260" t="s">
        <v>75</v>
      </c>
    </row>
    <row r="19" spans="1:14" ht="12.75" customHeight="1">
      <c r="A19" s="129" t="s">
        <v>31</v>
      </c>
      <c r="B19" s="625">
        <f>'C-81'!B19/'C-80'!B19*1000</f>
        <v>1.224739742804654</v>
      </c>
      <c r="C19" s="260" t="s">
        <v>75</v>
      </c>
      <c r="D19" s="260" t="s">
        <v>75</v>
      </c>
      <c r="E19" s="260">
        <f>'C-81'!E19/'C-80'!E19*1000</f>
        <v>0</v>
      </c>
      <c r="F19" s="260">
        <f>'C-81'!F19/'C-80'!F19*1000</f>
        <v>2.5252525252525255</v>
      </c>
      <c r="G19" s="260">
        <f>'C-81'!G19/'C-80'!G19*1000</f>
        <v>2.0202020202020203</v>
      </c>
      <c r="H19" s="260">
        <f>'C-81'!H19/'C-80'!H19*1000</f>
        <v>0</v>
      </c>
      <c r="I19" s="260">
        <f>'C-81'!I19/'C-80'!I19*1000</f>
        <v>0</v>
      </c>
      <c r="J19" s="260" t="s">
        <v>75</v>
      </c>
      <c r="K19" s="260" t="s">
        <v>75</v>
      </c>
      <c r="L19" s="260" t="s">
        <v>75</v>
      </c>
      <c r="M19" s="260" t="s">
        <v>75</v>
      </c>
      <c r="N19" s="260" t="s">
        <v>75</v>
      </c>
    </row>
    <row r="20" spans="1:14" ht="12.75" customHeight="1">
      <c r="A20" s="152" t="s">
        <v>32</v>
      </c>
      <c r="B20" s="625" t="s">
        <v>75</v>
      </c>
      <c r="C20" s="260" t="s">
        <v>75</v>
      </c>
      <c r="D20" s="260" t="s">
        <v>75</v>
      </c>
      <c r="E20" s="260" t="s">
        <v>75</v>
      </c>
      <c r="F20" s="260" t="s">
        <v>75</v>
      </c>
      <c r="G20" s="260" t="s">
        <v>75</v>
      </c>
      <c r="H20" s="260" t="s">
        <v>75</v>
      </c>
      <c r="I20" s="260" t="s">
        <v>75</v>
      </c>
      <c r="J20" s="260" t="s">
        <v>75</v>
      </c>
      <c r="K20" s="260" t="s">
        <v>75</v>
      </c>
      <c r="L20" s="260" t="s">
        <v>75</v>
      </c>
      <c r="M20" s="260" t="s">
        <v>75</v>
      </c>
      <c r="N20" s="260" t="s">
        <v>75</v>
      </c>
    </row>
    <row r="21" spans="1:14" ht="12.75" customHeight="1">
      <c r="A21" s="152" t="s">
        <v>33</v>
      </c>
      <c r="B21" s="625" t="s">
        <v>75</v>
      </c>
      <c r="C21" s="260" t="s">
        <v>75</v>
      </c>
      <c r="D21" s="260" t="s">
        <v>75</v>
      </c>
      <c r="E21" s="260" t="s">
        <v>75</v>
      </c>
      <c r="F21" s="260" t="s">
        <v>75</v>
      </c>
      <c r="G21" s="260" t="s">
        <v>75</v>
      </c>
      <c r="H21" s="260" t="s">
        <v>75</v>
      </c>
      <c r="I21" s="260" t="s">
        <v>75</v>
      </c>
      <c r="J21" s="260" t="s">
        <v>75</v>
      </c>
      <c r="K21" s="260" t="s">
        <v>75</v>
      </c>
      <c r="L21" s="260" t="s">
        <v>75</v>
      </c>
      <c r="M21" s="260" t="s">
        <v>75</v>
      </c>
      <c r="N21" s="260" t="s">
        <v>75</v>
      </c>
    </row>
    <row r="22" spans="1:14" ht="12.75" customHeight="1">
      <c r="A22" s="152" t="s">
        <v>34</v>
      </c>
      <c r="B22" s="625">
        <f>'C-81'!B22/'C-80'!B22*1000</f>
        <v>1.6968325791855203</v>
      </c>
      <c r="C22" s="260" t="s">
        <v>75</v>
      </c>
      <c r="D22" s="260" t="s">
        <v>75</v>
      </c>
      <c r="E22" s="260" t="s">
        <v>75</v>
      </c>
      <c r="F22" s="260" t="s">
        <v>75</v>
      </c>
      <c r="G22" s="260" t="s">
        <v>75</v>
      </c>
      <c r="H22" s="260" t="s">
        <v>75</v>
      </c>
      <c r="I22" s="260" t="s">
        <v>75</v>
      </c>
      <c r="J22" s="260" t="s">
        <v>75</v>
      </c>
      <c r="K22" s="260" t="s">
        <v>75</v>
      </c>
      <c r="L22" s="260">
        <f>'C-81'!L22/'C-80'!L22*1000</f>
        <v>2.061855670103093</v>
      </c>
      <c r="M22" s="260">
        <f>'C-81'!M22/'C-80'!M22*1000</f>
        <v>1.6758439071103661</v>
      </c>
      <c r="N22" s="260">
        <f>'C-81'!N22/'C-80'!N22*1000</f>
        <v>1.4689680499449136</v>
      </c>
    </row>
    <row r="23" spans="1:14" ht="12.75" customHeight="1">
      <c r="A23" s="152" t="s">
        <v>35</v>
      </c>
      <c r="B23" s="625">
        <f>'C-81'!B23/'C-80'!B23*1000</f>
        <v>2.3409529055356648</v>
      </c>
      <c r="C23" s="260" t="s">
        <v>75</v>
      </c>
      <c r="D23" s="260" t="s">
        <v>75</v>
      </c>
      <c r="E23" s="260" t="s">
        <v>75</v>
      </c>
      <c r="F23" s="260" t="s">
        <v>75</v>
      </c>
      <c r="G23" s="260" t="s">
        <v>75</v>
      </c>
      <c r="H23" s="260" t="s">
        <v>75</v>
      </c>
      <c r="I23" s="260" t="s">
        <v>75</v>
      </c>
      <c r="J23" s="260" t="s">
        <v>75</v>
      </c>
      <c r="K23" s="260" t="s">
        <v>75</v>
      </c>
      <c r="L23" s="260">
        <f>'C-81'!L23/'C-80'!L23*1000</f>
        <v>2.3561090541905081</v>
      </c>
      <c r="M23" s="260">
        <f>'C-81'!M23/'C-80'!M23*1000</f>
        <v>2.435813034891376</v>
      </c>
      <c r="N23" s="260">
        <f>'C-81'!N23/'C-80'!N23*1000</f>
        <v>1.7814726840855108</v>
      </c>
    </row>
    <row r="24" spans="1:14" ht="12.75" customHeight="1">
      <c r="A24" s="152" t="s">
        <v>36</v>
      </c>
      <c r="B24" s="625">
        <f>'C-81'!B24/'C-80'!B24*1000</f>
        <v>1.7851926385147197</v>
      </c>
      <c r="C24" s="260" t="s">
        <v>75</v>
      </c>
      <c r="D24" s="260">
        <f>'C-81'!D24/'C-80'!D24*1000</f>
        <v>1.7539756782039289</v>
      </c>
      <c r="E24" s="260">
        <f>'C-81'!E24/'C-80'!E24*1000</f>
        <v>2.9154518950437316</v>
      </c>
      <c r="F24" s="260">
        <f>'C-81'!F24/'C-80'!F24*1000</f>
        <v>0</v>
      </c>
      <c r="G24" s="260">
        <f>'C-81'!G24/'C-80'!G24*1000</f>
        <v>1.2755102040816326</v>
      </c>
      <c r="H24" s="260">
        <f>'C-81'!H24/'C-80'!H24*1000</f>
        <v>1.7667844522968197</v>
      </c>
      <c r="I24" s="260" t="s">
        <v>75</v>
      </c>
      <c r="J24" s="260" t="s">
        <v>75</v>
      </c>
      <c r="K24" s="260" t="s">
        <v>75</v>
      </c>
      <c r="L24" s="260" t="s">
        <v>75</v>
      </c>
      <c r="M24" s="260">
        <f>'C-81'!M24/'C-80'!M24*1000</f>
        <v>0</v>
      </c>
      <c r="N24" s="260">
        <f>'C-81'!N24/'C-80'!N24*1000</f>
        <v>2.4630541871921183</v>
      </c>
    </row>
    <row r="25" spans="1:14" ht="12.75" customHeight="1">
      <c r="A25" s="129" t="s">
        <v>37</v>
      </c>
      <c r="B25" s="625">
        <f>'C-81'!B25/'C-80'!B25*1000</f>
        <v>2.1359329645654199</v>
      </c>
      <c r="C25" s="260">
        <f>'C-81'!C25/'C-80'!C25*1000</f>
        <v>2.0341741253051264</v>
      </c>
      <c r="D25" s="260">
        <f>'C-81'!D25/'C-80'!D25*1000</f>
        <v>2.1710811984368217</v>
      </c>
      <c r="E25" s="260">
        <f>'C-81'!E25/'C-80'!E25*1000</f>
        <v>2.1867483052700631</v>
      </c>
      <c r="F25" s="260" t="s">
        <v>75</v>
      </c>
      <c r="G25" s="260" t="s">
        <v>75</v>
      </c>
      <c r="H25" s="260" t="s">
        <v>75</v>
      </c>
      <c r="I25" s="260" t="s">
        <v>75</v>
      </c>
      <c r="J25" s="260" t="s">
        <v>75</v>
      </c>
      <c r="K25" s="260" t="s">
        <v>75</v>
      </c>
      <c r="L25" s="260" t="s">
        <v>75</v>
      </c>
      <c r="M25" s="260" t="s">
        <v>75</v>
      </c>
      <c r="N25" s="260">
        <f>'C-81'!N25/'C-80'!N25*1000</f>
        <v>2.1613832853025938</v>
      </c>
    </row>
    <row r="26" spans="1:14" ht="12.75" customHeight="1">
      <c r="A26" s="152" t="s">
        <v>38</v>
      </c>
      <c r="B26" s="625">
        <f>'C-81'!B26/'C-80'!B26*1000</f>
        <v>1.6332244517032197</v>
      </c>
      <c r="C26" s="260" t="s">
        <v>75</v>
      </c>
      <c r="D26" s="260" t="s">
        <v>75</v>
      </c>
      <c r="E26" s="260" t="s">
        <v>75</v>
      </c>
      <c r="F26" s="260" t="s">
        <v>75</v>
      </c>
      <c r="G26" s="260" t="s">
        <v>75</v>
      </c>
      <c r="H26" s="260" t="s">
        <v>75</v>
      </c>
      <c r="I26" s="260" t="s">
        <v>75</v>
      </c>
      <c r="J26" s="260" t="s">
        <v>75</v>
      </c>
      <c r="K26" s="260">
        <f>'C-81'!K26/'C-80'!K26*1000</f>
        <v>0</v>
      </c>
      <c r="L26" s="260">
        <f>'C-81'!L26/'C-80'!L26*1000</f>
        <v>1.5772870662460567</v>
      </c>
      <c r="M26" s="260">
        <f>'C-81'!M26/'C-80'!M26*1000</f>
        <v>2.2271714922048997</v>
      </c>
      <c r="N26" s="260">
        <f>'C-81'!N26/'C-80'!N26*1000</f>
        <v>1.3876040703052728</v>
      </c>
    </row>
    <row r="27" spans="1:14" ht="12.75" customHeight="1">
      <c r="A27" s="152" t="s">
        <v>39</v>
      </c>
      <c r="B27" s="625" t="s">
        <v>75</v>
      </c>
      <c r="C27" s="260" t="s">
        <v>75</v>
      </c>
      <c r="D27" s="260" t="s">
        <v>75</v>
      </c>
      <c r="E27" s="260" t="s">
        <v>75</v>
      </c>
      <c r="F27" s="260" t="s">
        <v>75</v>
      </c>
      <c r="G27" s="260" t="s">
        <v>75</v>
      </c>
      <c r="H27" s="260" t="s">
        <v>75</v>
      </c>
      <c r="I27" s="260" t="s">
        <v>75</v>
      </c>
      <c r="J27" s="260" t="s">
        <v>75</v>
      </c>
      <c r="K27" s="260" t="s">
        <v>75</v>
      </c>
      <c r="L27" s="260" t="s">
        <v>75</v>
      </c>
      <c r="M27" s="260" t="s">
        <v>75</v>
      </c>
      <c r="N27" s="260" t="s">
        <v>75</v>
      </c>
    </row>
    <row r="28" spans="1:14" ht="12.75" customHeight="1">
      <c r="A28" s="152" t="s">
        <v>40</v>
      </c>
      <c r="B28" s="625">
        <f>'C-81'!B28/'C-80'!B28*1000</f>
        <v>1.5141955835962144</v>
      </c>
      <c r="C28" s="260" t="e">
        <f>'C-81'!C28/'C-80'!C28*1000</f>
        <v>#DIV/0!</v>
      </c>
      <c r="D28" s="260">
        <f>'C-81'!D28/'C-80'!D28*1000</f>
        <v>1.4947683109118086</v>
      </c>
      <c r="E28" s="260">
        <f>'C-81'!E28/'C-80'!E28*1000</f>
        <v>1.6286644951140066</v>
      </c>
      <c r="F28" s="260">
        <f>'C-81'!F28/'C-80'!F28*1000</f>
        <v>1.5220700152207001</v>
      </c>
      <c r="G28" s="260">
        <f>'C-81'!G28/'C-80'!G28*1000</f>
        <v>1.9860973187686195</v>
      </c>
      <c r="H28" s="260">
        <f>'C-81'!H28/'C-80'!H28*1000</f>
        <v>0</v>
      </c>
      <c r="I28" s="260" t="s">
        <v>75</v>
      </c>
      <c r="J28" s="260" t="s">
        <v>75</v>
      </c>
      <c r="K28" s="260" t="s">
        <v>75</v>
      </c>
      <c r="L28" s="260" t="s">
        <v>75</v>
      </c>
      <c r="M28" s="260">
        <f>'C-81'!M28/'C-80'!M28*1000</f>
        <v>1.8518518518518519</v>
      </c>
      <c r="N28" s="260">
        <f>'C-81'!N28/'C-80'!N28*1000</f>
        <v>0</v>
      </c>
    </row>
    <row r="29" spans="1:14" ht="12.75" customHeight="1">
      <c r="A29" s="129" t="s">
        <v>41</v>
      </c>
      <c r="B29" s="625">
        <f>'C-81'!B29/'C-80'!B29*1000</f>
        <v>1.8297215392532451</v>
      </c>
      <c r="C29" s="260">
        <f>'C-81'!C29/'C-80'!C29*1000</f>
        <v>1.789442290486132</v>
      </c>
      <c r="D29" s="260">
        <f>'C-81'!D29/'C-80'!D29*1000</f>
        <v>1.8305874521551007</v>
      </c>
      <c r="E29" s="260">
        <f>'C-81'!E29/'C-80'!E29*1000</f>
        <v>1.8206645425580337</v>
      </c>
      <c r="F29" s="260">
        <f>'C-81'!F29/'C-80'!F29*1000</f>
        <v>1.7187052420509883</v>
      </c>
      <c r="G29" s="260">
        <f>'C-81'!G29/'C-80'!G29*1000</f>
        <v>2.8653295128939829</v>
      </c>
      <c r="H29" s="260" t="s">
        <v>75</v>
      </c>
      <c r="I29" s="260" t="s">
        <v>75</v>
      </c>
      <c r="J29" s="260" t="s">
        <v>75</v>
      </c>
      <c r="K29" s="260" t="s">
        <v>75</v>
      </c>
      <c r="L29" s="260" t="s">
        <v>75</v>
      </c>
      <c r="M29" s="260">
        <f>'C-81'!M29/'C-80'!M29*1000</f>
        <v>1.9762845849802371</v>
      </c>
      <c r="N29" s="260">
        <f>'C-81'!N29/'C-80'!N29*1000</f>
        <v>1.8552875695732838</v>
      </c>
    </row>
    <row r="30" spans="1:14" ht="12.75" customHeight="1">
      <c r="A30" s="127" t="s">
        <v>100</v>
      </c>
      <c r="B30" s="625">
        <f>'C-81'!B30/'C-80'!B30*1000</f>
        <v>1.6609762849497094</v>
      </c>
      <c r="C30" s="260">
        <f>'C-81'!C30/'C-80'!C30*1000</f>
        <v>1.215066828675577</v>
      </c>
      <c r="D30" s="260">
        <f>'C-81'!D30/'C-80'!D30*1000</f>
        <v>1.8187329493785995</v>
      </c>
      <c r="E30" s="260">
        <f>'C-81'!E30/'C-80'!E30*1000</f>
        <v>1.4847809948032664</v>
      </c>
      <c r="F30" s="260">
        <f>'C-81'!F30/'C-80'!F30*1000</f>
        <v>1.567398119122257</v>
      </c>
      <c r="G30" s="260">
        <f>'C-81'!G30/'C-80'!G30*1000</f>
        <v>0</v>
      </c>
      <c r="H30" s="260" t="s">
        <v>75</v>
      </c>
      <c r="I30" s="260" t="s">
        <v>75</v>
      </c>
      <c r="J30" s="260" t="s">
        <v>75</v>
      </c>
      <c r="K30" s="260" t="s">
        <v>75</v>
      </c>
      <c r="L30" s="260" t="s">
        <v>75</v>
      </c>
      <c r="M30" s="260">
        <f>'C-81'!M30/'C-80'!M30*1000</f>
        <v>1.9762845849802371</v>
      </c>
      <c r="N30" s="260">
        <f>'C-81'!N30/'C-80'!N30*1000</f>
        <v>1.8552875695732838</v>
      </c>
    </row>
    <row r="31" spans="1:14" ht="12.75" customHeight="1">
      <c r="A31" s="127" t="s">
        <v>101</v>
      </c>
      <c r="B31" s="625">
        <f>'C-81'!B31/'C-80'!B31*1000</f>
        <v>1.8039687312086592</v>
      </c>
      <c r="C31" s="260">
        <f>'C-81'!C31/'C-80'!C31*1000</f>
        <v>1.9762845849802371</v>
      </c>
      <c r="D31" s="260">
        <f>'C-81'!D31/'C-80'!D31*1000</f>
        <v>1.8450184501845017</v>
      </c>
      <c r="E31" s="260">
        <f>'C-81'!E31/'C-80'!E31*1000</f>
        <v>2.3529411764705879</v>
      </c>
      <c r="F31" s="260">
        <f>'C-81'!F31/'C-80'!F31*1000</f>
        <v>0</v>
      </c>
      <c r="G31" s="260">
        <f>'C-81'!G31/'C-80'!G31*1000</f>
        <v>0</v>
      </c>
      <c r="H31" s="260" t="s">
        <v>75</v>
      </c>
      <c r="I31" s="260" t="s">
        <v>75</v>
      </c>
      <c r="J31" s="260" t="s">
        <v>75</v>
      </c>
      <c r="K31" s="260" t="s">
        <v>75</v>
      </c>
      <c r="L31" s="260" t="s">
        <v>75</v>
      </c>
      <c r="M31" s="260" t="s">
        <v>75</v>
      </c>
      <c r="N31" s="260" t="s">
        <v>75</v>
      </c>
    </row>
    <row r="32" spans="1:14" ht="12.75" customHeight="1">
      <c r="A32" s="152" t="s">
        <v>44</v>
      </c>
      <c r="B32" s="625">
        <f>'C-81'!B32/'C-80'!B32*1000</f>
        <v>1.7761255679471293</v>
      </c>
      <c r="C32" s="260">
        <f>'C-81'!C32/'C-80'!C32*1000</f>
        <v>1.802403204272363</v>
      </c>
      <c r="D32" s="260">
        <f>'C-81'!D32/'C-80'!D32*1000</f>
        <v>1.3793103448275861</v>
      </c>
      <c r="E32" s="260">
        <f>'C-81'!E32/'C-80'!E32*1000</f>
        <v>1.3333333333333333</v>
      </c>
      <c r="F32" s="260" t="s">
        <v>75</v>
      </c>
      <c r="G32" s="260" t="s">
        <v>75</v>
      </c>
      <c r="H32" s="260" t="s">
        <v>75</v>
      </c>
      <c r="I32" s="260" t="s">
        <v>75</v>
      </c>
      <c r="J32" s="260" t="s">
        <v>75</v>
      </c>
      <c r="K32" s="260" t="s">
        <v>75</v>
      </c>
      <c r="L32" s="260" t="s">
        <v>75</v>
      </c>
      <c r="M32" s="260" t="s">
        <v>75</v>
      </c>
      <c r="N32" s="260">
        <f>'C-81'!N32/'C-80'!N32*1000</f>
        <v>1.4925373134328359</v>
      </c>
    </row>
    <row r="33" spans="1:14" ht="12.75" customHeight="1">
      <c r="A33" s="152" t="s">
        <v>45</v>
      </c>
      <c r="B33" s="625">
        <f>'C-81'!B33/'C-80'!B33*1000</f>
        <v>2.0229265003371544</v>
      </c>
      <c r="C33" s="260" t="s">
        <v>75</v>
      </c>
      <c r="D33" s="260">
        <f>'C-81'!D33/'C-80'!D33*1000</f>
        <v>1.9575471698113209</v>
      </c>
      <c r="E33" s="260">
        <f>'C-81'!E33/'C-80'!E33*1000</f>
        <v>1.9569944431021986</v>
      </c>
      <c r="F33" s="260" t="s">
        <v>75</v>
      </c>
      <c r="G33" s="260" t="s">
        <v>75</v>
      </c>
      <c r="H33" s="260" t="s">
        <v>75</v>
      </c>
      <c r="I33" s="260" t="s">
        <v>75</v>
      </c>
      <c r="J33" s="260" t="s">
        <v>75</v>
      </c>
      <c r="K33" s="260" t="s">
        <v>75</v>
      </c>
      <c r="L33" s="260" t="s">
        <v>75</v>
      </c>
      <c r="M33" s="260">
        <f>'C-81'!M33/'C-80'!M33*1000</f>
        <v>2.031122031122031</v>
      </c>
      <c r="N33" s="260">
        <f>'C-81'!N33/'C-80'!N33*1000</f>
        <v>2.2946859903381642</v>
      </c>
    </row>
    <row r="34" spans="1:14" ht="12.75" customHeight="1">
      <c r="A34" s="129" t="s">
        <v>46</v>
      </c>
      <c r="B34" s="625" t="s">
        <v>75</v>
      </c>
      <c r="C34" s="260" t="s">
        <v>75</v>
      </c>
      <c r="D34" s="260" t="s">
        <v>75</v>
      </c>
      <c r="E34" s="260" t="s">
        <v>75</v>
      </c>
      <c r="F34" s="260" t="s">
        <v>75</v>
      </c>
      <c r="G34" s="260" t="s">
        <v>75</v>
      </c>
      <c r="H34" s="260" t="s">
        <v>75</v>
      </c>
      <c r="I34" s="260" t="s">
        <v>75</v>
      </c>
      <c r="J34" s="260" t="s">
        <v>75</v>
      </c>
      <c r="K34" s="260" t="s">
        <v>75</v>
      </c>
      <c r="L34" s="260" t="s">
        <v>75</v>
      </c>
      <c r="M34" s="260" t="s">
        <v>75</v>
      </c>
      <c r="N34" s="260" t="s">
        <v>75</v>
      </c>
    </row>
    <row r="35" spans="1:14" ht="12.75" customHeight="1">
      <c r="A35" s="129" t="s">
        <v>47</v>
      </c>
      <c r="B35" s="625" t="s">
        <v>75</v>
      </c>
      <c r="C35" s="260" t="s">
        <v>75</v>
      </c>
      <c r="D35" s="260" t="s">
        <v>75</v>
      </c>
      <c r="E35" s="260" t="s">
        <v>75</v>
      </c>
      <c r="F35" s="260" t="s">
        <v>75</v>
      </c>
      <c r="G35" s="260" t="s">
        <v>75</v>
      </c>
      <c r="H35" s="260" t="s">
        <v>75</v>
      </c>
      <c r="I35" s="260" t="s">
        <v>75</v>
      </c>
      <c r="J35" s="260" t="s">
        <v>75</v>
      </c>
      <c r="K35" s="260" t="s">
        <v>75</v>
      </c>
      <c r="L35" s="260" t="s">
        <v>75</v>
      </c>
      <c r="M35" s="260" t="s">
        <v>75</v>
      </c>
      <c r="N35" s="260" t="s">
        <v>75</v>
      </c>
    </row>
    <row r="36" spans="1:14" ht="12.75" customHeight="1">
      <c r="A36" s="129" t="s">
        <v>48</v>
      </c>
      <c r="B36" s="625" t="s">
        <v>75</v>
      </c>
      <c r="C36" s="260" t="s">
        <v>75</v>
      </c>
      <c r="D36" s="260" t="s">
        <v>75</v>
      </c>
      <c r="E36" s="260" t="s">
        <v>75</v>
      </c>
      <c r="F36" s="260" t="s">
        <v>75</v>
      </c>
      <c r="G36" s="260" t="s">
        <v>75</v>
      </c>
      <c r="H36" s="260" t="s">
        <v>75</v>
      </c>
      <c r="I36" s="260" t="s">
        <v>75</v>
      </c>
      <c r="J36" s="260" t="s">
        <v>75</v>
      </c>
      <c r="K36" s="260" t="s">
        <v>75</v>
      </c>
      <c r="L36" s="260" t="s">
        <v>75</v>
      </c>
      <c r="M36" s="260" t="s">
        <v>75</v>
      </c>
      <c r="N36" s="260" t="s">
        <v>75</v>
      </c>
    </row>
    <row r="37" spans="1:14" ht="12.75" customHeight="1" thickBot="1">
      <c r="A37" s="154" t="s">
        <v>49</v>
      </c>
      <c r="B37" s="626" t="s">
        <v>75</v>
      </c>
      <c r="C37" s="261" t="s">
        <v>75</v>
      </c>
      <c r="D37" s="261" t="s">
        <v>75</v>
      </c>
      <c r="E37" s="261" t="s">
        <v>75</v>
      </c>
      <c r="F37" s="261" t="s">
        <v>75</v>
      </c>
      <c r="G37" s="261" t="s">
        <v>75</v>
      </c>
      <c r="H37" s="261" t="s">
        <v>75</v>
      </c>
      <c r="I37" s="261" t="s">
        <v>75</v>
      </c>
      <c r="J37" s="261" t="s">
        <v>75</v>
      </c>
      <c r="K37" s="261" t="s">
        <v>75</v>
      </c>
      <c r="L37" s="261" t="s">
        <v>75</v>
      </c>
      <c r="M37" s="261" t="s">
        <v>75</v>
      </c>
      <c r="N37" s="261" t="s">
        <v>75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84">
    <tabColor theme="9" tint="0.59999389629810485"/>
  </sheetPr>
  <dimension ref="A4:AB48"/>
  <sheetViews>
    <sheetView showGridLines="0" topLeftCell="A9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28" ht="13.25" customHeight="1">
      <c r="A4" s="249" t="s">
        <v>556</v>
      </c>
      <c r="B4" s="245"/>
    </row>
    <row r="5" spans="1:28" ht="13.25" customHeight="1">
      <c r="A5" s="253" t="s">
        <v>238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28" ht="4" customHeight="1" thickBo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28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28" ht="15" customHeight="1">
      <c r="A8" s="604" t="s">
        <v>90</v>
      </c>
      <c r="B8" s="608">
        <f t="shared" ref="B8" si="0">SUM(C8:N8)</f>
        <v>4296344.4826990506</v>
      </c>
      <c r="C8" s="609">
        <f t="shared" ref="C8" si="1">(C9+C10+C11+C12+C13+C17+C18+C19+C20+C21+C22+C23+C24+C25+C26+C27+C28+C29+C32+C33+C34+C35+C36+C37)</f>
        <v>448863</v>
      </c>
      <c r="D8" s="609">
        <f t="shared" ref="D8" si="2">(D9+D10+D11+D12+D13+D17+D18+D19+D20+D21+D22+D23+D24+D25+D26+D27+D28+D29+D32+D33+D34+D35+D36+D37)</f>
        <v>1480959.85</v>
      </c>
      <c r="E8" s="609">
        <f t="shared" ref="E8" si="3">(E9+E10+E11+E12+E13+E17+E18+E19+E20+E21+E22+E23+E24+E25+E26+E27+E28+E29+E32+E33+E34+E35+E36+E37)</f>
        <v>1102386</v>
      </c>
      <c r="F8" s="609">
        <f t="shared" ref="F8" si="4">(F9+F10+F11+F12+F13+F17+F18+F19+F20+F21+F22+F23+F24+F25+F26+F27+F28+F29+F32+F33+F34+F35+F36+F37)</f>
        <v>169459.3626990504</v>
      </c>
      <c r="G8" s="609">
        <f t="shared" ref="G8" si="5">(G9+G10+G11+G12+G13+G17+G18+G19+G20+G21+G22+G23+G24+G25+G26+G27+G28+G29+G32+G33+G34+G35+G36+G37)</f>
        <v>185062</v>
      </c>
      <c r="H8" s="609">
        <f t="shared" ref="H8" si="6">(H9+H10+H11+H12+H13+H17+H18+H19+H20+H21+H22+H23+H24+H25+H26+H27+H28+H29+H32+H33+H34+H35+H36+H37)</f>
        <v>114734.47</v>
      </c>
      <c r="I8" s="609">
        <f t="shared" ref="I8" si="7">(I9+I10+I11+I12+I13+I17+I18+I19+I20+I21+I22+I23+I24+I25+I26+I27+I28+I29+I32+I33+I34+I35+I36+I37)</f>
        <v>104032</v>
      </c>
      <c r="J8" s="609">
        <f t="shared" ref="J8" si="8">(J9+J10+J11+J12+J13+J17+J18+J19+J20+J21+J22+J23+J24+J25+J26+J27+J28+J29+J32+J33+J34+J35+J36+J37)</f>
        <v>64293.4</v>
      </c>
      <c r="K8" s="609">
        <f t="shared" ref="K8" si="9">(K9+K10+K11+K12+K13+K17+K18+K19+K20+K21+K22+K23+K24+K25+K26+K27+K28+K29+K32+K33+K34+K35+K36+K37)</f>
        <v>73128.399999999994</v>
      </c>
      <c r="L8" s="609">
        <f t="shared" ref="L8" si="10">(L9+L10+L11+L12+L13+L17+L18+L19+L20+L21+L22+L23+L24+L25+L26+L27+L28+L29+L32+L33+L34+L35+L36+L37)</f>
        <v>12117</v>
      </c>
      <c r="M8" s="609">
        <f t="shared" ref="M8" si="11">(M9+M10+M11+M12+M13+M17+M18+M19+M20+M21+M22+M23+M24+M25+M26+M27+M28+M29+M32+M33+M34+M35+M36+M37)</f>
        <v>344322</v>
      </c>
      <c r="N8" s="609">
        <f t="shared" ref="N8" si="12">(N9+N10+N11+N12+N13+N17+N18+N19+N20+N21+N22+N23+N24+N25+N26+N27+N28+N29+N32+N33+N34+N35+N36+N37)</f>
        <v>196987</v>
      </c>
    </row>
    <row r="9" spans="1:28" ht="12.75" customHeight="1">
      <c r="A9" s="152" t="s">
        <v>21</v>
      </c>
      <c r="B9" s="630" t="s">
        <v>244</v>
      </c>
      <c r="C9" s="258">
        <v>0</v>
      </c>
      <c r="D9" s="258">
        <v>0</v>
      </c>
      <c r="E9" s="258">
        <v>0</v>
      </c>
      <c r="F9" s="258">
        <v>0</v>
      </c>
      <c r="G9" s="258">
        <v>0</v>
      </c>
      <c r="H9" s="258">
        <v>0</v>
      </c>
      <c r="I9" s="258">
        <v>0</v>
      </c>
      <c r="J9" s="258">
        <v>0</v>
      </c>
      <c r="K9" s="258">
        <v>0</v>
      </c>
      <c r="L9" s="258">
        <v>0</v>
      </c>
      <c r="M9" s="258">
        <v>0</v>
      </c>
      <c r="N9" s="258">
        <v>0</v>
      </c>
    </row>
    <row r="10" spans="1:28" ht="12.75" customHeight="1">
      <c r="A10" s="152" t="s">
        <v>22</v>
      </c>
      <c r="B10" s="631">
        <f>SUM(C10:N10)</f>
        <v>23737.362699050398</v>
      </c>
      <c r="C10" s="258">
        <v>0</v>
      </c>
      <c r="D10" s="258">
        <v>0</v>
      </c>
      <c r="E10" s="258">
        <v>0</v>
      </c>
      <c r="F10" s="258">
        <v>3562.3626990503999</v>
      </c>
      <c r="G10" s="258">
        <v>5179</v>
      </c>
      <c r="H10" s="258">
        <v>0</v>
      </c>
      <c r="I10" s="258">
        <v>0</v>
      </c>
      <c r="J10" s="258">
        <v>0</v>
      </c>
      <c r="K10" s="258">
        <v>0</v>
      </c>
      <c r="L10" s="258">
        <v>0</v>
      </c>
      <c r="M10" s="258">
        <v>3089</v>
      </c>
      <c r="N10" s="258">
        <v>11907</v>
      </c>
    </row>
    <row r="11" spans="1:28" ht="12.75" customHeight="1">
      <c r="A11" s="152" t="s">
        <v>23</v>
      </c>
      <c r="B11" s="630" t="s">
        <v>244</v>
      </c>
      <c r="C11" s="258">
        <v>0</v>
      </c>
      <c r="D11" s="258">
        <v>0</v>
      </c>
      <c r="E11" s="258">
        <v>0</v>
      </c>
      <c r="F11" s="258">
        <v>0</v>
      </c>
      <c r="G11" s="258">
        <v>0</v>
      </c>
      <c r="H11" s="258">
        <v>0</v>
      </c>
      <c r="I11" s="258">
        <v>0</v>
      </c>
      <c r="J11" s="258">
        <v>0</v>
      </c>
      <c r="K11" s="258">
        <v>0</v>
      </c>
      <c r="L11" s="258">
        <v>0</v>
      </c>
      <c r="M11" s="258">
        <v>0</v>
      </c>
      <c r="N11" s="258">
        <v>0</v>
      </c>
    </row>
    <row r="12" spans="1:28" ht="12.75" customHeight="1">
      <c r="A12" s="129" t="s">
        <v>24</v>
      </c>
      <c r="B12" s="631">
        <f>SUM(C12:N12)</f>
        <v>260004</v>
      </c>
      <c r="C12" s="258">
        <v>1059</v>
      </c>
      <c r="D12" s="258">
        <v>0</v>
      </c>
      <c r="E12" s="258">
        <v>0</v>
      </c>
      <c r="F12" s="258">
        <v>318</v>
      </c>
      <c r="G12" s="258">
        <v>123822</v>
      </c>
      <c r="H12" s="258">
        <v>56875</v>
      </c>
      <c r="I12" s="258">
        <v>34508</v>
      </c>
      <c r="J12" s="258">
        <v>27241</v>
      </c>
      <c r="K12" s="258">
        <v>5742</v>
      </c>
      <c r="L12" s="258">
        <v>3692</v>
      </c>
      <c r="M12" s="258">
        <v>4370</v>
      </c>
      <c r="N12" s="258">
        <v>2377</v>
      </c>
    </row>
    <row r="13" spans="1:28" ht="12.75" customHeight="1">
      <c r="A13" s="129" t="s">
        <v>25</v>
      </c>
      <c r="B13" s="631">
        <f t="shared" ref="B13:B33" si="13">SUM(C13:N13)</f>
        <v>146799.79999999999</v>
      </c>
      <c r="C13" s="258">
        <v>10089</v>
      </c>
      <c r="D13" s="258">
        <v>5307</v>
      </c>
      <c r="E13" s="258">
        <v>11694</v>
      </c>
      <c r="F13" s="258">
        <v>11469</v>
      </c>
      <c r="G13" s="258">
        <v>6397</v>
      </c>
      <c r="H13" s="258">
        <v>13649</v>
      </c>
      <c r="I13" s="258">
        <v>30595</v>
      </c>
      <c r="J13" s="258">
        <v>30360.400000000001</v>
      </c>
      <c r="K13" s="258">
        <v>27239.4</v>
      </c>
      <c r="L13" s="258">
        <v>0</v>
      </c>
      <c r="M13" s="258">
        <v>0</v>
      </c>
      <c r="N13" s="258">
        <v>0</v>
      </c>
    </row>
    <row r="14" spans="1:28" ht="12.75" customHeight="1">
      <c r="A14" s="127" t="s">
        <v>97</v>
      </c>
      <c r="B14" s="631">
        <f t="shared" si="13"/>
        <v>115059.79999999999</v>
      </c>
      <c r="C14" s="258">
        <v>10089</v>
      </c>
      <c r="D14" s="258">
        <v>5307</v>
      </c>
      <c r="E14" s="258">
        <v>11694</v>
      </c>
      <c r="F14" s="258">
        <v>11469</v>
      </c>
      <c r="G14" s="258">
        <v>6397</v>
      </c>
      <c r="H14" s="258">
        <v>13649</v>
      </c>
      <c r="I14" s="258">
        <v>20426</v>
      </c>
      <c r="J14" s="258">
        <v>15680.4</v>
      </c>
      <c r="K14" s="258">
        <v>20348.400000000001</v>
      </c>
      <c r="L14" s="258">
        <v>0</v>
      </c>
      <c r="M14" s="258">
        <v>0</v>
      </c>
      <c r="N14" s="258">
        <v>0</v>
      </c>
      <c r="P14" s="146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</row>
    <row r="15" spans="1:28" ht="12.75" customHeight="1">
      <c r="A15" s="127" t="s">
        <v>98</v>
      </c>
      <c r="B15" s="631">
        <f t="shared" si="13"/>
        <v>31740</v>
      </c>
      <c r="C15" s="258">
        <v>0</v>
      </c>
      <c r="D15" s="258">
        <v>0</v>
      </c>
      <c r="E15" s="258">
        <v>0</v>
      </c>
      <c r="F15" s="258">
        <v>0</v>
      </c>
      <c r="G15" s="258">
        <v>0</v>
      </c>
      <c r="H15" s="258">
        <v>0</v>
      </c>
      <c r="I15" s="258">
        <v>10169</v>
      </c>
      <c r="J15" s="258">
        <v>14680</v>
      </c>
      <c r="K15" s="258">
        <v>6891</v>
      </c>
      <c r="L15" s="258">
        <v>0</v>
      </c>
      <c r="M15" s="258">
        <v>0</v>
      </c>
      <c r="N15" s="258">
        <v>0</v>
      </c>
      <c r="P15" s="146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</row>
    <row r="16" spans="1:28" ht="12.75" customHeight="1">
      <c r="A16" s="127" t="s">
        <v>99</v>
      </c>
      <c r="B16" s="631">
        <f t="shared" si="13"/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0</v>
      </c>
      <c r="H16" s="258">
        <v>0</v>
      </c>
      <c r="I16" s="258">
        <v>0</v>
      </c>
      <c r="J16" s="258">
        <v>0</v>
      </c>
      <c r="K16" s="258">
        <v>0</v>
      </c>
      <c r="L16" s="258">
        <v>0</v>
      </c>
      <c r="M16" s="258">
        <v>0</v>
      </c>
      <c r="N16" s="258">
        <v>0</v>
      </c>
    </row>
    <row r="17" spans="1:27" ht="12.75" customHeight="1">
      <c r="A17" s="152" t="s">
        <v>29</v>
      </c>
      <c r="B17" s="631">
        <f t="shared" si="13"/>
        <v>6395</v>
      </c>
      <c r="C17" s="258">
        <v>0</v>
      </c>
      <c r="D17" s="258">
        <v>0</v>
      </c>
      <c r="E17" s="258">
        <v>0</v>
      </c>
      <c r="F17" s="258">
        <v>1030</v>
      </c>
      <c r="G17" s="258">
        <v>2422</v>
      </c>
      <c r="H17" s="258">
        <v>2026</v>
      </c>
      <c r="I17" s="258">
        <v>706</v>
      </c>
      <c r="J17" s="258">
        <v>211</v>
      </c>
      <c r="K17" s="258">
        <v>0</v>
      </c>
      <c r="L17" s="258">
        <v>0</v>
      </c>
      <c r="M17" s="258">
        <v>0</v>
      </c>
      <c r="N17" s="258">
        <v>0</v>
      </c>
    </row>
    <row r="18" spans="1:27" ht="12.75" customHeight="1">
      <c r="A18" s="129" t="s">
        <v>30</v>
      </c>
      <c r="B18" s="631">
        <f t="shared" si="13"/>
        <v>7363.25</v>
      </c>
      <c r="C18" s="258">
        <v>2351</v>
      </c>
      <c r="D18" s="258">
        <v>2785.25</v>
      </c>
      <c r="E18" s="258">
        <v>2227</v>
      </c>
      <c r="F18" s="258">
        <v>0</v>
      </c>
      <c r="G18" s="258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</row>
    <row r="19" spans="1:27" ht="12.75" customHeight="1">
      <c r="A19" s="129" t="s">
        <v>31</v>
      </c>
      <c r="B19" s="631">
        <f t="shared" si="13"/>
        <v>104213.47</v>
      </c>
      <c r="C19" s="258">
        <v>0</v>
      </c>
      <c r="D19" s="258">
        <v>0</v>
      </c>
      <c r="E19" s="258">
        <v>1068</v>
      </c>
      <c r="F19" s="258">
        <v>16398</v>
      </c>
      <c r="G19" s="258">
        <v>16801</v>
      </c>
      <c r="H19" s="258">
        <v>29649.47</v>
      </c>
      <c r="I19" s="258">
        <v>33920</v>
      </c>
      <c r="J19" s="258">
        <v>6377</v>
      </c>
      <c r="K19" s="258">
        <v>0</v>
      </c>
      <c r="L19" s="258">
        <v>0</v>
      </c>
      <c r="M19" s="258">
        <v>0</v>
      </c>
      <c r="N19" s="258">
        <v>0</v>
      </c>
    </row>
    <row r="20" spans="1:27" ht="12.75" customHeight="1">
      <c r="A20" s="152" t="s">
        <v>32</v>
      </c>
      <c r="B20" s="631">
        <f t="shared" si="13"/>
        <v>0</v>
      </c>
      <c r="C20" s="258">
        <v>0</v>
      </c>
      <c r="D20" s="258">
        <v>0</v>
      </c>
      <c r="E20" s="258">
        <v>0</v>
      </c>
      <c r="F20" s="258">
        <v>0</v>
      </c>
      <c r="G20" s="258">
        <v>0</v>
      </c>
      <c r="H20" s="258">
        <v>0</v>
      </c>
      <c r="I20" s="258">
        <v>0</v>
      </c>
      <c r="J20" s="258">
        <v>0</v>
      </c>
      <c r="K20" s="258">
        <v>0</v>
      </c>
      <c r="L20" s="258">
        <v>0</v>
      </c>
      <c r="M20" s="258">
        <v>0</v>
      </c>
      <c r="N20" s="258">
        <v>0</v>
      </c>
    </row>
    <row r="21" spans="1:27" ht="12.75" customHeight="1">
      <c r="A21" s="152" t="s">
        <v>33</v>
      </c>
      <c r="B21" s="631">
        <f t="shared" si="13"/>
        <v>83172</v>
      </c>
      <c r="C21" s="258">
        <v>1334</v>
      </c>
      <c r="D21" s="258">
        <v>1741</v>
      </c>
      <c r="E21" s="258">
        <v>2340</v>
      </c>
      <c r="F21" s="258">
        <v>5157</v>
      </c>
      <c r="G21" s="258">
        <v>10199</v>
      </c>
      <c r="H21" s="258">
        <v>12302</v>
      </c>
      <c r="I21" s="258">
        <v>4263</v>
      </c>
      <c r="J21" s="258">
        <v>104</v>
      </c>
      <c r="K21" s="258">
        <v>39057</v>
      </c>
      <c r="L21" s="258">
        <v>4236</v>
      </c>
      <c r="M21" s="258">
        <v>1017</v>
      </c>
      <c r="N21" s="258">
        <v>1422</v>
      </c>
    </row>
    <row r="22" spans="1:27" ht="12.75" customHeight="1">
      <c r="A22" s="152" t="s">
        <v>34</v>
      </c>
      <c r="B22" s="631">
        <f t="shared" si="13"/>
        <v>365091</v>
      </c>
      <c r="C22" s="258">
        <v>179959</v>
      </c>
      <c r="D22" s="258">
        <v>144842</v>
      </c>
      <c r="E22" s="258">
        <v>40290</v>
      </c>
      <c r="F22" s="258">
        <v>0</v>
      </c>
      <c r="G22" s="258">
        <v>0</v>
      </c>
      <c r="H22" s="258">
        <v>0</v>
      </c>
      <c r="I22" s="258">
        <v>0</v>
      </c>
      <c r="J22" s="258">
        <v>0</v>
      </c>
      <c r="K22" s="258">
        <v>0</v>
      </c>
      <c r="L22" s="258">
        <v>0</v>
      </c>
      <c r="M22" s="258">
        <v>0</v>
      </c>
      <c r="N22" s="258">
        <v>0</v>
      </c>
    </row>
    <row r="23" spans="1:27" ht="12.75" customHeight="1">
      <c r="A23" s="152" t="s">
        <v>35</v>
      </c>
      <c r="B23" s="631">
        <f t="shared" si="13"/>
        <v>871890</v>
      </c>
      <c r="C23" s="258">
        <v>73771</v>
      </c>
      <c r="D23" s="258">
        <v>435195</v>
      </c>
      <c r="E23" s="258">
        <v>293988</v>
      </c>
      <c r="F23" s="258">
        <v>68936</v>
      </c>
      <c r="G23" s="258">
        <v>0</v>
      </c>
      <c r="H23" s="258">
        <v>0</v>
      </c>
      <c r="I23" s="258">
        <v>0</v>
      </c>
      <c r="J23" s="258">
        <v>0</v>
      </c>
      <c r="K23" s="258">
        <v>0</v>
      </c>
      <c r="L23" s="258">
        <v>0</v>
      </c>
      <c r="M23" s="258">
        <v>0</v>
      </c>
      <c r="N23" s="258">
        <v>0</v>
      </c>
    </row>
    <row r="24" spans="1:27" ht="12.75" customHeight="1">
      <c r="A24" s="152" t="s">
        <v>36</v>
      </c>
      <c r="B24" s="631">
        <f t="shared" si="13"/>
        <v>137822.39999999999</v>
      </c>
      <c r="C24" s="258">
        <v>0</v>
      </c>
      <c r="D24" s="258">
        <v>120369.4</v>
      </c>
      <c r="E24" s="258">
        <v>14852</v>
      </c>
      <c r="F24" s="258">
        <v>2601</v>
      </c>
      <c r="G24" s="258">
        <v>0</v>
      </c>
      <c r="H24" s="258">
        <v>0</v>
      </c>
      <c r="I24" s="258">
        <v>0</v>
      </c>
      <c r="J24" s="258">
        <v>0</v>
      </c>
      <c r="K24" s="258">
        <v>0</v>
      </c>
      <c r="L24" s="258">
        <v>0</v>
      </c>
      <c r="M24" s="258">
        <v>0</v>
      </c>
      <c r="N24" s="258">
        <v>0</v>
      </c>
    </row>
    <row r="25" spans="1:27" ht="12.75" customHeight="1">
      <c r="A25" s="129" t="s">
        <v>37</v>
      </c>
      <c r="B25" s="631">
        <f t="shared" si="13"/>
        <v>30965</v>
      </c>
      <c r="C25" s="258">
        <v>9130</v>
      </c>
      <c r="D25" s="258">
        <v>8201</v>
      </c>
      <c r="E25" s="258">
        <v>8086</v>
      </c>
      <c r="F25" s="258">
        <v>0</v>
      </c>
      <c r="G25" s="258">
        <v>0</v>
      </c>
      <c r="H25" s="258">
        <v>0</v>
      </c>
      <c r="I25" s="258">
        <v>0</v>
      </c>
      <c r="J25" s="258">
        <v>0</v>
      </c>
      <c r="K25" s="258">
        <v>0</v>
      </c>
      <c r="L25" s="258">
        <v>0</v>
      </c>
      <c r="M25" s="258">
        <v>0</v>
      </c>
      <c r="N25" s="258">
        <v>5548</v>
      </c>
    </row>
    <row r="26" spans="1:27" ht="12.75" customHeight="1">
      <c r="A26" s="152" t="s">
        <v>38</v>
      </c>
      <c r="B26" s="631">
        <f t="shared" si="13"/>
        <v>2431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740</v>
      </c>
      <c r="L26" s="258">
        <v>942</v>
      </c>
      <c r="M26" s="258">
        <v>694</v>
      </c>
      <c r="N26" s="258">
        <v>55</v>
      </c>
    </row>
    <row r="27" spans="1:27" ht="12.75" customHeight="1">
      <c r="A27" s="152" t="s">
        <v>39</v>
      </c>
      <c r="B27" s="631">
        <f t="shared" si="13"/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</row>
    <row r="28" spans="1:27" ht="12.75" customHeight="1">
      <c r="A28" s="152" t="s">
        <v>40</v>
      </c>
      <c r="B28" s="631">
        <f t="shared" si="13"/>
        <v>126436</v>
      </c>
      <c r="C28" s="258">
        <v>7666</v>
      </c>
      <c r="D28" s="258">
        <v>7541</v>
      </c>
      <c r="E28" s="258">
        <v>35935</v>
      </c>
      <c r="F28" s="258">
        <v>50367</v>
      </c>
      <c r="G28" s="258">
        <v>18583</v>
      </c>
      <c r="H28" s="258">
        <v>233</v>
      </c>
      <c r="I28" s="258">
        <v>40</v>
      </c>
      <c r="J28" s="258">
        <v>0</v>
      </c>
      <c r="K28" s="258">
        <v>350</v>
      </c>
      <c r="L28" s="258">
        <v>3247</v>
      </c>
      <c r="M28" s="258">
        <v>385</v>
      </c>
      <c r="N28" s="258">
        <v>2089</v>
      </c>
    </row>
    <row r="29" spans="1:27" ht="12.75" customHeight="1">
      <c r="A29" s="129" t="s">
        <v>41</v>
      </c>
      <c r="B29" s="631">
        <f t="shared" si="13"/>
        <v>69694.2</v>
      </c>
      <c r="C29" s="258">
        <v>11704</v>
      </c>
      <c r="D29" s="258">
        <v>27268.199999999997</v>
      </c>
      <c r="E29" s="258">
        <v>14426</v>
      </c>
      <c r="F29" s="258">
        <v>9621</v>
      </c>
      <c r="G29" s="258">
        <v>1659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1367</v>
      </c>
      <c r="N29" s="258">
        <v>3649</v>
      </c>
    </row>
    <row r="30" spans="1:27" ht="12.75" customHeight="1">
      <c r="A30" s="127" t="s">
        <v>100</v>
      </c>
      <c r="B30" s="631">
        <f t="shared" si="13"/>
        <v>56671.3</v>
      </c>
      <c r="C30" s="258">
        <v>8994</v>
      </c>
      <c r="D30" s="258">
        <v>20987.3</v>
      </c>
      <c r="E30" s="258">
        <v>10394</v>
      </c>
      <c r="F30" s="258">
        <v>9621</v>
      </c>
      <c r="G30" s="258">
        <v>1659</v>
      </c>
      <c r="H30" s="258">
        <v>0</v>
      </c>
      <c r="I30" s="258">
        <v>0</v>
      </c>
      <c r="J30" s="258">
        <v>0</v>
      </c>
      <c r="K30" s="258">
        <v>0</v>
      </c>
      <c r="L30" s="258">
        <v>0</v>
      </c>
      <c r="M30" s="258">
        <v>1367</v>
      </c>
      <c r="N30" s="258">
        <v>3649</v>
      </c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 ht="12.75" customHeight="1">
      <c r="A31" s="127" t="s">
        <v>101</v>
      </c>
      <c r="B31" s="631">
        <f t="shared" si="13"/>
        <v>13022.9</v>
      </c>
      <c r="C31" s="258">
        <v>2710</v>
      </c>
      <c r="D31" s="258">
        <v>6280.9</v>
      </c>
      <c r="E31" s="258">
        <v>4032</v>
      </c>
      <c r="F31" s="258">
        <v>0</v>
      </c>
      <c r="G31" s="258">
        <v>0</v>
      </c>
      <c r="H31" s="258">
        <v>0</v>
      </c>
      <c r="I31" s="258">
        <v>0</v>
      </c>
      <c r="J31" s="258">
        <v>0</v>
      </c>
      <c r="K31" s="258">
        <v>0</v>
      </c>
      <c r="L31" s="258">
        <v>0</v>
      </c>
      <c r="M31" s="258">
        <v>0</v>
      </c>
      <c r="N31" s="258">
        <v>0</v>
      </c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 ht="12.75" customHeight="1">
      <c r="A32" s="152" t="s">
        <v>44</v>
      </c>
      <c r="B32" s="631">
        <f t="shared" si="13"/>
        <v>470620</v>
      </c>
      <c r="C32" s="258">
        <v>151800</v>
      </c>
      <c r="D32" s="258">
        <v>31400</v>
      </c>
      <c r="E32" s="258">
        <v>110200</v>
      </c>
      <c r="F32" s="258">
        <v>0</v>
      </c>
      <c r="G32" s="258">
        <v>0</v>
      </c>
      <c r="H32" s="258">
        <v>0</v>
      </c>
      <c r="I32" s="258">
        <v>0</v>
      </c>
      <c r="J32" s="258">
        <v>0</v>
      </c>
      <c r="K32" s="258">
        <v>0</v>
      </c>
      <c r="L32" s="258">
        <v>0</v>
      </c>
      <c r="M32" s="258">
        <v>77370</v>
      </c>
      <c r="N32" s="258">
        <v>99850</v>
      </c>
    </row>
    <row r="33" spans="1:14" ht="12.75" customHeight="1">
      <c r="A33" s="152" t="s">
        <v>45</v>
      </c>
      <c r="B33" s="631">
        <f t="shared" si="13"/>
        <v>1589710</v>
      </c>
      <c r="C33" s="258">
        <v>0</v>
      </c>
      <c r="D33" s="258">
        <v>696310</v>
      </c>
      <c r="E33" s="258">
        <v>567280</v>
      </c>
      <c r="F33" s="258">
        <v>0</v>
      </c>
      <c r="G33" s="258">
        <v>0</v>
      </c>
      <c r="H33" s="258">
        <v>0</v>
      </c>
      <c r="I33" s="258">
        <v>0</v>
      </c>
      <c r="J33" s="258">
        <v>0</v>
      </c>
      <c r="K33" s="258">
        <v>0</v>
      </c>
      <c r="L33" s="258">
        <v>0</v>
      </c>
      <c r="M33" s="258">
        <v>256030</v>
      </c>
      <c r="N33" s="258">
        <v>70090</v>
      </c>
    </row>
    <row r="34" spans="1:14" ht="12.75" customHeight="1">
      <c r="A34" s="129" t="s">
        <v>46</v>
      </c>
      <c r="B34" s="630" t="s">
        <v>244</v>
      </c>
      <c r="C34" s="258">
        <v>0</v>
      </c>
      <c r="D34" s="258">
        <v>0</v>
      </c>
      <c r="E34" s="258">
        <v>0</v>
      </c>
      <c r="F34" s="258">
        <v>0</v>
      </c>
      <c r="G34" s="258">
        <v>0</v>
      </c>
      <c r="H34" s="258">
        <v>0</v>
      </c>
      <c r="I34" s="258">
        <v>0</v>
      </c>
      <c r="J34" s="258">
        <v>0</v>
      </c>
      <c r="K34" s="258">
        <v>0</v>
      </c>
      <c r="L34" s="258">
        <v>0</v>
      </c>
      <c r="M34" s="258">
        <v>0</v>
      </c>
      <c r="N34" s="258">
        <v>0</v>
      </c>
    </row>
    <row r="35" spans="1:14" ht="12.75" customHeight="1">
      <c r="A35" s="129" t="s">
        <v>47</v>
      </c>
      <c r="B35" s="630" t="s">
        <v>244</v>
      </c>
      <c r="C35" s="258">
        <v>0</v>
      </c>
      <c r="D35" s="258">
        <v>0</v>
      </c>
      <c r="E35" s="258">
        <v>0</v>
      </c>
      <c r="F35" s="258">
        <v>0</v>
      </c>
      <c r="G35" s="258">
        <v>0</v>
      </c>
      <c r="H35" s="258">
        <v>0</v>
      </c>
      <c r="I35" s="258">
        <v>0</v>
      </c>
      <c r="J35" s="258">
        <v>0</v>
      </c>
      <c r="K35" s="258">
        <v>0</v>
      </c>
      <c r="L35" s="258">
        <v>0</v>
      </c>
      <c r="M35" s="258">
        <v>0</v>
      </c>
      <c r="N35" s="258">
        <v>0</v>
      </c>
    </row>
    <row r="36" spans="1:14" ht="12.75" customHeight="1">
      <c r="A36" s="129" t="s">
        <v>48</v>
      </c>
      <c r="B36" s="630" t="s">
        <v>244</v>
      </c>
      <c r="C36" s="258">
        <v>0</v>
      </c>
      <c r="D36" s="258">
        <v>0</v>
      </c>
      <c r="E36" s="258">
        <v>0</v>
      </c>
      <c r="F36" s="258">
        <v>0</v>
      </c>
      <c r="G36" s="258">
        <v>0</v>
      </c>
      <c r="H36" s="258">
        <v>0</v>
      </c>
      <c r="I36" s="258">
        <v>0</v>
      </c>
      <c r="J36" s="258">
        <v>0</v>
      </c>
      <c r="K36" s="258">
        <v>0</v>
      </c>
      <c r="L36" s="258">
        <v>0</v>
      </c>
      <c r="M36" s="258">
        <v>0</v>
      </c>
      <c r="N36" s="258">
        <v>0</v>
      </c>
    </row>
    <row r="37" spans="1:14" ht="12.75" customHeight="1" thickBot="1">
      <c r="A37" s="154" t="s">
        <v>49</v>
      </c>
      <c r="B37" s="632" t="s">
        <v>244</v>
      </c>
      <c r="C37" s="259">
        <v>0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85">
    <tabColor theme="9" tint="0.59999389629810485"/>
  </sheetPr>
  <dimension ref="A4:AA48"/>
  <sheetViews>
    <sheetView showGridLines="0" topLeftCell="F1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27" ht="13.25" customHeight="1">
      <c r="A4" s="249" t="s">
        <v>557</v>
      </c>
      <c r="B4" s="245"/>
    </row>
    <row r="5" spans="1:27" ht="13.25" customHeight="1">
      <c r="A5" s="253" t="s">
        <v>236</v>
      </c>
      <c r="B5" s="246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27" ht="4" customHeight="1" thickBot="1">
      <c r="A6" s="73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27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27" ht="15" customHeight="1">
      <c r="A8" s="604" t="s">
        <v>90</v>
      </c>
      <c r="B8" s="606">
        <f>SUM(C8:N8)</f>
        <v>4288.7078854530746</v>
      </c>
      <c r="C8" s="607">
        <f>SUM(C9:C13,C17:C31,C34:C39)</f>
        <v>532.89</v>
      </c>
      <c r="D8" s="607">
        <f t="shared" ref="D8:N8" si="0">SUM(D9:D13,D17:D31,D34:D39)</f>
        <v>1359.1999999999998</v>
      </c>
      <c r="E8" s="607">
        <f t="shared" si="0"/>
        <v>793.84000000000015</v>
      </c>
      <c r="F8" s="607">
        <f t="shared" si="0"/>
        <v>324.45563158043399</v>
      </c>
      <c r="G8" s="607">
        <f t="shared" si="0"/>
        <v>457.86698100000007</v>
      </c>
      <c r="H8" s="607">
        <f t="shared" si="0"/>
        <v>248.74</v>
      </c>
      <c r="I8" s="607">
        <f t="shared" si="0"/>
        <v>204.83</v>
      </c>
      <c r="J8" s="607">
        <f t="shared" si="0"/>
        <v>135.61999999999998</v>
      </c>
      <c r="K8" s="607">
        <f t="shared" si="0"/>
        <v>138.35</v>
      </c>
      <c r="L8" s="607">
        <f t="shared" si="0"/>
        <v>26.419999999999998</v>
      </c>
      <c r="M8" s="607">
        <f t="shared" si="0"/>
        <v>25.873417000000003</v>
      </c>
      <c r="N8" s="607">
        <f t="shared" si="0"/>
        <v>40.621855872640829</v>
      </c>
    </row>
    <row r="9" spans="1:27" ht="12.75" customHeight="1">
      <c r="A9" s="152" t="s">
        <v>21</v>
      </c>
      <c r="B9" s="627">
        <v>0</v>
      </c>
      <c r="C9" s="268">
        <v>0</v>
      </c>
      <c r="D9" s="268">
        <v>0</v>
      </c>
      <c r="E9" s="268">
        <v>0</v>
      </c>
      <c r="F9" s="268">
        <v>0</v>
      </c>
      <c r="G9" s="268">
        <v>0</v>
      </c>
      <c r="H9" s="268">
        <v>0</v>
      </c>
      <c r="I9" s="268">
        <v>0</v>
      </c>
      <c r="J9" s="268">
        <v>0</v>
      </c>
      <c r="K9" s="268">
        <v>0</v>
      </c>
      <c r="L9" s="268">
        <v>0</v>
      </c>
      <c r="M9" s="268">
        <v>0</v>
      </c>
      <c r="N9" s="268">
        <v>0</v>
      </c>
    </row>
    <row r="10" spans="1:27" ht="12.75" customHeight="1">
      <c r="A10" s="152" t="s">
        <v>619</v>
      </c>
      <c r="B10" s="933">
        <f>SUM(C10:N10)</f>
        <v>25.787885453074718</v>
      </c>
      <c r="C10" s="268">
        <v>0</v>
      </c>
      <c r="D10" s="268">
        <v>0</v>
      </c>
      <c r="E10" s="268">
        <v>0</v>
      </c>
      <c r="F10" s="268">
        <v>5.4856315804338927</v>
      </c>
      <c r="G10" s="268">
        <v>7.2369810000000001</v>
      </c>
      <c r="H10" s="268">
        <v>0</v>
      </c>
      <c r="I10" s="268">
        <v>0</v>
      </c>
      <c r="J10" s="268">
        <v>0</v>
      </c>
      <c r="K10" s="268">
        <v>0</v>
      </c>
      <c r="L10" s="268">
        <v>0</v>
      </c>
      <c r="M10" s="268">
        <v>4.9634169999999997</v>
      </c>
      <c r="N10" s="268">
        <v>8.1018558726408259</v>
      </c>
    </row>
    <row r="11" spans="1:27" ht="12.75" customHeight="1">
      <c r="A11" s="152" t="s">
        <v>23</v>
      </c>
      <c r="B11" s="934" t="s">
        <v>244</v>
      </c>
      <c r="C11" s="268">
        <v>0</v>
      </c>
      <c r="D11" s="268">
        <v>0</v>
      </c>
      <c r="E11" s="268">
        <v>0</v>
      </c>
      <c r="F11" s="268">
        <v>0</v>
      </c>
      <c r="G11" s="268">
        <v>0</v>
      </c>
      <c r="H11" s="268">
        <v>0</v>
      </c>
      <c r="I11" s="268">
        <v>0</v>
      </c>
      <c r="J11" s="268">
        <v>0</v>
      </c>
      <c r="K11" s="268">
        <v>0</v>
      </c>
      <c r="L11" s="268">
        <v>0</v>
      </c>
      <c r="M11" s="268">
        <v>0</v>
      </c>
      <c r="N11" s="268">
        <v>0</v>
      </c>
    </row>
    <row r="12" spans="1:27" ht="12.75" customHeight="1">
      <c r="A12" s="129" t="s">
        <v>24</v>
      </c>
      <c r="B12" s="933">
        <f>SUM(C12:N12)</f>
        <v>777.63000000000022</v>
      </c>
      <c r="C12" s="268">
        <v>2.38</v>
      </c>
      <c r="D12" s="268">
        <v>0</v>
      </c>
      <c r="E12" s="268">
        <v>0</v>
      </c>
      <c r="F12" s="268">
        <v>0.88</v>
      </c>
      <c r="G12" s="268">
        <v>370.22</v>
      </c>
      <c r="H12" s="268">
        <v>171.68</v>
      </c>
      <c r="I12" s="268">
        <v>103.69</v>
      </c>
      <c r="J12" s="268">
        <v>80.86</v>
      </c>
      <c r="K12" s="268">
        <v>16.95</v>
      </c>
      <c r="L12" s="268">
        <v>10.98</v>
      </c>
      <c r="M12" s="268">
        <v>13.25</v>
      </c>
      <c r="N12" s="268">
        <v>6.74</v>
      </c>
    </row>
    <row r="13" spans="1:27" ht="12.75" customHeight="1">
      <c r="A13" s="129" t="s">
        <v>25</v>
      </c>
      <c r="B13" s="933">
        <f t="shared" ref="B13:B33" si="1">SUM(C13:N13)</f>
        <v>233.89999999999998</v>
      </c>
      <c r="C13" s="268">
        <v>14.89</v>
      </c>
      <c r="D13" s="268">
        <v>8.23</v>
      </c>
      <c r="E13" s="268">
        <v>19.690000000000001</v>
      </c>
      <c r="F13" s="268">
        <v>17.899999999999999</v>
      </c>
      <c r="G13" s="268">
        <v>9.36</v>
      </c>
      <c r="H13" s="268">
        <v>20.61</v>
      </c>
      <c r="I13" s="268">
        <v>51.78</v>
      </c>
      <c r="J13" s="268">
        <v>45.69</v>
      </c>
      <c r="K13" s="268">
        <v>45.75</v>
      </c>
      <c r="L13" s="268">
        <v>0</v>
      </c>
      <c r="M13" s="268">
        <v>0</v>
      </c>
      <c r="N13" s="268">
        <v>0</v>
      </c>
    </row>
    <row r="14" spans="1:27" ht="12.75" customHeight="1">
      <c r="A14" s="127" t="s">
        <v>97</v>
      </c>
      <c r="B14" s="933">
        <f t="shared" si="1"/>
        <v>191.97</v>
      </c>
      <c r="C14" s="268">
        <v>14.89</v>
      </c>
      <c r="D14" s="268">
        <v>8.23</v>
      </c>
      <c r="E14" s="268">
        <v>19.690000000000001</v>
      </c>
      <c r="F14" s="268">
        <v>17.899999999999999</v>
      </c>
      <c r="G14" s="268">
        <v>9.36</v>
      </c>
      <c r="H14" s="268">
        <v>20.61</v>
      </c>
      <c r="I14" s="268">
        <v>38.630000000000003</v>
      </c>
      <c r="J14" s="268">
        <v>26.35</v>
      </c>
      <c r="K14" s="268">
        <v>36.31</v>
      </c>
      <c r="L14" s="268">
        <v>0</v>
      </c>
      <c r="M14" s="268">
        <v>0</v>
      </c>
      <c r="N14" s="268">
        <v>0</v>
      </c>
      <c r="AA14" s="155"/>
    </row>
    <row r="15" spans="1:27" ht="12.75" customHeight="1">
      <c r="A15" s="127" t="s">
        <v>98</v>
      </c>
      <c r="B15" s="933">
        <f t="shared" si="1"/>
        <v>41.94</v>
      </c>
      <c r="C15" s="268">
        <v>0</v>
      </c>
      <c r="D15" s="268">
        <v>0</v>
      </c>
      <c r="E15" s="268">
        <v>0</v>
      </c>
      <c r="F15" s="268">
        <v>0</v>
      </c>
      <c r="G15" s="268">
        <v>0</v>
      </c>
      <c r="H15" s="268">
        <v>0</v>
      </c>
      <c r="I15" s="268">
        <v>13.15</v>
      </c>
      <c r="J15" s="268">
        <v>19.350000000000001</v>
      </c>
      <c r="K15" s="268">
        <v>9.44</v>
      </c>
      <c r="L15" s="268">
        <v>0</v>
      </c>
      <c r="M15" s="268">
        <v>0</v>
      </c>
      <c r="N15" s="268">
        <v>0</v>
      </c>
      <c r="AA15" s="155"/>
    </row>
    <row r="16" spans="1:27" ht="12.75" customHeight="1">
      <c r="A16" s="127" t="s">
        <v>99</v>
      </c>
      <c r="B16" s="933">
        <f t="shared" si="1"/>
        <v>0</v>
      </c>
      <c r="C16" s="268">
        <v>0</v>
      </c>
      <c r="D16" s="268">
        <v>0</v>
      </c>
      <c r="E16" s="268">
        <v>0</v>
      </c>
      <c r="F16" s="268">
        <v>0</v>
      </c>
      <c r="G16" s="268">
        <v>0</v>
      </c>
      <c r="H16" s="268">
        <v>0</v>
      </c>
      <c r="I16" s="268">
        <v>0</v>
      </c>
      <c r="J16" s="268">
        <v>0</v>
      </c>
      <c r="K16" s="268">
        <v>0</v>
      </c>
      <c r="L16" s="268">
        <v>0</v>
      </c>
      <c r="M16" s="268">
        <v>0</v>
      </c>
      <c r="N16" s="268">
        <v>0</v>
      </c>
    </row>
    <row r="17" spans="1:27" ht="12.75" customHeight="1">
      <c r="A17" s="152" t="s">
        <v>29</v>
      </c>
      <c r="B17" s="933">
        <f t="shared" si="1"/>
        <v>4.01</v>
      </c>
      <c r="C17" s="268">
        <v>0</v>
      </c>
      <c r="D17" s="268">
        <v>0</v>
      </c>
      <c r="E17" s="268">
        <v>0</v>
      </c>
      <c r="F17" s="268">
        <v>0.65</v>
      </c>
      <c r="G17" s="268">
        <v>1.52</v>
      </c>
      <c r="H17" s="268">
        <v>1.27</v>
      </c>
      <c r="I17" s="268">
        <v>0.44</v>
      </c>
      <c r="J17" s="268">
        <v>0.13</v>
      </c>
      <c r="K17" s="268">
        <v>0</v>
      </c>
      <c r="L17" s="268">
        <v>0</v>
      </c>
      <c r="M17" s="268">
        <v>0</v>
      </c>
      <c r="N17" s="268">
        <v>0</v>
      </c>
    </row>
    <row r="18" spans="1:27" ht="12.75" customHeight="1">
      <c r="A18" s="129" t="s">
        <v>30</v>
      </c>
      <c r="B18" s="933">
        <f t="shared" si="1"/>
        <v>10.99</v>
      </c>
      <c r="C18" s="268">
        <v>3.56</v>
      </c>
      <c r="D18" s="268">
        <v>4.04</v>
      </c>
      <c r="E18" s="268">
        <v>3.39</v>
      </c>
      <c r="F18" s="268">
        <v>0</v>
      </c>
      <c r="G18" s="268">
        <v>0</v>
      </c>
      <c r="H18" s="268">
        <v>0</v>
      </c>
      <c r="I18" s="268">
        <v>0</v>
      </c>
      <c r="J18" s="268">
        <v>0</v>
      </c>
      <c r="K18" s="268">
        <v>0</v>
      </c>
      <c r="L18" s="268">
        <v>0</v>
      </c>
      <c r="M18" s="268">
        <v>0</v>
      </c>
      <c r="N18" s="268">
        <v>0</v>
      </c>
    </row>
    <row r="19" spans="1:27" ht="12.75" customHeight="1">
      <c r="A19" s="129" t="s">
        <v>31</v>
      </c>
      <c r="B19" s="933">
        <f t="shared" si="1"/>
        <v>135.46</v>
      </c>
      <c r="C19" s="268">
        <v>0</v>
      </c>
      <c r="D19" s="268">
        <v>0</v>
      </c>
      <c r="E19" s="268">
        <v>1.43</v>
      </c>
      <c r="F19" s="268">
        <v>19.920000000000002</v>
      </c>
      <c r="G19" s="268">
        <v>23.49</v>
      </c>
      <c r="H19" s="268">
        <v>39.630000000000003</v>
      </c>
      <c r="I19" s="268">
        <v>42.22</v>
      </c>
      <c r="J19" s="268">
        <v>8.77</v>
      </c>
      <c r="K19" s="268">
        <v>0</v>
      </c>
      <c r="L19" s="268">
        <v>0</v>
      </c>
      <c r="M19" s="268">
        <v>0</v>
      </c>
      <c r="N19" s="268">
        <v>0</v>
      </c>
    </row>
    <row r="20" spans="1:27" ht="12.75" customHeight="1">
      <c r="A20" s="152" t="s">
        <v>32</v>
      </c>
      <c r="B20" s="933">
        <f t="shared" si="1"/>
        <v>0</v>
      </c>
      <c r="C20" s="268">
        <v>0</v>
      </c>
      <c r="D20" s="268">
        <v>0</v>
      </c>
      <c r="E20" s="268">
        <v>0</v>
      </c>
      <c r="F20" s="268">
        <v>0</v>
      </c>
      <c r="G20" s="268">
        <v>0</v>
      </c>
      <c r="H20" s="268">
        <v>0</v>
      </c>
      <c r="I20" s="268">
        <v>0</v>
      </c>
      <c r="J20" s="268">
        <v>0</v>
      </c>
      <c r="K20" s="268">
        <v>0</v>
      </c>
      <c r="L20" s="268">
        <v>0</v>
      </c>
      <c r="M20" s="268">
        <v>0</v>
      </c>
      <c r="N20" s="268">
        <v>0</v>
      </c>
    </row>
    <row r="21" spans="1:27" ht="12.75" customHeight="1">
      <c r="A21" s="152" t="s">
        <v>33</v>
      </c>
      <c r="B21" s="933">
        <f t="shared" si="1"/>
        <v>137.79000000000002</v>
      </c>
      <c r="C21" s="268">
        <v>2.16</v>
      </c>
      <c r="D21" s="268">
        <v>2.69</v>
      </c>
      <c r="E21" s="268">
        <v>3.31</v>
      </c>
      <c r="F21" s="268">
        <v>6.79</v>
      </c>
      <c r="G21" s="268">
        <v>14.29</v>
      </c>
      <c r="H21" s="268">
        <v>15.16</v>
      </c>
      <c r="I21" s="268">
        <v>6.65</v>
      </c>
      <c r="J21" s="268">
        <v>0.17</v>
      </c>
      <c r="K21" s="268">
        <v>74.12</v>
      </c>
      <c r="L21" s="268">
        <v>9.5299999999999994</v>
      </c>
      <c r="M21" s="268">
        <v>1.43</v>
      </c>
      <c r="N21" s="268">
        <v>1.49</v>
      </c>
    </row>
    <row r="22" spans="1:27" ht="12.75" customHeight="1">
      <c r="A22" s="152" t="s">
        <v>620</v>
      </c>
      <c r="B22" s="933">
        <f t="shared" si="1"/>
        <v>677.66</v>
      </c>
      <c r="C22" s="268">
        <v>341.63</v>
      </c>
      <c r="D22" s="268">
        <v>266.13</v>
      </c>
      <c r="E22" s="268">
        <v>69.900000000000006</v>
      </c>
      <c r="F22" s="268">
        <v>0</v>
      </c>
      <c r="G22" s="268">
        <v>0</v>
      </c>
      <c r="H22" s="268">
        <v>0</v>
      </c>
      <c r="I22" s="268">
        <v>0</v>
      </c>
      <c r="J22" s="268">
        <v>0</v>
      </c>
      <c r="K22" s="268">
        <v>0</v>
      </c>
      <c r="L22" s="268">
        <v>0</v>
      </c>
      <c r="M22" s="268">
        <v>0</v>
      </c>
      <c r="N22" s="268">
        <v>0</v>
      </c>
    </row>
    <row r="23" spans="1:27" ht="12.75" customHeight="1">
      <c r="A23" s="152" t="s">
        <v>35</v>
      </c>
      <c r="B23" s="933">
        <f t="shared" si="1"/>
        <v>1588.2800000000002</v>
      </c>
      <c r="C23" s="268">
        <v>104.66</v>
      </c>
      <c r="D23" s="268">
        <v>769.05</v>
      </c>
      <c r="E23" s="268">
        <v>556.46</v>
      </c>
      <c r="F23" s="268">
        <v>158.11000000000001</v>
      </c>
      <c r="G23" s="268">
        <v>0</v>
      </c>
      <c r="H23" s="268">
        <v>0</v>
      </c>
      <c r="I23" s="268">
        <v>0</v>
      </c>
      <c r="J23" s="268">
        <v>0</v>
      </c>
      <c r="K23" s="268">
        <v>0</v>
      </c>
      <c r="L23" s="268">
        <v>0</v>
      </c>
      <c r="M23" s="268">
        <v>0</v>
      </c>
      <c r="N23" s="268">
        <v>0</v>
      </c>
    </row>
    <row r="24" spans="1:27" ht="12.75" customHeight="1">
      <c r="A24" s="152" t="s">
        <v>36</v>
      </c>
      <c r="B24" s="933">
        <f t="shared" si="1"/>
        <v>214.27</v>
      </c>
      <c r="C24" s="268">
        <v>0</v>
      </c>
      <c r="D24" s="268">
        <v>186.65</v>
      </c>
      <c r="E24" s="268">
        <v>22.97</v>
      </c>
      <c r="F24" s="268">
        <v>4.6500000000000004</v>
      </c>
      <c r="G24" s="268">
        <v>0</v>
      </c>
      <c r="H24" s="268">
        <v>0</v>
      </c>
      <c r="I24" s="268">
        <v>0</v>
      </c>
      <c r="J24" s="268">
        <v>0</v>
      </c>
      <c r="K24" s="268">
        <v>0</v>
      </c>
      <c r="L24" s="268">
        <v>0</v>
      </c>
      <c r="M24" s="268">
        <v>0</v>
      </c>
      <c r="N24" s="268">
        <v>0</v>
      </c>
    </row>
    <row r="25" spans="1:27" ht="12.75" customHeight="1">
      <c r="A25" s="129" t="s">
        <v>621</v>
      </c>
      <c r="B25" s="933">
        <f t="shared" si="1"/>
        <v>46.67</v>
      </c>
      <c r="C25" s="268">
        <v>13.66</v>
      </c>
      <c r="D25" s="268">
        <v>12.31</v>
      </c>
      <c r="E25" s="268">
        <v>12.15</v>
      </c>
      <c r="F25" s="268">
        <v>0</v>
      </c>
      <c r="G25" s="268">
        <v>0</v>
      </c>
      <c r="H25" s="268">
        <v>0</v>
      </c>
      <c r="I25" s="268">
        <v>0</v>
      </c>
      <c r="J25" s="268">
        <v>0</v>
      </c>
      <c r="K25" s="268">
        <v>0</v>
      </c>
      <c r="L25" s="268">
        <v>0</v>
      </c>
      <c r="M25" s="268">
        <v>0</v>
      </c>
      <c r="N25" s="268">
        <v>8.5500000000000007</v>
      </c>
    </row>
    <row r="26" spans="1:27" ht="12.75" customHeight="1">
      <c r="A26" s="152" t="s">
        <v>38</v>
      </c>
      <c r="B26" s="933">
        <f t="shared" si="1"/>
        <v>3.5700000000000003</v>
      </c>
      <c r="C26" s="268">
        <v>0</v>
      </c>
      <c r="D26" s="268">
        <v>0</v>
      </c>
      <c r="E26" s="268">
        <v>0</v>
      </c>
      <c r="F26" s="268">
        <v>0</v>
      </c>
      <c r="G26" s="268">
        <v>0</v>
      </c>
      <c r="H26" s="268">
        <v>0</v>
      </c>
      <c r="I26" s="268">
        <v>0</v>
      </c>
      <c r="J26" s="268">
        <v>0</v>
      </c>
      <c r="K26" s="268">
        <v>1.01</v>
      </c>
      <c r="L26" s="268">
        <v>1.3</v>
      </c>
      <c r="M26" s="268">
        <v>1.18</v>
      </c>
      <c r="N26" s="268">
        <v>0.08</v>
      </c>
    </row>
    <row r="27" spans="1:27" ht="12.75" customHeight="1">
      <c r="A27" s="152" t="s">
        <v>39</v>
      </c>
      <c r="B27" s="933">
        <f t="shared" si="1"/>
        <v>0</v>
      </c>
      <c r="C27" s="268">
        <v>0</v>
      </c>
      <c r="D27" s="268">
        <v>0</v>
      </c>
      <c r="E27" s="268">
        <v>0</v>
      </c>
      <c r="F27" s="268">
        <v>0</v>
      </c>
      <c r="G27" s="268">
        <v>0</v>
      </c>
      <c r="H27" s="268">
        <v>0</v>
      </c>
      <c r="I27" s="268">
        <v>0</v>
      </c>
      <c r="J27" s="268">
        <v>0</v>
      </c>
      <c r="K27" s="268">
        <v>0</v>
      </c>
      <c r="L27" s="268">
        <v>0</v>
      </c>
      <c r="M27" s="268">
        <v>0</v>
      </c>
      <c r="N27" s="268">
        <v>0</v>
      </c>
    </row>
    <row r="28" spans="1:27" ht="12.75" customHeight="1">
      <c r="A28" s="152" t="s">
        <v>40</v>
      </c>
      <c r="B28" s="933">
        <f t="shared" si="1"/>
        <v>179.36</v>
      </c>
      <c r="C28" s="268">
        <v>8.68</v>
      </c>
      <c r="D28" s="268">
        <v>8.6199999999999992</v>
      </c>
      <c r="E28" s="268">
        <v>52.58</v>
      </c>
      <c r="F28" s="268">
        <v>74.37</v>
      </c>
      <c r="G28" s="268">
        <v>26.23</v>
      </c>
      <c r="H28" s="268">
        <v>0.39</v>
      </c>
      <c r="I28" s="268">
        <v>0.05</v>
      </c>
      <c r="J28" s="268">
        <v>0</v>
      </c>
      <c r="K28" s="268">
        <v>0.52</v>
      </c>
      <c r="L28" s="268">
        <v>4.6100000000000003</v>
      </c>
      <c r="M28" s="268">
        <v>0.56999999999999995</v>
      </c>
      <c r="N28" s="268">
        <v>2.74</v>
      </c>
    </row>
    <row r="29" spans="1:27" ht="12.75" customHeight="1">
      <c r="A29" s="129" t="s">
        <v>622</v>
      </c>
      <c r="B29" s="933">
        <f t="shared" si="1"/>
        <v>126.67</v>
      </c>
      <c r="C29" s="268">
        <v>20.64</v>
      </c>
      <c r="D29" s="268">
        <v>50.74</v>
      </c>
      <c r="E29" s="268">
        <v>25.98</v>
      </c>
      <c r="F29" s="268">
        <v>17.850000000000001</v>
      </c>
      <c r="G29" s="268">
        <v>2.76</v>
      </c>
      <c r="H29" s="268">
        <v>0</v>
      </c>
      <c r="I29" s="268">
        <v>0</v>
      </c>
      <c r="J29" s="268">
        <v>0</v>
      </c>
      <c r="K29" s="268">
        <v>0</v>
      </c>
      <c r="L29" s="268">
        <v>0</v>
      </c>
      <c r="M29" s="268">
        <v>2.2400000000000002</v>
      </c>
      <c r="N29" s="268">
        <v>6.46</v>
      </c>
    </row>
    <row r="30" spans="1:27" ht="12.75" customHeight="1">
      <c r="A30" s="127" t="s">
        <v>100</v>
      </c>
      <c r="B30" s="933">
        <f t="shared" si="1"/>
        <v>105.02</v>
      </c>
      <c r="C30" s="268">
        <v>15.96</v>
      </c>
      <c r="D30" s="268">
        <v>40.4</v>
      </c>
      <c r="E30" s="268">
        <v>19.350000000000001</v>
      </c>
      <c r="F30" s="268">
        <v>17.850000000000001</v>
      </c>
      <c r="G30" s="268">
        <v>2.76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2.2400000000000002</v>
      </c>
      <c r="N30" s="268">
        <v>6.46</v>
      </c>
      <c r="AA30" s="155"/>
    </row>
    <row r="31" spans="1:27" ht="12.75" customHeight="1">
      <c r="A31" s="127" t="s">
        <v>101</v>
      </c>
      <c r="B31" s="933">
        <f t="shared" si="1"/>
        <v>21.64</v>
      </c>
      <c r="C31" s="268">
        <v>4.67</v>
      </c>
      <c r="D31" s="268">
        <v>10.34</v>
      </c>
      <c r="E31" s="268">
        <v>6.63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AA31" s="155"/>
    </row>
    <row r="32" spans="1:27" ht="12.75" customHeight="1">
      <c r="A32" s="152" t="s">
        <v>44</v>
      </c>
      <c r="B32" s="933">
        <f t="shared" si="1"/>
        <v>751.14</v>
      </c>
      <c r="C32" s="268">
        <v>273.26</v>
      </c>
      <c r="D32" s="268">
        <v>41.25</v>
      </c>
      <c r="E32" s="268">
        <v>155.43</v>
      </c>
      <c r="F32" s="268">
        <v>0</v>
      </c>
      <c r="G32" s="268">
        <v>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8">
        <v>129.72</v>
      </c>
      <c r="N32" s="268">
        <v>151.47999999999999</v>
      </c>
    </row>
    <row r="33" spans="1:14" ht="12.75" customHeight="1">
      <c r="A33" s="152" t="s">
        <v>45</v>
      </c>
      <c r="B33" s="933">
        <f t="shared" si="1"/>
        <v>3070.55</v>
      </c>
      <c r="C33" s="268">
        <v>0</v>
      </c>
      <c r="D33" s="268">
        <v>1348.77</v>
      </c>
      <c r="E33" s="268">
        <v>1092.78</v>
      </c>
      <c r="F33" s="268">
        <v>0</v>
      </c>
      <c r="G33" s="268">
        <v>0</v>
      </c>
      <c r="H33" s="268">
        <v>0</v>
      </c>
      <c r="I33" s="268">
        <v>0</v>
      </c>
      <c r="J33" s="268">
        <v>0</v>
      </c>
      <c r="K33" s="268">
        <v>0</v>
      </c>
      <c r="L33" s="268">
        <v>0</v>
      </c>
      <c r="M33" s="268">
        <v>494.59</v>
      </c>
      <c r="N33" s="268">
        <v>134.41</v>
      </c>
    </row>
    <row r="34" spans="1:14" ht="12.75" customHeight="1">
      <c r="A34" s="129" t="s">
        <v>46</v>
      </c>
      <c r="B34" s="627">
        <f t="shared" ref="B34:B35" si="2">SUM(C34:N34)</f>
        <v>0</v>
      </c>
      <c r="C34" s="268">
        <v>0</v>
      </c>
      <c r="D34" s="268">
        <v>0</v>
      </c>
      <c r="E34" s="268">
        <v>0</v>
      </c>
      <c r="F34" s="268">
        <v>0</v>
      </c>
      <c r="G34" s="268">
        <v>0</v>
      </c>
      <c r="H34" s="268">
        <v>0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</row>
    <row r="35" spans="1:14" ht="12.75" customHeight="1">
      <c r="A35" s="129" t="s">
        <v>47</v>
      </c>
      <c r="B35" s="627">
        <f t="shared" si="2"/>
        <v>0</v>
      </c>
      <c r="C35" s="268">
        <v>0</v>
      </c>
      <c r="D35" s="268">
        <v>0</v>
      </c>
      <c r="E35" s="268">
        <v>0</v>
      </c>
      <c r="F35" s="268">
        <v>0</v>
      </c>
      <c r="G35" s="268">
        <v>0</v>
      </c>
      <c r="H35" s="268">
        <v>0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</row>
    <row r="36" spans="1:14" ht="12.75" customHeight="1">
      <c r="A36" s="129" t="s">
        <v>48</v>
      </c>
      <c r="B36" s="628">
        <v>0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</row>
    <row r="37" spans="1:14" ht="12.75" customHeight="1" thickBot="1">
      <c r="A37" s="154" t="s">
        <v>49</v>
      </c>
      <c r="B37" s="629">
        <v>0</v>
      </c>
      <c r="C37" s="269">
        <v>0</v>
      </c>
      <c r="D37" s="269">
        <v>0</v>
      </c>
      <c r="E37" s="269">
        <v>0</v>
      </c>
      <c r="F37" s="269">
        <v>0</v>
      </c>
      <c r="G37" s="269">
        <v>0</v>
      </c>
      <c r="H37" s="269">
        <v>0</v>
      </c>
      <c r="I37" s="269">
        <v>0</v>
      </c>
      <c r="J37" s="269">
        <v>0</v>
      </c>
      <c r="K37" s="269">
        <v>0</v>
      </c>
      <c r="L37" s="269">
        <v>0</v>
      </c>
      <c r="M37" s="269">
        <v>0</v>
      </c>
      <c r="N37" s="269">
        <v>0</v>
      </c>
    </row>
    <row r="38" spans="1:14" ht="9" customHeight="1">
      <c r="A38" s="778" t="s">
        <v>623</v>
      </c>
      <c r="B38" s="812"/>
      <c r="C38" s="812"/>
      <c r="D38" s="812"/>
      <c r="E38" s="812"/>
      <c r="F38" s="256"/>
      <c r="G38" s="146"/>
      <c r="H38" s="146"/>
      <c r="I38" s="146"/>
      <c r="J38" s="146"/>
      <c r="K38" s="146"/>
      <c r="L38" s="146"/>
      <c r="M38" s="146"/>
      <c r="N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  <c r="J39" s="146"/>
      <c r="K39" s="146"/>
      <c r="L39" s="146"/>
      <c r="M39" s="146"/>
      <c r="N39" s="146"/>
    </row>
    <row r="40" spans="1:14" ht="9" customHeight="1">
      <c r="A40" s="780" t="s">
        <v>624</v>
      </c>
      <c r="B40" s="812"/>
      <c r="C40" s="812"/>
      <c r="D40" s="812"/>
      <c r="E40" s="812"/>
      <c r="F40" s="256"/>
      <c r="G40" s="146"/>
      <c r="H40" s="146"/>
      <c r="I40" s="146"/>
      <c r="J40" s="146"/>
      <c r="K40" s="146"/>
      <c r="L40" s="146"/>
      <c r="M40" s="146"/>
      <c r="N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86">
    <tabColor theme="9" tint="0.59999389629810485"/>
  </sheetPr>
  <dimension ref="A4:N48"/>
  <sheetViews>
    <sheetView showGridLines="0" zoomScaleNormal="100" workbookViewId="0">
      <selection activeCell="F9" sqref="F9:I37"/>
    </sheetView>
  </sheetViews>
  <sheetFormatPr baseColWidth="10" defaultColWidth="7" defaultRowHeight="13.25" customHeight="1"/>
  <cols>
    <col min="1" max="1" width="11.59765625" style="129" customWidth="1"/>
    <col min="2" max="2" width="9.19921875" style="129" customWidth="1"/>
    <col min="3" max="14" width="9" style="129" customWidth="1"/>
    <col min="15" max="16384" width="7" style="129"/>
  </cols>
  <sheetData>
    <row r="4" spans="1:14" ht="13.25" customHeight="1">
      <c r="A4" s="249" t="s">
        <v>558</v>
      </c>
      <c r="B4" s="245"/>
    </row>
    <row r="5" spans="1:14" ht="13.25" customHeight="1">
      <c r="A5" s="252" t="s">
        <v>428</v>
      </c>
      <c r="B5" s="245"/>
    </row>
    <row r="6" spans="1:14" ht="4" customHeight="1" thickBot="1"/>
    <row r="7" spans="1:14" ht="15" customHeight="1">
      <c r="A7" s="595" t="s">
        <v>18</v>
      </c>
      <c r="B7" s="596" t="s">
        <v>106</v>
      </c>
      <c r="C7" s="595" t="s">
        <v>55</v>
      </c>
      <c r="D7" s="595" t="s">
        <v>56</v>
      </c>
      <c r="E7" s="595" t="s">
        <v>57</v>
      </c>
      <c r="F7" s="595" t="s">
        <v>58</v>
      </c>
      <c r="G7" s="595" t="s">
        <v>59</v>
      </c>
      <c r="H7" s="595" t="s">
        <v>60</v>
      </c>
      <c r="I7" s="595" t="s">
        <v>61</v>
      </c>
      <c r="J7" s="595" t="s">
        <v>62</v>
      </c>
      <c r="K7" s="595" t="s">
        <v>63</v>
      </c>
      <c r="L7" s="595" t="s">
        <v>64</v>
      </c>
      <c r="M7" s="595" t="s">
        <v>65</v>
      </c>
      <c r="N7" s="595" t="s">
        <v>66</v>
      </c>
    </row>
    <row r="8" spans="1:14" ht="15" customHeight="1">
      <c r="A8" s="604" t="s">
        <v>90</v>
      </c>
      <c r="B8" s="605">
        <f>'C-84'!B8/'C-83'!B8*1000</f>
        <v>0.99822253609394507</v>
      </c>
      <c r="C8" s="605">
        <f>'C-84'!C8/'C-83'!C8*1000</f>
        <v>1.1871996578020465</v>
      </c>
      <c r="D8" s="605">
        <f>'C-84'!D8/'C-83'!D8*1000</f>
        <v>0.91778315259525756</v>
      </c>
      <c r="E8" s="605">
        <f>'C-84'!E8/'C-83'!E8*1000</f>
        <v>0.72011074160956345</v>
      </c>
      <c r="F8" s="605">
        <f>'C-84'!F8/'C-83'!F8*1000</f>
        <v>1.914651550747583</v>
      </c>
      <c r="G8" s="605">
        <f>'C-84'!G8/'C-83'!G8*1000</f>
        <v>2.4741274870043557</v>
      </c>
      <c r="H8" s="605">
        <f>'C-84'!H8/'C-83'!H8*1000</f>
        <v>2.1679622523205104</v>
      </c>
      <c r="I8" s="605">
        <f>'C-84'!I8/'C-83'!I8*1000</f>
        <v>1.9689134112580746</v>
      </c>
      <c r="J8" s="605">
        <f>'C-84'!J8/'C-83'!J8*1000</f>
        <v>2.1093922548815272</v>
      </c>
      <c r="K8" s="605">
        <f>'C-84'!K8/'C-83'!K8*1000</f>
        <v>1.8918778477308404</v>
      </c>
      <c r="L8" s="605">
        <f>'C-84'!L8/'C-83'!L8*1000</f>
        <v>2.1804076916728561</v>
      </c>
      <c r="M8" s="605">
        <f>'C-84'!M8/'C-83'!M8*1000</f>
        <v>7.5143084089892606E-2</v>
      </c>
      <c r="N8" s="605">
        <f>'C-84'!N8/'C-83'!N8*1000</f>
        <v>0.20621592223162355</v>
      </c>
    </row>
    <row r="9" spans="1:14" ht="12.75" customHeight="1">
      <c r="A9" s="152" t="s">
        <v>21</v>
      </c>
      <c r="B9" s="625" t="s">
        <v>75</v>
      </c>
      <c r="C9" s="260" t="s">
        <v>75</v>
      </c>
      <c r="D9" s="260" t="s">
        <v>75</v>
      </c>
      <c r="E9" s="260" t="s">
        <v>75</v>
      </c>
      <c r="F9" s="260" t="s">
        <v>75</v>
      </c>
      <c r="G9" s="260" t="s">
        <v>75</v>
      </c>
      <c r="H9" s="260" t="s">
        <v>75</v>
      </c>
      <c r="I9" s="260" t="s">
        <v>75</v>
      </c>
      <c r="J9" s="260" t="s">
        <v>75</v>
      </c>
      <c r="K9" s="260" t="s">
        <v>75</v>
      </c>
      <c r="L9" s="260" t="s">
        <v>75</v>
      </c>
      <c r="M9" s="260" t="s">
        <v>75</v>
      </c>
      <c r="N9" s="260" t="s">
        <v>75</v>
      </c>
    </row>
    <row r="10" spans="1:14" ht="12.75" customHeight="1">
      <c r="A10" s="152" t="s">
        <v>22</v>
      </c>
      <c r="B10" s="625">
        <f>'C-84'!B10/'C-83'!B10*1000</f>
        <v>1.0863837647013057</v>
      </c>
      <c r="C10" s="260" t="s">
        <v>75</v>
      </c>
      <c r="D10" s="260" t="s">
        <v>75</v>
      </c>
      <c r="E10" s="260" t="s">
        <v>75</v>
      </c>
      <c r="F10" s="260">
        <f>'C-84'!F10/'C-83'!F10*1000</f>
        <v>1.5398857566906841</v>
      </c>
      <c r="G10" s="260">
        <f>'C-84'!G10/'C-83'!G10*1000</f>
        <v>1.3973703417648196</v>
      </c>
      <c r="H10" s="260" t="s">
        <v>75</v>
      </c>
      <c r="I10" s="260" t="s">
        <v>75</v>
      </c>
      <c r="J10" s="260" t="s">
        <v>75</v>
      </c>
      <c r="K10" s="260" t="s">
        <v>75</v>
      </c>
      <c r="L10" s="260" t="s">
        <v>75</v>
      </c>
      <c r="M10" s="260">
        <f>'C-84'!M10/'C-83'!M10*1000</f>
        <v>1.6068038200064745</v>
      </c>
      <c r="N10" s="260">
        <f>'C-84'!N10/'C-83'!N10*1000</f>
        <v>0.68042797284293499</v>
      </c>
    </row>
    <row r="11" spans="1:14" ht="12.75" customHeight="1">
      <c r="A11" s="152" t="s">
        <v>23</v>
      </c>
      <c r="B11" s="625" t="s">
        <v>75</v>
      </c>
      <c r="C11" s="260" t="s">
        <v>75</v>
      </c>
      <c r="D11" s="260" t="s">
        <v>75</v>
      </c>
      <c r="E11" s="260" t="s">
        <v>75</v>
      </c>
      <c r="F11" s="260" t="s">
        <v>75</v>
      </c>
      <c r="G11" s="260" t="s">
        <v>75</v>
      </c>
      <c r="H11" s="260" t="s">
        <v>75</v>
      </c>
      <c r="I11" s="260" t="s">
        <v>75</v>
      </c>
      <c r="J11" s="260" t="s">
        <v>75</v>
      </c>
      <c r="K11" s="260" t="s">
        <v>75</v>
      </c>
      <c r="L11" s="260" t="s">
        <v>75</v>
      </c>
      <c r="M11" s="260" t="s">
        <v>75</v>
      </c>
      <c r="N11" s="260" t="s">
        <v>75</v>
      </c>
    </row>
    <row r="12" spans="1:14" ht="12.75" customHeight="1">
      <c r="A12" s="129" t="s">
        <v>24</v>
      </c>
      <c r="B12" s="625">
        <f>'C-84'!B12/'C-83'!B12*1000</f>
        <v>2.9908386024830396</v>
      </c>
      <c r="C12" s="260">
        <f>'C-84'!C12/'C-83'!C12*1000</f>
        <v>2.2474032105760151</v>
      </c>
      <c r="D12" s="260" t="s">
        <v>75</v>
      </c>
      <c r="E12" s="260" t="s">
        <v>75</v>
      </c>
      <c r="F12" s="260">
        <f>'C-84'!F12/'C-83'!F12*1000</f>
        <v>2.767295597484277</v>
      </c>
      <c r="G12" s="260">
        <f>'C-84'!G12/'C-83'!G12*1000</f>
        <v>2.9899371678700071</v>
      </c>
      <c r="H12" s="260">
        <f>'C-84'!H12/'C-83'!H12*1000</f>
        <v>3.0185494505494508</v>
      </c>
      <c r="I12" s="260">
        <f>'C-84'!I12/'C-83'!I12*1000</f>
        <v>3.0048104787295702</v>
      </c>
      <c r="J12" s="260">
        <f>'C-84'!J12/'C-83'!J12*1000</f>
        <v>2.9683198120480156</v>
      </c>
      <c r="K12" s="260">
        <f>'C-84'!K12/'C-83'!K12*1000</f>
        <v>2.9519331243469171</v>
      </c>
      <c r="L12" s="260">
        <f>'C-84'!L12/'C-83'!L12*1000</f>
        <v>2.973997833152763</v>
      </c>
      <c r="M12" s="260">
        <f>'C-84'!M12/'C-83'!M12*1000</f>
        <v>3.0320366132723109</v>
      </c>
      <c r="N12" s="260">
        <f>'C-84'!N12/'C-83'!N12*1000</f>
        <v>2.8355069415229281</v>
      </c>
    </row>
    <row r="13" spans="1:14" ht="12.75" customHeight="1">
      <c r="A13" s="129" t="s">
        <v>25</v>
      </c>
      <c r="B13" s="625">
        <f>'C-84'!B13/'C-83'!B13*1000</f>
        <v>1.5933264214256422</v>
      </c>
      <c r="C13" s="260">
        <f>'C-84'!C13/'C-83'!C13*1000</f>
        <v>1.4758648032510655</v>
      </c>
      <c r="D13" s="260">
        <f>'C-84'!D13/'C-83'!D13*1000</f>
        <v>1.5507819860561523</v>
      </c>
      <c r="E13" s="260">
        <f>'C-84'!E13/'C-83'!E13*1000</f>
        <v>1.6837694544210708</v>
      </c>
      <c r="F13" s="260">
        <f>'C-84'!F13/'C-83'!F13*1000</f>
        <v>1.5607289214404043</v>
      </c>
      <c r="G13" s="260">
        <f>'C-84'!G13/'C-83'!G13*1000</f>
        <v>1.463185868375801</v>
      </c>
      <c r="H13" s="260">
        <f>'C-84'!H13/'C-83'!H13*1000</f>
        <v>1.5100007326544067</v>
      </c>
      <c r="I13" s="260">
        <f>'C-84'!I13/'C-83'!I13*1000</f>
        <v>1.6924334041510052</v>
      </c>
      <c r="J13" s="260">
        <f>'C-84'!J13/'C-83'!J13*1000</f>
        <v>1.5049208837828223</v>
      </c>
      <c r="K13" s="260">
        <f>'C-84'!K13/'C-83'!K13*1000</f>
        <v>1.6795524130487456</v>
      </c>
      <c r="L13" s="260" t="s">
        <v>75</v>
      </c>
      <c r="M13" s="260" t="s">
        <v>75</v>
      </c>
      <c r="N13" s="260" t="s">
        <v>75</v>
      </c>
    </row>
    <row r="14" spans="1:14" ht="12.75" customHeight="1">
      <c r="A14" s="127" t="s">
        <v>97</v>
      </c>
      <c r="B14" s="625">
        <f>'C-84'!B14/'C-83'!B14*1000</f>
        <v>1.6684367607105177</v>
      </c>
      <c r="C14" s="260">
        <f>'C-84'!C14/'C-83'!C14*1000</f>
        <v>1.4758648032510655</v>
      </c>
      <c r="D14" s="260">
        <f>'C-84'!D14/'C-83'!D14*1000</f>
        <v>1.5507819860561523</v>
      </c>
      <c r="E14" s="260">
        <f>'C-84'!E14/'C-83'!E14*1000</f>
        <v>1.6837694544210708</v>
      </c>
      <c r="F14" s="260">
        <f>'C-84'!F14/'C-83'!F14*1000</f>
        <v>1.5607289214404043</v>
      </c>
      <c r="G14" s="260">
        <f>'C-84'!G14/'C-83'!G14*1000</f>
        <v>1.463185868375801</v>
      </c>
      <c r="H14" s="260">
        <f>'C-84'!H14/'C-83'!H14*1000</f>
        <v>1.5100007326544067</v>
      </c>
      <c r="I14" s="260">
        <f>'C-84'!I14/'C-83'!I14*1000</f>
        <v>1.8912170762753353</v>
      </c>
      <c r="J14" s="260">
        <f>'C-84'!J14/'C-83'!J14*1000</f>
        <v>1.6804418254636362</v>
      </c>
      <c r="K14" s="260">
        <f>'C-84'!K14/'C-83'!K14*1000</f>
        <v>1.7844154822983624</v>
      </c>
      <c r="L14" s="260" t="s">
        <v>75</v>
      </c>
      <c r="M14" s="260" t="s">
        <v>75</v>
      </c>
      <c r="N14" s="260" t="s">
        <v>75</v>
      </c>
    </row>
    <row r="15" spans="1:14" ht="12.75" customHeight="1">
      <c r="A15" s="127" t="s">
        <v>98</v>
      </c>
      <c r="B15" s="625">
        <f>'C-84'!B15/'C-83'!B15*1000</f>
        <v>1.3213610586011342</v>
      </c>
      <c r="C15" s="260" t="s">
        <v>75</v>
      </c>
      <c r="D15" s="260" t="s">
        <v>75</v>
      </c>
      <c r="E15" s="260" t="s">
        <v>75</v>
      </c>
      <c r="F15" s="260" t="s">
        <v>75</v>
      </c>
      <c r="G15" s="260" t="s">
        <v>75</v>
      </c>
      <c r="H15" s="260" t="s">
        <v>75</v>
      </c>
      <c r="I15" s="260">
        <f>'C-84'!I15/'C-83'!I15*1000</f>
        <v>1.2931458353820435</v>
      </c>
      <c r="J15" s="260">
        <f>'C-84'!J15/'C-83'!J15*1000</f>
        <v>1.3181198910081746</v>
      </c>
      <c r="K15" s="260">
        <f>'C-84'!K15/'C-83'!K15*1000</f>
        <v>1.3699027717312438</v>
      </c>
      <c r="L15" s="260" t="s">
        <v>75</v>
      </c>
      <c r="M15" s="260" t="s">
        <v>75</v>
      </c>
      <c r="N15" s="260" t="s">
        <v>75</v>
      </c>
    </row>
    <row r="16" spans="1:14" ht="12.75" customHeight="1">
      <c r="A16" s="127" t="s">
        <v>99</v>
      </c>
      <c r="B16" s="625" t="s">
        <v>75</v>
      </c>
      <c r="C16" s="260" t="s">
        <v>75</v>
      </c>
      <c r="D16" s="260" t="s">
        <v>75</v>
      </c>
      <c r="E16" s="260" t="s">
        <v>75</v>
      </c>
      <c r="F16" s="260" t="s">
        <v>75</v>
      </c>
      <c r="G16" s="260" t="s">
        <v>75</v>
      </c>
      <c r="H16" s="260" t="s">
        <v>75</v>
      </c>
      <c r="I16" s="260" t="s">
        <v>75</v>
      </c>
      <c r="J16" s="260" t="s">
        <v>75</v>
      </c>
      <c r="K16" s="260" t="s">
        <v>75</v>
      </c>
      <c r="L16" s="260" t="s">
        <v>75</v>
      </c>
      <c r="M16" s="260" t="s">
        <v>75</v>
      </c>
      <c r="N16" s="260" t="s">
        <v>75</v>
      </c>
    </row>
    <row r="17" spans="1:14" ht="12.75" customHeight="1">
      <c r="A17" s="152" t="s">
        <v>29</v>
      </c>
      <c r="B17" s="625">
        <f>'C-84'!B17/'C-83'!B17*1000</f>
        <v>0.62705238467552782</v>
      </c>
      <c r="C17" s="260" t="s">
        <v>75</v>
      </c>
      <c r="D17" s="260" t="s">
        <v>75</v>
      </c>
      <c r="E17" s="260" t="s">
        <v>75</v>
      </c>
      <c r="F17" s="260">
        <f>'C-84'!F17/'C-83'!F17*1000</f>
        <v>0.6310679611650486</v>
      </c>
      <c r="G17" s="260">
        <f>'C-84'!G17/'C-83'!G17*1000</f>
        <v>0.62758051197357556</v>
      </c>
      <c r="H17" s="260">
        <f>'C-84'!H17/'C-83'!H17*1000</f>
        <v>0.62685093780848966</v>
      </c>
      <c r="I17" s="260">
        <f>'C-84'!I17/'C-83'!I17*1000</f>
        <v>0.62322946175637395</v>
      </c>
      <c r="J17" s="260">
        <f>'C-84'!J17/'C-83'!J17*1000</f>
        <v>0.61611374407582942</v>
      </c>
      <c r="K17" s="260" t="s">
        <v>75</v>
      </c>
      <c r="L17" s="260" t="s">
        <v>75</v>
      </c>
      <c r="M17" s="260" t="s">
        <v>75</v>
      </c>
      <c r="N17" s="260" t="s">
        <v>75</v>
      </c>
    </row>
    <row r="18" spans="1:14" ht="12.75" customHeight="1">
      <c r="A18" s="129" t="s">
        <v>30</v>
      </c>
      <c r="B18" s="625">
        <f>'C-84'!B18/'C-83'!B18*1000</f>
        <v>1.492547448477235</v>
      </c>
      <c r="C18" s="260">
        <f>'C-84'!C18/'C-83'!C18*1000</f>
        <v>1.5142492556358997</v>
      </c>
      <c r="D18" s="260">
        <f>'C-84'!D18/'C-83'!D18*1000</f>
        <v>1.4504981599497353</v>
      </c>
      <c r="E18" s="260">
        <f>'C-84'!E18/'C-83'!E18*1000</f>
        <v>1.5222272114952853</v>
      </c>
      <c r="F18" s="260" t="s">
        <v>75</v>
      </c>
      <c r="G18" s="260" t="s">
        <v>75</v>
      </c>
      <c r="H18" s="260" t="s">
        <v>75</v>
      </c>
      <c r="I18" s="260" t="s">
        <v>75</v>
      </c>
      <c r="J18" s="260" t="s">
        <v>75</v>
      </c>
      <c r="K18" s="260" t="s">
        <v>75</v>
      </c>
      <c r="L18" s="260" t="s">
        <v>75</v>
      </c>
      <c r="M18" s="260" t="s">
        <v>75</v>
      </c>
      <c r="N18" s="260" t="s">
        <v>75</v>
      </c>
    </row>
    <row r="19" spans="1:14" ht="12.75" customHeight="1">
      <c r="A19" s="129" t="s">
        <v>31</v>
      </c>
      <c r="B19" s="625">
        <f>'C-84'!B19/'C-83'!B19*1000</f>
        <v>1.2998319698979413</v>
      </c>
      <c r="C19" s="260" t="s">
        <v>75</v>
      </c>
      <c r="D19" s="260" t="s">
        <v>75</v>
      </c>
      <c r="E19" s="260">
        <f>'C-84'!E19/'C-83'!E19*1000</f>
        <v>1.338951310861423</v>
      </c>
      <c r="F19" s="260">
        <f>'C-84'!F19/'C-83'!F19*1000</f>
        <v>1.2147822905232346</v>
      </c>
      <c r="G19" s="260">
        <f>'C-84'!G19/'C-83'!G19*1000</f>
        <v>1.3981310636271649</v>
      </c>
      <c r="H19" s="260">
        <f>'C-84'!H19/'C-83'!H19*1000</f>
        <v>1.3366174842248444</v>
      </c>
      <c r="I19" s="260">
        <f>'C-84'!I19/'C-83'!I19*1000</f>
        <v>1.2446933962264151</v>
      </c>
      <c r="J19" s="260">
        <f>'C-84'!J19/'C-83'!J19*1000</f>
        <v>1.3752548220166221</v>
      </c>
      <c r="K19" s="260" t="s">
        <v>75</v>
      </c>
      <c r="L19" s="260" t="s">
        <v>75</v>
      </c>
      <c r="M19" s="260" t="s">
        <v>75</v>
      </c>
      <c r="N19" s="260" t="s">
        <v>75</v>
      </c>
    </row>
    <row r="20" spans="1:14" ht="12.75" customHeight="1">
      <c r="A20" s="152" t="s">
        <v>32</v>
      </c>
      <c r="B20" s="625" t="s">
        <v>75</v>
      </c>
      <c r="C20" s="260" t="s">
        <v>75</v>
      </c>
      <c r="D20" s="260" t="s">
        <v>75</v>
      </c>
      <c r="E20" s="260" t="s">
        <v>75</v>
      </c>
      <c r="F20" s="260" t="s">
        <v>75</v>
      </c>
      <c r="G20" s="260" t="s">
        <v>75</v>
      </c>
      <c r="H20" s="260" t="s">
        <v>75</v>
      </c>
      <c r="I20" s="260" t="s">
        <v>75</v>
      </c>
      <c r="J20" s="260" t="s">
        <v>75</v>
      </c>
      <c r="K20" s="260" t="s">
        <v>75</v>
      </c>
      <c r="L20" s="260" t="s">
        <v>75</v>
      </c>
      <c r="M20" s="260" t="s">
        <v>75</v>
      </c>
      <c r="N20" s="260" t="s">
        <v>75</v>
      </c>
    </row>
    <row r="21" spans="1:14" ht="12.75" customHeight="1">
      <c r="A21" s="152" t="s">
        <v>33</v>
      </c>
      <c r="B21" s="625">
        <f>'C-84'!B21/'C-83'!B21*1000</f>
        <v>1.6566873467032175</v>
      </c>
      <c r="C21" s="260">
        <f>'C-84'!C21/'C-83'!C21*1000</f>
        <v>1.6191904047976011</v>
      </c>
      <c r="D21" s="260">
        <f>'C-84'!D21/'C-83'!D21*1000</f>
        <v>1.5450890292935093</v>
      </c>
      <c r="E21" s="260">
        <f>'C-84'!E21/'C-83'!E21*1000</f>
        <v>1.4145299145299146</v>
      </c>
      <c r="F21" s="260">
        <f>'C-84'!F21/'C-83'!F21*1000</f>
        <v>1.3166569711072329</v>
      </c>
      <c r="G21" s="260">
        <f>'C-84'!G21/'C-83'!G21*1000</f>
        <v>1.4011177566428079</v>
      </c>
      <c r="H21" s="260">
        <f>'C-84'!H21/'C-83'!H21*1000</f>
        <v>1.2323199479759388</v>
      </c>
      <c r="I21" s="260">
        <f>'C-84'!I21/'C-83'!I21*1000</f>
        <v>1.5599343185550083</v>
      </c>
      <c r="J21" s="260">
        <f>'C-84'!J21/'C-83'!J21*1000</f>
        <v>1.6346153846153848</v>
      </c>
      <c r="K21" s="260">
        <f>'C-84'!K21/'C-83'!K21*1000</f>
        <v>1.8977392016795966</v>
      </c>
      <c r="L21" s="260">
        <f>'C-84'!L21/'C-83'!L21*1000</f>
        <v>2.249763928234183</v>
      </c>
      <c r="M21" s="260">
        <f>'C-84'!M21/'C-83'!M21*1000</f>
        <v>1.4060963618485742</v>
      </c>
      <c r="N21" s="260">
        <f>'C-84'!N21/'C-83'!N21*1000</f>
        <v>1.0478199718706047</v>
      </c>
    </row>
    <row r="22" spans="1:14" ht="12.75" customHeight="1">
      <c r="A22" s="152" t="s">
        <v>34</v>
      </c>
      <c r="B22" s="625">
        <f>'C-84'!B22/'C-83'!B22*1000</f>
        <v>1.8561399760607629</v>
      </c>
      <c r="C22" s="260">
        <f>'C-84'!C22/'C-83'!C22*1000</f>
        <v>1.8983768525052929</v>
      </c>
      <c r="D22" s="260">
        <f>'C-84'!D22/'C-83'!D22*1000</f>
        <v>1.8373814225155687</v>
      </c>
      <c r="E22" s="260">
        <f>'C-84'!E22/'C-83'!E22*1000</f>
        <v>1.7349218168279972</v>
      </c>
      <c r="F22" s="260" t="s">
        <v>75</v>
      </c>
      <c r="G22" s="260" t="s">
        <v>75</v>
      </c>
      <c r="H22" s="260" t="s">
        <v>75</v>
      </c>
      <c r="I22" s="260" t="s">
        <v>75</v>
      </c>
      <c r="J22" s="260" t="s">
        <v>75</v>
      </c>
      <c r="K22" s="260" t="s">
        <v>75</v>
      </c>
      <c r="L22" s="260" t="s">
        <v>75</v>
      </c>
      <c r="M22" s="260" t="s">
        <v>75</v>
      </c>
      <c r="N22" s="260" t="s">
        <v>75</v>
      </c>
    </row>
    <row r="23" spans="1:14" ht="12.75" customHeight="1">
      <c r="A23" s="152" t="s">
        <v>35</v>
      </c>
      <c r="B23" s="625">
        <f>'C-84'!B23/'C-83'!B23*1000</f>
        <v>1.8216518138756037</v>
      </c>
      <c r="C23" s="260">
        <f>'C-84'!C23/'C-83'!C23*1000</f>
        <v>1.4187146710767102</v>
      </c>
      <c r="D23" s="260">
        <f>'C-84'!D23/'C-83'!D23*1000</f>
        <v>1.7671388687829592</v>
      </c>
      <c r="E23" s="260">
        <f>'C-84'!E23/'C-83'!E23*1000</f>
        <v>1.8927983455107011</v>
      </c>
      <c r="F23" s="260">
        <f>'C-84'!F23/'C-83'!F23*1000</f>
        <v>2.2935766508065454</v>
      </c>
      <c r="G23" s="260" t="s">
        <v>75</v>
      </c>
      <c r="H23" s="260" t="s">
        <v>75</v>
      </c>
      <c r="I23" s="260" t="s">
        <v>75</v>
      </c>
      <c r="J23" s="260" t="s">
        <v>75</v>
      </c>
      <c r="K23" s="260" t="s">
        <v>75</v>
      </c>
      <c r="L23" s="260" t="s">
        <v>75</v>
      </c>
      <c r="M23" s="260" t="s">
        <v>75</v>
      </c>
      <c r="N23" s="260" t="s">
        <v>75</v>
      </c>
    </row>
    <row r="24" spans="1:14" ht="12.75" customHeight="1">
      <c r="A24" s="152" t="s">
        <v>36</v>
      </c>
      <c r="B24" s="625">
        <f>'C-84'!B24/'C-83'!B24*1000</f>
        <v>1.5546819675176171</v>
      </c>
      <c r="C24" s="260" t="s">
        <v>75</v>
      </c>
      <c r="D24" s="260">
        <f>'C-84'!D24/'C-83'!D24*1000</f>
        <v>1.550643269801129</v>
      </c>
      <c r="E24" s="260">
        <f>'C-84'!E24/'C-83'!E24*1000</f>
        <v>1.5465930514408832</v>
      </c>
      <c r="F24" s="260">
        <f>'C-84'!F24/'C-83'!F24*1000</f>
        <v>1.787773933102653</v>
      </c>
      <c r="G24" s="260" t="s">
        <v>75</v>
      </c>
      <c r="H24" s="260" t="s">
        <v>75</v>
      </c>
      <c r="I24" s="260" t="s">
        <v>75</v>
      </c>
      <c r="J24" s="260" t="s">
        <v>75</v>
      </c>
      <c r="K24" s="260" t="s">
        <v>75</v>
      </c>
      <c r="L24" s="260" t="s">
        <v>75</v>
      </c>
      <c r="M24" s="260" t="s">
        <v>75</v>
      </c>
      <c r="N24" s="260" t="s">
        <v>75</v>
      </c>
    </row>
    <row r="25" spans="1:14" ht="12.75" customHeight="1">
      <c r="A25" s="129" t="s">
        <v>37</v>
      </c>
      <c r="B25" s="625">
        <f>'C-84'!B25/'C-83'!B25*1000</f>
        <v>1.5071855320523173</v>
      </c>
      <c r="C25" s="260">
        <f>'C-84'!C25/'C-83'!C25*1000</f>
        <v>1.4961664841182913</v>
      </c>
      <c r="D25" s="260">
        <f>'C-84'!D25/'C-83'!D25*1000</f>
        <v>1.5010364589684184</v>
      </c>
      <c r="E25" s="260">
        <f>'C-84'!E25/'C-83'!E25*1000</f>
        <v>1.5025970813752165</v>
      </c>
      <c r="F25" s="260" t="s">
        <v>75</v>
      </c>
      <c r="G25" s="260" t="s">
        <v>75</v>
      </c>
      <c r="H25" s="260" t="s">
        <v>75</v>
      </c>
      <c r="I25" s="260" t="s">
        <v>75</v>
      </c>
      <c r="J25" s="260" t="s">
        <v>75</v>
      </c>
      <c r="K25" s="260" t="s">
        <v>75</v>
      </c>
      <c r="L25" s="260" t="s">
        <v>75</v>
      </c>
      <c r="M25" s="260" t="s">
        <v>75</v>
      </c>
      <c r="N25" s="260">
        <f>'C-84'!N25/'C-83'!N25*1000</f>
        <v>1.5410958904109591</v>
      </c>
    </row>
    <row r="26" spans="1:14" ht="12.75" customHeight="1">
      <c r="A26" s="152" t="s">
        <v>38</v>
      </c>
      <c r="B26" s="625">
        <f>'C-84'!B26/'C-83'!B26*1000</f>
        <v>1.4685314685314688</v>
      </c>
      <c r="C26" s="260" t="s">
        <v>75</v>
      </c>
      <c r="D26" s="260" t="s">
        <v>75</v>
      </c>
      <c r="E26" s="260" t="s">
        <v>75</v>
      </c>
      <c r="F26" s="260" t="s">
        <v>75</v>
      </c>
      <c r="G26" s="260" t="s">
        <v>75</v>
      </c>
      <c r="H26" s="260" t="s">
        <v>75</v>
      </c>
      <c r="I26" s="260" t="s">
        <v>75</v>
      </c>
      <c r="J26" s="260" t="s">
        <v>75</v>
      </c>
      <c r="K26" s="260">
        <f>'C-84'!K26/'C-83'!K26*1000</f>
        <v>1.3648648648648649</v>
      </c>
      <c r="L26" s="260">
        <f>'C-84'!L26/'C-83'!L26*1000</f>
        <v>1.3800424628450108</v>
      </c>
      <c r="M26" s="260">
        <f>'C-84'!M26/'C-83'!M26*1000</f>
        <v>1.7002881844380402</v>
      </c>
      <c r="N26" s="260">
        <f>'C-84'!N26/'C-83'!N26*1000</f>
        <v>1.4545454545454546</v>
      </c>
    </row>
    <row r="27" spans="1:14" ht="12.75" customHeight="1">
      <c r="A27" s="152" t="s">
        <v>39</v>
      </c>
      <c r="B27" s="625" t="s">
        <v>75</v>
      </c>
      <c r="C27" s="260" t="s">
        <v>75</v>
      </c>
      <c r="D27" s="260" t="s">
        <v>75</v>
      </c>
      <c r="E27" s="260" t="s">
        <v>75</v>
      </c>
      <c r="F27" s="260" t="s">
        <v>75</v>
      </c>
      <c r="G27" s="260" t="s">
        <v>75</v>
      </c>
      <c r="H27" s="260" t="s">
        <v>75</v>
      </c>
      <c r="I27" s="260" t="s">
        <v>75</v>
      </c>
      <c r="J27" s="260" t="s">
        <v>75</v>
      </c>
      <c r="K27" s="260" t="s">
        <v>75</v>
      </c>
      <c r="L27" s="260" t="s">
        <v>75</v>
      </c>
      <c r="M27" s="260" t="s">
        <v>75</v>
      </c>
      <c r="N27" s="260" t="s">
        <v>75</v>
      </c>
    </row>
    <row r="28" spans="1:14" ht="12.75" customHeight="1">
      <c r="A28" s="152" t="s">
        <v>40</v>
      </c>
      <c r="B28" s="625">
        <f>'C-84'!B28/'C-83'!B28*1000</f>
        <v>1.418583314878674</v>
      </c>
      <c r="C28" s="260">
        <f>'C-84'!C28/'C-83'!C28*1000</f>
        <v>1.1322723715105663</v>
      </c>
      <c r="D28" s="260">
        <f>'C-84'!D28/'C-83'!D28*1000</f>
        <v>1.1430844715554964</v>
      </c>
      <c r="E28" s="260">
        <f>'C-84'!E28/'C-83'!E28*1000</f>
        <v>1.4631974398219005</v>
      </c>
      <c r="F28" s="260">
        <f>'C-84'!F28/'C-83'!F28*1000</f>
        <v>1.476562034665555</v>
      </c>
      <c r="G28" s="260">
        <f>'C-84'!G28/'C-83'!G28*1000</f>
        <v>1.4115051391056344</v>
      </c>
      <c r="H28" s="260">
        <f>'C-84'!H28/'C-83'!H28*1000</f>
        <v>1.6738197424892705</v>
      </c>
      <c r="I28" s="260">
        <f>'C-84'!I28/'C-83'!I28*1000</f>
        <v>1.25</v>
      </c>
      <c r="J28" s="260" t="s">
        <v>75</v>
      </c>
      <c r="K28" s="260">
        <f>'C-84'!K28/'C-83'!K28*1000</f>
        <v>1.4857142857142858</v>
      </c>
      <c r="L28" s="260">
        <f>'C-84'!L28/'C-83'!L28*1000</f>
        <v>1.4197720973206038</v>
      </c>
      <c r="M28" s="260">
        <f>'C-84'!M28/'C-83'!M28*1000</f>
        <v>1.4805194805194803</v>
      </c>
      <c r="N28" s="260">
        <f>'C-84'!N28/'C-83'!N28*1000</f>
        <v>1.3116323599808524</v>
      </c>
    </row>
    <row r="29" spans="1:14" ht="12.75" customHeight="1">
      <c r="A29" s="129" t="s">
        <v>41</v>
      </c>
      <c r="B29" s="625">
        <f>'C-84'!B29/'C-83'!B29*1000</f>
        <v>1.8175113567556556</v>
      </c>
      <c r="C29" s="260">
        <f>'C-84'!C29/'C-83'!C29*1000</f>
        <v>1.7634996582365003</v>
      </c>
      <c r="D29" s="260">
        <f>'C-84'!D29/'C-83'!D29*1000</f>
        <v>1.8607755554088647</v>
      </c>
      <c r="E29" s="260">
        <f>'C-84'!E29/'C-83'!E29*1000</f>
        <v>1.8009150145570498</v>
      </c>
      <c r="F29" s="260">
        <f>'C-84'!F29/'C-83'!F29*1000</f>
        <v>1.8553164951668228</v>
      </c>
      <c r="G29" s="260">
        <f>'C-84'!G29/'C-83'!G29*1000</f>
        <v>1.6636528028933091</v>
      </c>
      <c r="H29" s="260" t="s">
        <v>75</v>
      </c>
      <c r="I29" s="260" t="s">
        <v>75</v>
      </c>
      <c r="J29" s="260" t="s">
        <v>75</v>
      </c>
      <c r="K29" s="260" t="s">
        <v>75</v>
      </c>
      <c r="L29" s="260" t="s">
        <v>75</v>
      </c>
      <c r="M29" s="260">
        <f>'C-84'!M29/'C-83'!M29*1000</f>
        <v>1.6386247256766644</v>
      </c>
      <c r="N29" s="260">
        <f>'C-84'!N29/'C-83'!N29*1000</f>
        <v>1.7703480405590573</v>
      </c>
    </row>
    <row r="30" spans="1:14" ht="12.75" customHeight="1">
      <c r="A30" s="127" t="s">
        <v>100</v>
      </c>
      <c r="B30" s="625">
        <f>'C-84'!B30/'C-83'!B30*1000</f>
        <v>1.8531425959877397</v>
      </c>
      <c r="C30" s="260">
        <f>'C-84'!C30/'C-83'!C30*1000</f>
        <v>1.7745163442294865</v>
      </c>
      <c r="D30" s="260">
        <f>'C-84'!D30/'C-83'!D30*1000</f>
        <v>1.9249736745555646</v>
      </c>
      <c r="E30" s="260">
        <f>'C-84'!E30/'C-83'!E30*1000</f>
        <v>1.8616509524725804</v>
      </c>
      <c r="F30" s="260">
        <f>'C-84'!F30/'C-83'!F30*1000</f>
        <v>1.8553164951668228</v>
      </c>
      <c r="G30" s="260">
        <f>'C-84'!G30/'C-83'!G30*1000</f>
        <v>1.6636528028933091</v>
      </c>
      <c r="H30" s="260" t="s">
        <v>75</v>
      </c>
      <c r="I30" s="260" t="s">
        <v>75</v>
      </c>
      <c r="J30" s="260" t="s">
        <v>75</v>
      </c>
      <c r="K30" s="260" t="s">
        <v>75</v>
      </c>
      <c r="L30" s="260" t="s">
        <v>75</v>
      </c>
      <c r="M30" s="260">
        <f>'C-84'!M30/'C-83'!M30*1000</f>
        <v>1.6386247256766644</v>
      </c>
      <c r="N30" s="260">
        <f>'C-84'!N30/'C-83'!N30*1000</f>
        <v>1.7703480405590573</v>
      </c>
    </row>
    <row r="31" spans="1:14" ht="12.75" customHeight="1">
      <c r="A31" s="127" t="s">
        <v>101</v>
      </c>
      <c r="B31" s="625">
        <f>'C-84'!B31/'C-83'!B31*1000</f>
        <v>1.6616882568398743</v>
      </c>
      <c r="C31" s="260">
        <f>'C-84'!C31/'C-83'!C31*1000</f>
        <v>1.7232472324723247</v>
      </c>
      <c r="D31" s="260">
        <f>'C-84'!D31/'C-83'!D31*1000</f>
        <v>1.6462608861787325</v>
      </c>
      <c r="E31" s="260">
        <f>'C-84'!E31/'C-83'!E31*1000</f>
        <v>1.6443452380952381</v>
      </c>
      <c r="F31" s="260" t="s">
        <v>75</v>
      </c>
      <c r="G31" s="260" t="s">
        <v>75</v>
      </c>
      <c r="H31" s="260" t="s">
        <v>75</v>
      </c>
      <c r="I31" s="260" t="s">
        <v>75</v>
      </c>
      <c r="J31" s="260" t="s">
        <v>75</v>
      </c>
      <c r="K31" s="260" t="s">
        <v>75</v>
      </c>
      <c r="L31" s="260" t="s">
        <v>75</v>
      </c>
      <c r="M31" s="260" t="s">
        <v>75</v>
      </c>
      <c r="N31" s="260" t="s">
        <v>75</v>
      </c>
    </row>
    <row r="32" spans="1:14" ht="12.75" customHeight="1">
      <c r="A32" s="152" t="s">
        <v>44</v>
      </c>
      <c r="B32" s="625">
        <f>'C-84'!B32/'C-83'!B32*1000</f>
        <v>1.59606476562832</v>
      </c>
      <c r="C32" s="260">
        <f>'C-84'!C32/'C-83'!C32*1000</f>
        <v>1.8001317523056652</v>
      </c>
      <c r="D32" s="260">
        <f>'C-84'!D32/'C-83'!D32*1000</f>
        <v>1.3136942675159236</v>
      </c>
      <c r="E32" s="260">
        <f>'C-84'!E32/'C-83'!E32*1000</f>
        <v>1.4104355716878403</v>
      </c>
      <c r="F32" s="260" t="s">
        <v>75</v>
      </c>
      <c r="G32" s="260" t="s">
        <v>75</v>
      </c>
      <c r="H32" s="260" t="s">
        <v>75</v>
      </c>
      <c r="I32" s="260" t="s">
        <v>75</v>
      </c>
      <c r="J32" s="260" t="s">
        <v>75</v>
      </c>
      <c r="K32" s="260" t="s">
        <v>75</v>
      </c>
      <c r="L32" s="260" t="s">
        <v>75</v>
      </c>
      <c r="M32" s="260">
        <f>'C-84'!M32/'C-83'!M32*1000</f>
        <v>1.6766188445133774</v>
      </c>
      <c r="N32" s="260">
        <f>'C-84'!N32/'C-83'!N32*1000</f>
        <v>1.5170756134201302</v>
      </c>
    </row>
    <row r="33" spans="1:14" ht="12.75" customHeight="1">
      <c r="A33" s="152" t="s">
        <v>45</v>
      </c>
      <c r="B33" s="625">
        <f>'C-84'!B33/'C-83'!B33*1000</f>
        <v>1.9315158110598789</v>
      </c>
      <c r="C33" s="260" t="s">
        <v>75</v>
      </c>
      <c r="D33" s="260">
        <f>'C-84'!D33/'C-83'!D33*1000</f>
        <v>1.9370251755683532</v>
      </c>
      <c r="E33" s="260">
        <f>'C-84'!E33/'C-83'!E33*1000</f>
        <v>1.9263503032012408</v>
      </c>
      <c r="F33" s="260" t="s">
        <v>75</v>
      </c>
      <c r="G33" s="260" t="s">
        <v>75</v>
      </c>
      <c r="H33" s="260" t="s">
        <v>75</v>
      </c>
      <c r="I33" s="260" t="s">
        <v>75</v>
      </c>
      <c r="J33" s="260" t="s">
        <v>75</v>
      </c>
      <c r="K33" s="260" t="s">
        <v>75</v>
      </c>
      <c r="L33" s="260" t="s">
        <v>75</v>
      </c>
      <c r="M33" s="260">
        <f>'C-84'!M33/'C-83'!M33*1000</f>
        <v>1.9317658086942937</v>
      </c>
      <c r="N33" s="260">
        <f>'C-84'!N33/'C-83'!N33*1000</f>
        <v>1.9176772720787558</v>
      </c>
    </row>
    <row r="34" spans="1:14" ht="12.75" customHeight="1">
      <c r="A34" s="129" t="s">
        <v>46</v>
      </c>
      <c r="B34" s="625">
        <v>0</v>
      </c>
      <c r="C34" s="260" t="s">
        <v>75</v>
      </c>
      <c r="D34" s="260" t="s">
        <v>75</v>
      </c>
      <c r="E34" s="260" t="s">
        <v>75</v>
      </c>
      <c r="F34" s="260" t="s">
        <v>75</v>
      </c>
      <c r="G34" s="260" t="s">
        <v>75</v>
      </c>
      <c r="H34" s="260" t="s">
        <v>75</v>
      </c>
      <c r="I34" s="260" t="s">
        <v>75</v>
      </c>
      <c r="J34" s="260" t="s">
        <v>75</v>
      </c>
      <c r="K34" s="260" t="s">
        <v>75</v>
      </c>
      <c r="L34" s="260" t="s">
        <v>75</v>
      </c>
      <c r="M34" s="260" t="s">
        <v>75</v>
      </c>
      <c r="N34" s="260" t="s">
        <v>75</v>
      </c>
    </row>
    <row r="35" spans="1:14" ht="12.75" customHeight="1">
      <c r="A35" s="129" t="s">
        <v>47</v>
      </c>
      <c r="B35" s="625">
        <v>0</v>
      </c>
      <c r="C35" s="260" t="s">
        <v>75</v>
      </c>
      <c r="D35" s="260" t="s">
        <v>75</v>
      </c>
      <c r="E35" s="260" t="s">
        <v>75</v>
      </c>
      <c r="F35" s="260" t="s">
        <v>75</v>
      </c>
      <c r="G35" s="260" t="s">
        <v>75</v>
      </c>
      <c r="H35" s="260" t="s">
        <v>75</v>
      </c>
      <c r="I35" s="260" t="s">
        <v>75</v>
      </c>
      <c r="J35" s="260" t="s">
        <v>75</v>
      </c>
      <c r="K35" s="260" t="s">
        <v>75</v>
      </c>
      <c r="L35" s="260" t="s">
        <v>75</v>
      </c>
      <c r="M35" s="260" t="s">
        <v>75</v>
      </c>
      <c r="N35" s="260" t="s">
        <v>75</v>
      </c>
    </row>
    <row r="36" spans="1:14" ht="12.75" customHeight="1">
      <c r="A36" s="129" t="s">
        <v>48</v>
      </c>
      <c r="B36" s="625">
        <v>0</v>
      </c>
      <c r="C36" s="260" t="s">
        <v>75</v>
      </c>
      <c r="D36" s="260" t="s">
        <v>75</v>
      </c>
      <c r="E36" s="260" t="s">
        <v>75</v>
      </c>
      <c r="F36" s="260" t="s">
        <v>75</v>
      </c>
      <c r="G36" s="260" t="s">
        <v>75</v>
      </c>
      <c r="H36" s="260" t="s">
        <v>75</v>
      </c>
      <c r="I36" s="260" t="s">
        <v>75</v>
      </c>
      <c r="J36" s="260" t="s">
        <v>75</v>
      </c>
      <c r="K36" s="260" t="s">
        <v>75</v>
      </c>
      <c r="L36" s="260" t="s">
        <v>75</v>
      </c>
      <c r="M36" s="260" t="s">
        <v>75</v>
      </c>
      <c r="N36" s="260" t="s">
        <v>75</v>
      </c>
    </row>
    <row r="37" spans="1:14" ht="12.75" customHeight="1" thickBot="1">
      <c r="A37" s="154" t="s">
        <v>49</v>
      </c>
      <c r="B37" s="626">
        <v>0</v>
      </c>
      <c r="C37" s="261" t="s">
        <v>75</v>
      </c>
      <c r="D37" s="261" t="s">
        <v>75</v>
      </c>
      <c r="E37" s="261" t="s">
        <v>75</v>
      </c>
      <c r="F37" s="261" t="s">
        <v>75</v>
      </c>
      <c r="G37" s="261" t="s">
        <v>75</v>
      </c>
      <c r="H37" s="261" t="s">
        <v>75</v>
      </c>
      <c r="I37" s="261" t="s">
        <v>75</v>
      </c>
      <c r="J37" s="261" t="s">
        <v>75</v>
      </c>
      <c r="K37" s="261" t="s">
        <v>75</v>
      </c>
      <c r="L37" s="261" t="s">
        <v>75</v>
      </c>
      <c r="M37" s="261" t="s">
        <v>75</v>
      </c>
      <c r="N37" s="261" t="s">
        <v>75</v>
      </c>
    </row>
    <row r="38" spans="1:14" ht="9" customHeight="1">
      <c r="A38" s="778" t="s">
        <v>402</v>
      </c>
      <c r="B38" s="812"/>
      <c r="C38" s="812"/>
      <c r="D38" s="812"/>
      <c r="E38" s="812"/>
      <c r="F38" s="256"/>
      <c r="G38" s="146"/>
      <c r="H38" s="146"/>
      <c r="I38" s="146"/>
    </row>
    <row r="39" spans="1:14" ht="9" customHeight="1">
      <c r="A39" s="778" t="s">
        <v>359</v>
      </c>
      <c r="B39" s="812"/>
      <c r="C39" s="812"/>
      <c r="D39" s="812"/>
      <c r="E39" s="812"/>
      <c r="F39" s="256"/>
      <c r="G39" s="146"/>
      <c r="H39" s="146"/>
      <c r="I39" s="146"/>
    </row>
    <row r="40" spans="1:14" ht="9" customHeight="1">
      <c r="A40" s="780" t="s">
        <v>358</v>
      </c>
      <c r="B40" s="812"/>
      <c r="C40" s="812"/>
      <c r="D40" s="812"/>
      <c r="E40" s="812"/>
      <c r="F40" s="256"/>
      <c r="G40" s="146"/>
      <c r="H40" s="146"/>
      <c r="I40" s="146"/>
    </row>
    <row r="41" spans="1:14" ht="13.25" customHeight="1">
      <c r="A41" s="11"/>
    </row>
    <row r="42" spans="1:14" ht="13.25" customHeight="1">
      <c r="A42" s="73"/>
    </row>
    <row r="43" spans="1:14" ht="13.25" customHeight="1">
      <c r="A43" s="73"/>
    </row>
    <row r="44" spans="1:14" ht="13.25" customHeight="1">
      <c r="A44" s="24"/>
    </row>
    <row r="45" spans="1:14" ht="13.25" customHeight="1">
      <c r="A45" s="33"/>
    </row>
    <row r="46" spans="1:14" ht="13.25" customHeight="1">
      <c r="A46" s="24"/>
    </row>
    <row r="47" spans="1:14" ht="13.25" customHeight="1">
      <c r="A47" s="73"/>
    </row>
    <row r="48" spans="1:14" ht="13.25" customHeight="1">
      <c r="A48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87">
    <tabColor theme="9" tint="0.59999389629810485"/>
  </sheetPr>
  <dimension ref="A1"/>
  <sheetViews>
    <sheetView showGridLines="0" zoomScaleNormal="100" workbookViewId="0">
      <selection activeCell="A33" sqref="A33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88">
    <tabColor theme="9" tint="0.59999389629810485"/>
  </sheetPr>
  <dimension ref="A4:U46"/>
  <sheetViews>
    <sheetView showGridLines="0" zoomScaleNormal="100" workbookViewId="0">
      <selection activeCell="J52" sqref="J52"/>
    </sheetView>
  </sheetViews>
  <sheetFormatPr baseColWidth="10" defaultColWidth="7" defaultRowHeight="13.25" customHeight="1"/>
  <cols>
    <col min="1" max="1" width="7.59765625" style="138" customWidth="1"/>
    <col min="2" max="2" width="8.796875" style="138" customWidth="1"/>
    <col min="3" max="17" width="8.19921875" style="138" customWidth="1"/>
    <col min="18" max="16384" width="7" style="138"/>
  </cols>
  <sheetData>
    <row r="4" spans="1:21" ht="13.25" customHeight="1">
      <c r="A4" s="271" t="s">
        <v>561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</row>
    <row r="5" spans="1:21" ht="5" customHeight="1" thickBot="1"/>
    <row r="6" spans="1:21" ht="17" customHeight="1">
      <c r="A6" s="655" t="s">
        <v>104</v>
      </c>
      <c r="B6" s="655" t="s">
        <v>53</v>
      </c>
      <c r="C6" s="655">
        <v>2012</v>
      </c>
      <c r="D6" s="655">
        <v>2013</v>
      </c>
      <c r="E6" s="655">
        <v>2014</v>
      </c>
      <c r="F6" s="655">
        <v>2015</v>
      </c>
      <c r="G6" s="655">
        <v>2016</v>
      </c>
      <c r="H6" s="655">
        <v>2017</v>
      </c>
      <c r="I6" s="655">
        <v>2018</v>
      </c>
      <c r="J6" s="655">
        <v>2019</v>
      </c>
      <c r="K6" s="655">
        <v>2020</v>
      </c>
      <c r="L6" s="655">
        <v>2021</v>
      </c>
      <c r="M6" s="655" t="s">
        <v>486</v>
      </c>
    </row>
    <row r="7" spans="1:21" ht="6" customHeight="1"/>
    <row r="8" spans="1:21" ht="13" customHeight="1">
      <c r="A8" s="138" t="s">
        <v>5</v>
      </c>
      <c r="B8" s="138" t="s">
        <v>105</v>
      </c>
      <c r="C8" s="273">
        <v>766737</v>
      </c>
      <c r="D8" s="273">
        <v>784706</v>
      </c>
      <c r="E8" s="273">
        <v>719830</v>
      </c>
      <c r="F8" s="273">
        <v>657672</v>
      </c>
      <c r="G8" s="273">
        <v>665021</v>
      </c>
      <c r="H8" s="273">
        <v>667314</v>
      </c>
      <c r="I8" s="273">
        <v>705349</v>
      </c>
      <c r="J8" s="273">
        <v>699004</v>
      </c>
      <c r="K8" s="273">
        <v>568862</v>
      </c>
      <c r="L8" s="273">
        <v>547647</v>
      </c>
      <c r="M8" s="273">
        <v>510664</v>
      </c>
    </row>
    <row r="9" spans="1:21" ht="13" customHeight="1">
      <c r="B9" s="138" t="s">
        <v>245</v>
      </c>
      <c r="C9" s="273">
        <v>10215</v>
      </c>
      <c r="D9" s="273">
        <v>10499</v>
      </c>
      <c r="E9" s="273">
        <v>9607</v>
      </c>
      <c r="F9" s="273">
        <v>8987</v>
      </c>
      <c r="G9" s="273">
        <v>9175</v>
      </c>
      <c r="H9" s="273">
        <v>9416</v>
      </c>
      <c r="I9" s="273">
        <v>10009</v>
      </c>
      <c r="J9" s="273">
        <v>10051</v>
      </c>
      <c r="K9" s="273">
        <v>8194</v>
      </c>
      <c r="L9" s="273">
        <v>7824</v>
      </c>
      <c r="M9" s="273">
        <v>7523.7156850231368</v>
      </c>
    </row>
    <row r="10" spans="1:21" ht="13" customHeight="1">
      <c r="B10" s="138" t="s">
        <v>429</v>
      </c>
      <c r="C10" s="275">
        <f t="shared" ref="C10:I10" si="0">(C9/C8)*1000</f>
        <v>13.322690831406335</v>
      </c>
      <c r="D10" s="275">
        <f t="shared" si="0"/>
        <v>13.379533226456788</v>
      </c>
      <c r="E10" s="275">
        <f t="shared" si="0"/>
        <v>13.346206743258826</v>
      </c>
      <c r="F10" s="275">
        <f t="shared" si="0"/>
        <v>13.664866377160651</v>
      </c>
      <c r="G10" s="275">
        <f t="shared" si="0"/>
        <v>13.796556800461939</v>
      </c>
      <c r="H10" s="275">
        <f t="shared" si="0"/>
        <v>14.110298899768324</v>
      </c>
      <c r="I10" s="275">
        <f t="shared" si="0"/>
        <v>14.190138498814063</v>
      </c>
      <c r="J10" s="275">
        <f t="shared" ref="J10:M10" si="1">(J9/J8)*1000</f>
        <v>14.379030735160313</v>
      </c>
      <c r="K10" s="275">
        <f t="shared" si="1"/>
        <v>14.404196448347754</v>
      </c>
      <c r="L10" s="275">
        <f t="shared" si="1"/>
        <v>14.286575111339969</v>
      </c>
      <c r="M10" s="275">
        <f t="shared" si="1"/>
        <v>14.733201645354161</v>
      </c>
    </row>
    <row r="11" spans="1:21" ht="8" customHeight="1"/>
    <row r="12" spans="1:21" ht="13" customHeight="1">
      <c r="A12" s="138" t="s">
        <v>6</v>
      </c>
      <c r="B12" s="138" t="s">
        <v>105</v>
      </c>
      <c r="C12" s="273">
        <v>1599829</v>
      </c>
      <c r="D12" s="273">
        <v>1831541</v>
      </c>
      <c r="E12" s="273">
        <v>1889773</v>
      </c>
      <c r="F12" s="273">
        <v>1829016</v>
      </c>
      <c r="G12" s="273">
        <v>1928215</v>
      </c>
      <c r="H12" s="273">
        <v>2007199</v>
      </c>
      <c r="I12" s="273">
        <v>2015636</v>
      </c>
      <c r="J12" s="273">
        <v>2101612</v>
      </c>
      <c r="K12" s="273">
        <v>2049213</v>
      </c>
      <c r="L12" s="273">
        <v>2280343</v>
      </c>
      <c r="M12" s="273">
        <v>2343759</v>
      </c>
    </row>
    <row r="13" spans="1:21" ht="13" customHeight="1">
      <c r="B13" s="138" t="s">
        <v>245</v>
      </c>
      <c r="C13" s="273">
        <v>95826</v>
      </c>
      <c r="D13" s="273">
        <v>110014</v>
      </c>
      <c r="E13" s="273">
        <v>116142</v>
      </c>
      <c r="F13" s="273">
        <v>116257</v>
      </c>
      <c r="G13" s="273">
        <v>124394</v>
      </c>
      <c r="H13" s="273">
        <v>131519</v>
      </c>
      <c r="I13" s="273">
        <v>134306</v>
      </c>
      <c r="J13" s="273">
        <v>141557</v>
      </c>
      <c r="K13" s="273">
        <v>142360</v>
      </c>
      <c r="L13" s="273">
        <v>159229</v>
      </c>
      <c r="M13" s="273">
        <v>164819.63719532482</v>
      </c>
    </row>
    <row r="14" spans="1:21" ht="13" customHeight="1">
      <c r="B14" s="138" t="s">
        <v>429</v>
      </c>
      <c r="C14" s="275">
        <f t="shared" ref="C14:I14" si="2">(C13/C12)*1000</f>
        <v>59.897651561510642</v>
      </c>
      <c r="D14" s="275">
        <f t="shared" si="2"/>
        <v>60.066359420837429</v>
      </c>
      <c r="E14" s="275">
        <f t="shared" si="2"/>
        <v>61.458175135320488</v>
      </c>
      <c r="F14" s="275">
        <f t="shared" si="2"/>
        <v>63.562593219523499</v>
      </c>
      <c r="G14" s="275">
        <f t="shared" si="2"/>
        <v>64.512515461190787</v>
      </c>
      <c r="H14" s="275">
        <f t="shared" si="2"/>
        <v>65.523647630354532</v>
      </c>
      <c r="I14" s="275">
        <f t="shared" si="2"/>
        <v>66.632070473041765</v>
      </c>
      <c r="J14" s="275">
        <f t="shared" ref="J14:M14" si="3">(J13/J12)*1000</f>
        <v>67.356391189239503</v>
      </c>
      <c r="K14" s="275">
        <f t="shared" si="3"/>
        <v>69.470572361194272</v>
      </c>
      <c r="L14" s="275">
        <f t="shared" si="3"/>
        <v>69.826776059566484</v>
      </c>
      <c r="M14" s="275">
        <f t="shared" si="3"/>
        <v>70.322775163881957</v>
      </c>
    </row>
    <row r="15" spans="1:21" ht="8" customHeight="1"/>
    <row r="16" spans="1:21" ht="13" customHeight="1">
      <c r="A16" s="138" t="s">
        <v>7</v>
      </c>
      <c r="B16" s="138" t="s">
        <v>105</v>
      </c>
      <c r="C16" s="273">
        <v>1047040</v>
      </c>
      <c r="D16" s="273">
        <v>1084096</v>
      </c>
      <c r="E16" s="273">
        <v>1097918</v>
      </c>
      <c r="F16" s="273">
        <v>1105750</v>
      </c>
      <c r="G16" s="273">
        <v>1072158</v>
      </c>
      <c r="H16" s="273">
        <v>1050952</v>
      </c>
      <c r="I16" s="273">
        <v>1046948</v>
      </c>
      <c r="J16" s="273">
        <v>1027182</v>
      </c>
      <c r="K16" s="273">
        <v>886339</v>
      </c>
      <c r="L16" s="273">
        <v>940647</v>
      </c>
      <c r="M16" s="273">
        <v>967343</v>
      </c>
    </row>
    <row r="17" spans="1:21" ht="13" customHeight="1">
      <c r="B17" s="138" t="s">
        <v>245</v>
      </c>
      <c r="C17" s="273">
        <v>186292</v>
      </c>
      <c r="D17" s="273">
        <v>191533</v>
      </c>
      <c r="E17" s="273">
        <v>196466</v>
      </c>
      <c r="F17" s="273">
        <v>197818</v>
      </c>
      <c r="G17" s="273">
        <v>196621</v>
      </c>
      <c r="H17" s="273">
        <v>196101</v>
      </c>
      <c r="I17" s="273">
        <v>195504</v>
      </c>
      <c r="J17" s="273">
        <v>192652</v>
      </c>
      <c r="K17" s="273">
        <v>170112</v>
      </c>
      <c r="L17" s="273">
        <v>184124</v>
      </c>
      <c r="M17" s="273">
        <v>187691.02150343833</v>
      </c>
    </row>
    <row r="18" spans="1:21" ht="13" customHeight="1" thickBot="1">
      <c r="A18" s="145"/>
      <c r="B18" s="145" t="s">
        <v>429</v>
      </c>
      <c r="C18" s="274">
        <f t="shared" ref="C18:I18" si="4">(C17/C16)*1000</f>
        <v>177.92252444987776</v>
      </c>
      <c r="D18" s="274">
        <f t="shared" si="4"/>
        <v>176.67531288741955</v>
      </c>
      <c r="E18" s="274">
        <f t="shared" si="4"/>
        <v>178.94414701280058</v>
      </c>
      <c r="F18" s="274">
        <f t="shared" si="4"/>
        <v>178.89938955460093</v>
      </c>
      <c r="G18" s="274">
        <f t="shared" si="4"/>
        <v>183.38808272661305</v>
      </c>
      <c r="H18" s="274">
        <f t="shared" si="4"/>
        <v>186.59367887401137</v>
      </c>
      <c r="I18" s="274">
        <f t="shared" si="4"/>
        <v>186.73706812563756</v>
      </c>
      <c r="J18" s="274">
        <f t="shared" ref="J18:M18" si="5">(J17/J16)*1000</f>
        <v>187.55390962847869</v>
      </c>
      <c r="K18" s="274">
        <f t="shared" si="5"/>
        <v>191.92656534350851</v>
      </c>
      <c r="L18" s="274">
        <f t="shared" si="5"/>
        <v>195.74186703407338</v>
      </c>
      <c r="M18" s="274">
        <f t="shared" si="5"/>
        <v>194.02737343779643</v>
      </c>
    </row>
    <row r="19" spans="1:21" ht="9" customHeight="1">
      <c r="A19" s="778" t="s">
        <v>360</v>
      </c>
      <c r="B19" s="815"/>
      <c r="C19" s="815"/>
      <c r="D19" s="815"/>
      <c r="E19" s="815"/>
      <c r="F19" s="815"/>
      <c r="G19" s="815"/>
      <c r="H19" s="815"/>
      <c r="I19" s="815"/>
    </row>
    <row r="20" spans="1:21" ht="9" customHeight="1">
      <c r="A20" s="816" t="s">
        <v>364</v>
      </c>
      <c r="B20" s="815"/>
      <c r="C20" s="815"/>
      <c r="D20" s="815"/>
      <c r="E20" s="815"/>
      <c r="F20" s="815"/>
      <c r="G20" s="815"/>
      <c r="H20" s="815"/>
      <c r="I20" s="815"/>
    </row>
    <row r="21" spans="1:21" ht="9" customHeight="1">
      <c r="A21" s="780" t="s">
        <v>358</v>
      </c>
      <c r="B21" s="815"/>
      <c r="C21" s="815"/>
      <c r="D21" s="815"/>
      <c r="E21" s="815"/>
      <c r="F21" s="815"/>
      <c r="G21" s="815"/>
      <c r="H21" s="815"/>
      <c r="I21" s="815"/>
    </row>
    <row r="22" spans="1:21" ht="10.25" customHeight="1">
      <c r="A22" s="780"/>
      <c r="B22" s="815"/>
      <c r="C22" s="815"/>
      <c r="D22" s="815"/>
      <c r="E22" s="815"/>
      <c r="F22" s="815"/>
      <c r="G22" s="815"/>
      <c r="H22" s="815"/>
      <c r="I22" s="815"/>
    </row>
    <row r="23" spans="1:21" ht="10.25" customHeight="1">
      <c r="A23" s="780"/>
      <c r="B23" s="815"/>
      <c r="C23" s="815"/>
      <c r="D23" s="815"/>
      <c r="E23" s="815"/>
      <c r="F23" s="815"/>
      <c r="G23" s="815"/>
      <c r="H23" s="815"/>
      <c r="I23" s="815"/>
    </row>
    <row r="24" spans="1:21" ht="10.25" customHeight="1">
      <c r="A24" s="780"/>
      <c r="B24" s="815"/>
      <c r="C24" s="815"/>
      <c r="D24" s="815"/>
      <c r="E24" s="815"/>
      <c r="F24" s="815"/>
      <c r="G24" s="815"/>
      <c r="H24" s="815"/>
      <c r="I24" s="815"/>
    </row>
    <row r="25" spans="1:21" ht="10.25" customHeight="1">
      <c r="A25" s="29"/>
    </row>
    <row r="26" spans="1:21" ht="10.25" customHeight="1">
      <c r="A26" s="29"/>
    </row>
    <row r="28" spans="1:21" ht="13.25" customHeight="1">
      <c r="A28" s="271" t="s">
        <v>382</v>
      </c>
    </row>
    <row r="29" spans="1:21" ht="13.25" customHeight="1">
      <c r="A29" s="272" t="s">
        <v>562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</row>
    <row r="30" spans="1:21" ht="4.25" customHeight="1" thickBot="1">
      <c r="A30" s="138" t="s">
        <v>182</v>
      </c>
    </row>
    <row r="31" spans="1:21" ht="17" customHeight="1">
      <c r="A31" s="655" t="s">
        <v>104</v>
      </c>
      <c r="B31" s="655" t="s">
        <v>53</v>
      </c>
      <c r="C31" s="655">
        <v>2012</v>
      </c>
      <c r="D31" s="655">
        <v>2013</v>
      </c>
      <c r="E31" s="655">
        <v>2014</v>
      </c>
      <c r="F31" s="655">
        <v>2015</v>
      </c>
      <c r="G31" s="655">
        <v>2016</v>
      </c>
      <c r="H31" s="655">
        <v>2017</v>
      </c>
      <c r="I31" s="655">
        <v>2018</v>
      </c>
      <c r="J31" s="655">
        <v>2019</v>
      </c>
      <c r="K31" s="655">
        <v>2020</v>
      </c>
      <c r="L31" s="655">
        <v>2021</v>
      </c>
      <c r="M31" s="655" t="s">
        <v>486</v>
      </c>
    </row>
    <row r="32" spans="1:21" ht="5" customHeight="1"/>
    <row r="33" spans="1:13" ht="13" customHeight="1">
      <c r="A33" s="138" t="s">
        <v>5</v>
      </c>
      <c r="B33" s="138" t="s">
        <v>105</v>
      </c>
      <c r="C33" s="273">
        <v>93443</v>
      </c>
      <c r="D33" s="273">
        <v>104683</v>
      </c>
      <c r="E33" s="273">
        <v>99971</v>
      </c>
      <c r="F33" s="273">
        <v>91859</v>
      </c>
      <c r="G33" s="273">
        <v>90115</v>
      </c>
      <c r="H33" s="273">
        <v>81139</v>
      </c>
      <c r="I33" s="273">
        <v>77288</v>
      </c>
      <c r="J33" s="273">
        <v>71971</v>
      </c>
      <c r="K33" s="273">
        <v>52613</v>
      </c>
      <c r="L33" s="273">
        <v>59634</v>
      </c>
      <c r="M33" s="273">
        <v>65223</v>
      </c>
    </row>
    <row r="34" spans="1:13" ht="13" customHeight="1">
      <c r="B34" s="138" t="s">
        <v>245</v>
      </c>
      <c r="C34" s="273">
        <v>1186</v>
      </c>
      <c r="D34" s="273">
        <v>1326</v>
      </c>
      <c r="E34" s="273">
        <v>1312</v>
      </c>
      <c r="F34" s="273">
        <v>1205</v>
      </c>
      <c r="G34" s="273">
        <v>1170</v>
      </c>
      <c r="H34" s="273">
        <v>1059</v>
      </c>
      <c r="I34" s="273">
        <v>1036</v>
      </c>
      <c r="J34" s="273">
        <v>989</v>
      </c>
      <c r="K34" s="273">
        <v>718</v>
      </c>
      <c r="L34" s="273">
        <v>793</v>
      </c>
      <c r="M34" s="273">
        <v>870</v>
      </c>
    </row>
    <row r="35" spans="1:13" ht="13" customHeight="1">
      <c r="B35" s="138" t="s">
        <v>429</v>
      </c>
      <c r="C35" s="275">
        <f t="shared" ref="C35:I35" si="6">(C34/C33)*1000</f>
        <v>12.69222948749505</v>
      </c>
      <c r="D35" s="275">
        <f t="shared" si="6"/>
        <v>12.666813140624553</v>
      </c>
      <c r="E35" s="275">
        <f t="shared" si="6"/>
        <v>13.123805903712077</v>
      </c>
      <c r="F35" s="275">
        <f t="shared" si="6"/>
        <v>13.117930741680183</v>
      </c>
      <c r="G35" s="275">
        <f t="shared" si="6"/>
        <v>12.983410087110913</v>
      </c>
      <c r="H35" s="275">
        <f t="shared" si="6"/>
        <v>13.051676752239985</v>
      </c>
      <c r="I35" s="275">
        <f t="shared" si="6"/>
        <v>13.404409481420142</v>
      </c>
      <c r="J35" s="275">
        <f t="shared" ref="J35:M35" si="7">(J34/J33)*1000</f>
        <v>13.741645940726126</v>
      </c>
      <c r="K35" s="275">
        <f t="shared" si="7"/>
        <v>13.64681732651626</v>
      </c>
      <c r="L35" s="275">
        <f t="shared" si="7"/>
        <v>13.297783143844116</v>
      </c>
      <c r="M35" s="275">
        <f t="shared" si="7"/>
        <v>13.338852858654157</v>
      </c>
    </row>
    <row r="36" spans="1:13" ht="8" customHeight="1"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</row>
    <row r="37" spans="1:13" ht="13" customHeight="1">
      <c r="A37" s="138" t="s">
        <v>6</v>
      </c>
      <c r="B37" s="138" t="s">
        <v>105</v>
      </c>
      <c r="C37" s="273">
        <v>767182</v>
      </c>
      <c r="D37" s="273">
        <v>875255</v>
      </c>
      <c r="E37" s="273">
        <v>892131</v>
      </c>
      <c r="F37" s="273">
        <v>868815</v>
      </c>
      <c r="G37" s="273">
        <v>908816</v>
      </c>
      <c r="H37" s="273">
        <v>950421</v>
      </c>
      <c r="I37" s="273">
        <v>987246</v>
      </c>
      <c r="J37" s="273">
        <v>1054758</v>
      </c>
      <c r="K37" s="273">
        <v>1096912</v>
      </c>
      <c r="L37" s="273">
        <v>1193408</v>
      </c>
      <c r="M37" s="273">
        <v>1291649</v>
      </c>
    </row>
    <row r="38" spans="1:13" ht="13" customHeight="1">
      <c r="B38" s="138" t="s">
        <v>245</v>
      </c>
      <c r="C38" s="273">
        <v>50075</v>
      </c>
      <c r="D38" s="273">
        <v>57304</v>
      </c>
      <c r="E38" s="273">
        <v>59737</v>
      </c>
      <c r="F38" s="273">
        <v>60204</v>
      </c>
      <c r="G38" s="273">
        <v>63662</v>
      </c>
      <c r="H38" s="273">
        <v>67417</v>
      </c>
      <c r="I38" s="273">
        <v>71176</v>
      </c>
      <c r="J38" s="273">
        <v>77874</v>
      </c>
      <c r="K38" s="273">
        <v>85956</v>
      </c>
      <c r="L38" s="273">
        <v>90483</v>
      </c>
      <c r="M38" s="273">
        <v>100945</v>
      </c>
    </row>
    <row r="39" spans="1:13" ht="13" customHeight="1">
      <c r="B39" s="138" t="s">
        <v>429</v>
      </c>
      <c r="C39" s="275">
        <f t="shared" ref="C39:I39" si="8">(C38/C37)*1000</f>
        <v>65.271343696802063</v>
      </c>
      <c r="D39" s="275">
        <f t="shared" si="8"/>
        <v>65.471205534387124</v>
      </c>
      <c r="E39" s="275">
        <f t="shared" si="8"/>
        <v>66.959897145150208</v>
      </c>
      <c r="F39" s="275">
        <f t="shared" si="8"/>
        <v>69.294383729562682</v>
      </c>
      <c r="G39" s="275">
        <f t="shared" si="8"/>
        <v>70.049382933399059</v>
      </c>
      <c r="H39" s="275">
        <f t="shared" si="8"/>
        <v>70.933828271892139</v>
      </c>
      <c r="I39" s="275">
        <f t="shared" si="8"/>
        <v>72.095506084603016</v>
      </c>
      <c r="J39" s="275">
        <f t="shared" ref="J39:M39" si="9">(J38/J37)*1000</f>
        <v>73.831153686438029</v>
      </c>
      <c r="K39" s="275">
        <f t="shared" si="9"/>
        <v>78.361801128987551</v>
      </c>
      <c r="L39" s="275">
        <f t="shared" si="9"/>
        <v>75.818999034697271</v>
      </c>
      <c r="M39" s="275">
        <f t="shared" si="9"/>
        <v>78.152036660114319</v>
      </c>
    </row>
    <row r="40" spans="1:13" ht="8" customHeight="1"/>
    <row r="41" spans="1:13" ht="13" customHeight="1">
      <c r="A41" s="138" t="s">
        <v>7</v>
      </c>
      <c r="B41" s="138" t="s">
        <v>105</v>
      </c>
      <c r="C41" s="273">
        <v>291757</v>
      </c>
      <c r="D41" s="273">
        <v>313386</v>
      </c>
      <c r="E41" s="273">
        <v>345335</v>
      </c>
      <c r="F41" s="273">
        <v>334236</v>
      </c>
      <c r="G41" s="273">
        <v>325835</v>
      </c>
      <c r="H41" s="273">
        <v>331736</v>
      </c>
      <c r="I41" s="273">
        <v>329967</v>
      </c>
      <c r="J41" s="273">
        <v>332385</v>
      </c>
      <c r="K41" s="273">
        <v>296103</v>
      </c>
      <c r="L41" s="273">
        <v>314639</v>
      </c>
      <c r="M41" s="273">
        <v>314083</v>
      </c>
    </row>
    <row r="42" spans="1:13" ht="13" customHeight="1">
      <c r="B42" s="138" t="s">
        <v>245</v>
      </c>
      <c r="C42" s="273">
        <v>67859</v>
      </c>
      <c r="D42" s="273">
        <v>73352</v>
      </c>
      <c r="E42" s="273">
        <v>80801</v>
      </c>
      <c r="F42" s="273">
        <v>78478</v>
      </c>
      <c r="G42" s="273">
        <v>79618</v>
      </c>
      <c r="H42" s="273">
        <v>80918</v>
      </c>
      <c r="I42" s="273">
        <v>82117</v>
      </c>
      <c r="J42" s="273">
        <v>81317</v>
      </c>
      <c r="K42" s="273">
        <v>74077</v>
      </c>
      <c r="L42" s="273">
        <v>79974</v>
      </c>
      <c r="M42" s="273">
        <v>78105</v>
      </c>
    </row>
    <row r="43" spans="1:13" ht="13" customHeight="1" thickBot="1">
      <c r="A43" s="145"/>
      <c r="B43" s="145" t="s">
        <v>429</v>
      </c>
      <c r="C43" s="274">
        <f t="shared" ref="C43:I43" si="10">(C42/C41)*1000</f>
        <v>232.58739293316015</v>
      </c>
      <c r="D43" s="274">
        <f t="shared" si="10"/>
        <v>234.06278519142526</v>
      </c>
      <c r="E43" s="274">
        <f t="shared" si="10"/>
        <v>233.97860048937989</v>
      </c>
      <c r="F43" s="274">
        <f t="shared" si="10"/>
        <v>234.79816656494214</v>
      </c>
      <c r="G43" s="274">
        <f t="shared" si="10"/>
        <v>244.35066828302669</v>
      </c>
      <c r="H43" s="274">
        <f t="shared" si="10"/>
        <v>243.92287843345312</v>
      </c>
      <c r="I43" s="274">
        <f t="shared" si="10"/>
        <v>248.86428036743069</v>
      </c>
      <c r="J43" s="274">
        <f t="shared" ref="J43:M43" si="11">(J42/J41)*1000</f>
        <v>244.64702077410234</v>
      </c>
      <c r="K43" s="274">
        <f t="shared" si="11"/>
        <v>250.17308166415063</v>
      </c>
      <c r="L43" s="274">
        <f t="shared" si="11"/>
        <v>254.17700920737735</v>
      </c>
      <c r="M43" s="274">
        <f t="shared" si="11"/>
        <v>248.67630530783262</v>
      </c>
    </row>
    <row r="44" spans="1:13" ht="9" customHeight="1">
      <c r="A44" s="778" t="s">
        <v>402</v>
      </c>
      <c r="B44" s="812"/>
      <c r="C44" s="815"/>
      <c r="D44" s="815"/>
      <c r="E44" s="815"/>
      <c r="F44" s="270"/>
      <c r="G44" s="270"/>
      <c r="H44" s="270"/>
      <c r="I44" s="270"/>
      <c r="J44" s="270"/>
      <c r="K44" s="270"/>
      <c r="L44" s="270"/>
      <c r="M44" s="270"/>
    </row>
    <row r="45" spans="1:13" ht="9" customHeight="1">
      <c r="A45" s="778" t="s">
        <v>359</v>
      </c>
      <c r="B45" s="812"/>
      <c r="C45" s="815"/>
      <c r="D45" s="815"/>
      <c r="E45" s="815"/>
      <c r="F45" s="270"/>
      <c r="G45" s="270"/>
      <c r="H45" s="270"/>
      <c r="I45" s="270"/>
      <c r="J45" s="270"/>
      <c r="K45" s="270"/>
      <c r="L45" s="270"/>
      <c r="M45" s="270"/>
    </row>
    <row r="46" spans="1:13" ht="9" customHeight="1">
      <c r="A46" s="780" t="s">
        <v>358</v>
      </c>
      <c r="B46" s="812"/>
      <c r="C46" s="815"/>
      <c r="D46" s="815"/>
      <c r="E46" s="815"/>
      <c r="F46" s="270"/>
      <c r="G46" s="270"/>
      <c r="H46" s="270"/>
      <c r="I46" s="270"/>
      <c r="J46" s="270"/>
      <c r="K46" s="270"/>
      <c r="L46" s="270"/>
      <c r="M46" s="270"/>
    </row>
  </sheetData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7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syncVertical="1" syncRef="A1" transitionEvaluation="1" codeName="Hoja89">
    <tabColor theme="9" tint="0.59999389629810485"/>
  </sheetPr>
  <dimension ref="A1:L49"/>
  <sheetViews>
    <sheetView showGridLines="0" zoomScaleNormal="100" workbookViewId="0">
      <selection activeCell="C30" sqref="C30"/>
    </sheetView>
  </sheetViews>
  <sheetFormatPr baseColWidth="10" defaultColWidth="7" defaultRowHeight="13.25" customHeight="1"/>
  <cols>
    <col min="1" max="1" width="15" style="138" customWidth="1"/>
    <col min="2" max="7" width="10" style="138" customWidth="1"/>
    <col min="8" max="8" width="8" style="138" customWidth="1"/>
    <col min="9" max="16384" width="7" style="138"/>
  </cols>
  <sheetData>
    <row r="1" spans="1:12" ht="13.25" customHeight="1">
      <c r="B1" s="139"/>
    </row>
    <row r="3" spans="1:12" ht="13.25" customHeight="1">
      <c r="A3" s="280" t="s">
        <v>247</v>
      </c>
      <c r="B3" s="140"/>
      <c r="C3" s="140"/>
      <c r="D3" s="140"/>
      <c r="E3" s="140"/>
      <c r="F3" s="140"/>
      <c r="G3" s="140"/>
      <c r="H3" s="141"/>
      <c r="I3" s="141"/>
    </row>
    <row r="4" spans="1:12" ht="13.25" customHeight="1">
      <c r="A4" s="272" t="s">
        <v>625</v>
      </c>
      <c r="B4" s="140"/>
      <c r="C4" s="140"/>
      <c r="D4" s="140"/>
      <c r="E4" s="140"/>
      <c r="F4" s="140"/>
      <c r="G4" s="140"/>
      <c r="H4" s="141"/>
      <c r="I4" s="141"/>
    </row>
    <row r="5" spans="1:12" ht="4.25" customHeight="1" thickBot="1">
      <c r="A5" s="142"/>
      <c r="B5" s="142"/>
      <c r="C5" s="142"/>
      <c r="D5" s="142"/>
      <c r="E5" s="139"/>
      <c r="F5" s="139"/>
      <c r="G5" s="139"/>
      <c r="H5" s="139"/>
      <c r="I5" s="139"/>
    </row>
    <row r="6" spans="1:12" ht="13.25" customHeight="1">
      <c r="A6" s="970" t="s">
        <v>18</v>
      </c>
      <c r="B6" s="967">
        <v>2021</v>
      </c>
      <c r="C6" s="968"/>
      <c r="D6" s="969"/>
      <c r="E6" s="968" t="s">
        <v>486</v>
      </c>
      <c r="F6" s="968"/>
      <c r="G6" s="968"/>
      <c r="H6" s="139"/>
      <c r="I6" s="139"/>
    </row>
    <row r="7" spans="1:12" ht="13.25" customHeight="1">
      <c r="A7" s="971"/>
      <c r="B7" s="656" t="s">
        <v>105</v>
      </c>
      <c r="C7" s="657" t="s">
        <v>245</v>
      </c>
      <c r="D7" s="658" t="s">
        <v>429</v>
      </c>
      <c r="E7" s="657" t="s">
        <v>105</v>
      </c>
      <c r="F7" s="657" t="s">
        <v>245</v>
      </c>
      <c r="G7" s="657" t="s">
        <v>429</v>
      </c>
      <c r="H7" s="139"/>
      <c r="I7" s="139"/>
    </row>
    <row r="8" spans="1:12" ht="15" customHeight="1">
      <c r="A8" s="663" t="s">
        <v>96</v>
      </c>
      <c r="B8" s="664">
        <f>(B10+B11+B12+B13+B14+B18+B19+B20+B21+B22+B23+B24+B25+B26+B27+B28+B29+B30+B33+B34+B35+B36+B37+B38)</f>
        <v>547647</v>
      </c>
      <c r="C8" s="664">
        <f>(C10+C11+C12+C13+C14+C18+C19+C20+C21+C22+C23+C24+C25+C26+C27+C28+C29+C30+C33+C34+C35+C36+C37+C38)</f>
        <v>7824.3529999999992</v>
      </c>
      <c r="D8" s="665">
        <f>(C8/B8)*1000</f>
        <v>14.287219687134229</v>
      </c>
      <c r="E8" s="664">
        <f>(E10+E11+E12+E13+E14+E18+E19+E20+E21+E22+E23+E24+E25+E26+E27+E28+E29+E30+E33+E34+E35+E36+E37+E38)</f>
        <v>510664</v>
      </c>
      <c r="F8" s="664">
        <f>(F10+F11+F12+F13+F14+F18+F19+F20+F21+F22+F23+F24+F25+F26+F27+F28+F29+F30+F33+F34+F35+F36+F37+F38)</f>
        <v>7523.7170000000006</v>
      </c>
      <c r="G8" s="665">
        <f t="shared" ref="G8:G30" si="0">(F8/E8)*1000</f>
        <v>14.733204220387574</v>
      </c>
      <c r="H8" s="150"/>
      <c r="I8" s="148"/>
      <c r="J8" s="148"/>
    </row>
    <row r="9" spans="1:12" ht="3" customHeight="1">
      <c r="B9" s="484"/>
      <c r="C9" s="484"/>
      <c r="D9" s="277"/>
      <c r="E9" s="484"/>
      <c r="F9" s="484"/>
      <c r="G9" s="277"/>
      <c r="H9" s="148"/>
    </row>
    <row r="10" spans="1:12" ht="13.25" customHeight="1">
      <c r="A10" s="144" t="s">
        <v>21</v>
      </c>
      <c r="B10" s="484">
        <v>642</v>
      </c>
      <c r="C10" s="484">
        <v>9.7569999999999997</v>
      </c>
      <c r="D10" s="277">
        <f t="shared" ref="D10:D30" si="1">(C10/B10)*1000</f>
        <v>15.197819314641745</v>
      </c>
      <c r="E10" s="484">
        <v>499</v>
      </c>
      <c r="F10" s="484">
        <v>7.4850000000000003</v>
      </c>
      <c r="G10" s="277">
        <f t="shared" si="0"/>
        <v>15.000000000000002</v>
      </c>
      <c r="H10" s="148"/>
      <c r="I10" s="148"/>
      <c r="J10" s="148"/>
      <c r="L10" s="148"/>
    </row>
    <row r="11" spans="1:12" ht="13.25" customHeight="1">
      <c r="A11" s="144" t="s">
        <v>22</v>
      </c>
      <c r="B11" s="484">
        <v>20196</v>
      </c>
      <c r="C11" s="484">
        <v>553.30100000000004</v>
      </c>
      <c r="D11" s="277">
        <f t="shared" si="1"/>
        <v>27.396563675975443</v>
      </c>
      <c r="E11" s="484">
        <v>20218</v>
      </c>
      <c r="F11" s="484">
        <v>502.68</v>
      </c>
      <c r="G11" s="277">
        <f t="shared" si="0"/>
        <v>24.862993372242556</v>
      </c>
      <c r="H11" s="148"/>
      <c r="I11" s="148"/>
      <c r="J11" s="148"/>
      <c r="L11" s="148"/>
    </row>
    <row r="12" spans="1:12" ht="13.25" customHeight="1">
      <c r="A12" s="144" t="s">
        <v>23</v>
      </c>
      <c r="B12" s="484">
        <v>12496</v>
      </c>
      <c r="C12" s="484">
        <v>184.148</v>
      </c>
      <c r="D12" s="277">
        <f t="shared" si="1"/>
        <v>14.736555697823302</v>
      </c>
      <c r="E12" s="484">
        <v>11023</v>
      </c>
      <c r="F12" s="484">
        <v>165.875</v>
      </c>
      <c r="G12" s="277">
        <f t="shared" si="0"/>
        <v>15.048081284586774</v>
      </c>
      <c r="H12" s="148"/>
      <c r="I12" s="148"/>
      <c r="J12" s="148"/>
      <c r="L12" s="148"/>
    </row>
    <row r="13" spans="1:12" ht="13.25" customHeight="1">
      <c r="A13" s="138" t="s">
        <v>24</v>
      </c>
      <c r="B13" s="484">
        <v>144397</v>
      </c>
      <c r="C13" s="484">
        <v>1823.1</v>
      </c>
      <c r="D13" s="277">
        <f>(C13/B13)*1000</f>
        <v>12.625608565274902</v>
      </c>
      <c r="E13" s="484">
        <v>157608</v>
      </c>
      <c r="F13" s="484">
        <v>1974.9570000000001</v>
      </c>
      <c r="G13" s="277">
        <f t="shared" si="0"/>
        <v>12.530816963605909</v>
      </c>
      <c r="H13" s="148"/>
      <c r="I13" s="148"/>
      <c r="J13" s="148"/>
      <c r="L13" s="148"/>
    </row>
    <row r="14" spans="1:12" ht="13.25" customHeight="1">
      <c r="A14" s="138" t="s">
        <v>25</v>
      </c>
      <c r="B14" s="484">
        <v>47828</v>
      </c>
      <c r="C14" s="484">
        <v>902.88499999999999</v>
      </c>
      <c r="D14" s="277">
        <f t="shared" si="1"/>
        <v>18.877749435477124</v>
      </c>
      <c r="E14" s="484">
        <v>40899</v>
      </c>
      <c r="F14" s="484">
        <v>768.33699999999999</v>
      </c>
      <c r="G14" s="277">
        <f t="shared" si="0"/>
        <v>18.78620504168806</v>
      </c>
      <c r="H14" s="148"/>
      <c r="I14" s="148"/>
      <c r="J14" s="148"/>
      <c r="L14" s="148"/>
    </row>
    <row r="15" spans="1:12" ht="13.25" customHeight="1">
      <c r="A15" s="143" t="s">
        <v>91</v>
      </c>
      <c r="B15" s="484">
        <v>43227</v>
      </c>
      <c r="C15" s="484">
        <v>794.78499999999997</v>
      </c>
      <c r="D15" s="277">
        <f t="shared" si="1"/>
        <v>18.386309482499364</v>
      </c>
      <c r="E15" s="484">
        <v>38033</v>
      </c>
      <c r="F15" s="484">
        <v>695.85</v>
      </c>
      <c r="G15" s="277">
        <f t="shared" si="0"/>
        <v>18.295953514053586</v>
      </c>
      <c r="H15" s="148"/>
      <c r="I15" s="148"/>
      <c r="J15" s="148"/>
      <c r="L15" s="148"/>
    </row>
    <row r="16" spans="1:12" ht="13.25" customHeight="1">
      <c r="A16" s="143" t="s">
        <v>92</v>
      </c>
      <c r="B16" s="484">
        <v>4525</v>
      </c>
      <c r="C16" s="484">
        <v>106.822</v>
      </c>
      <c r="D16" s="277">
        <f t="shared" si="1"/>
        <v>23.607071823204421</v>
      </c>
      <c r="E16" s="484">
        <v>2812</v>
      </c>
      <c r="F16" s="484">
        <v>71.596999999999994</v>
      </c>
      <c r="G16" s="277">
        <f t="shared" si="0"/>
        <v>25.461237553342812</v>
      </c>
      <c r="H16" s="148"/>
      <c r="I16" s="148"/>
      <c r="J16" s="148"/>
      <c r="L16" s="148"/>
    </row>
    <row r="17" spans="1:12" ht="13.25" customHeight="1">
      <c r="A17" s="143" t="s">
        <v>93</v>
      </c>
      <c r="B17" s="484">
        <v>76</v>
      </c>
      <c r="C17" s="484">
        <v>1.278</v>
      </c>
      <c r="D17" s="277">
        <f t="shared" si="1"/>
        <v>16.815789473684212</v>
      </c>
      <c r="E17" s="484">
        <v>54</v>
      </c>
      <c r="F17" s="484">
        <v>0.89</v>
      </c>
      <c r="G17" s="277">
        <f t="shared" si="0"/>
        <v>16.481481481481481</v>
      </c>
      <c r="H17" s="148"/>
      <c r="I17" s="148"/>
      <c r="J17" s="148"/>
      <c r="L17" s="148"/>
    </row>
    <row r="18" spans="1:12" ht="13.25" customHeight="1">
      <c r="A18" s="144" t="s">
        <v>29</v>
      </c>
      <c r="B18" s="484">
        <v>2325</v>
      </c>
      <c r="C18" s="484">
        <v>30.344000000000001</v>
      </c>
      <c r="D18" s="277">
        <f t="shared" si="1"/>
        <v>13.051182795698924</v>
      </c>
      <c r="E18" s="484">
        <v>1493</v>
      </c>
      <c r="F18" s="484">
        <v>25.353999999999999</v>
      </c>
      <c r="G18" s="277">
        <f t="shared" si="0"/>
        <v>16.98191560616209</v>
      </c>
      <c r="H18" s="148"/>
      <c r="I18" s="148"/>
      <c r="J18" s="148"/>
      <c r="L18" s="148"/>
    </row>
    <row r="19" spans="1:12" ht="13.25" customHeight="1">
      <c r="A19" s="138" t="s">
        <v>30</v>
      </c>
      <c r="B19" s="484">
        <v>47149</v>
      </c>
      <c r="C19" s="484">
        <v>501.428</v>
      </c>
      <c r="D19" s="277">
        <f t="shared" si="1"/>
        <v>10.634965746887527</v>
      </c>
      <c r="E19" s="484">
        <v>34008</v>
      </c>
      <c r="F19" s="484">
        <v>502.28800000000001</v>
      </c>
      <c r="G19" s="277">
        <f t="shared" si="0"/>
        <v>14.769701246765466</v>
      </c>
      <c r="H19" s="148"/>
      <c r="I19" s="148"/>
      <c r="J19" s="148"/>
      <c r="L19" s="148"/>
    </row>
    <row r="20" spans="1:12" ht="13.25" customHeight="1">
      <c r="A20" s="138" t="s">
        <v>31</v>
      </c>
      <c r="B20" s="484">
        <v>64900</v>
      </c>
      <c r="C20" s="484">
        <v>925.41899999999998</v>
      </c>
      <c r="D20" s="277">
        <f t="shared" si="1"/>
        <v>14.259152542372881</v>
      </c>
      <c r="E20" s="484">
        <v>67122</v>
      </c>
      <c r="F20" s="484">
        <v>920.36699999999996</v>
      </c>
      <c r="G20" s="277">
        <f t="shared" si="0"/>
        <v>13.71185304371145</v>
      </c>
      <c r="H20" s="148"/>
      <c r="I20" s="148"/>
      <c r="J20" s="148"/>
      <c r="L20" s="148"/>
    </row>
    <row r="21" spans="1:12" ht="13.25" customHeight="1">
      <c r="A21" s="144" t="s">
        <v>32</v>
      </c>
      <c r="B21" s="484">
        <v>1501</v>
      </c>
      <c r="C21" s="484">
        <v>19.288</v>
      </c>
      <c r="D21" s="277">
        <f t="shared" si="1"/>
        <v>12.850099933377749</v>
      </c>
      <c r="E21" s="484">
        <v>2384</v>
      </c>
      <c r="F21" s="484">
        <v>29.245000000000001</v>
      </c>
      <c r="G21" s="277">
        <f t="shared" si="0"/>
        <v>12.267197986577182</v>
      </c>
      <c r="H21" s="148"/>
      <c r="I21" s="148"/>
      <c r="J21" s="148"/>
      <c r="L21" s="148"/>
    </row>
    <row r="22" spans="1:12" ht="13.25" customHeight="1">
      <c r="A22" s="144" t="s">
        <v>33</v>
      </c>
      <c r="B22" s="484">
        <v>26918</v>
      </c>
      <c r="C22" s="484">
        <v>345.93</v>
      </c>
      <c r="D22" s="277">
        <f t="shared" si="1"/>
        <v>12.851251950367784</v>
      </c>
      <c r="E22" s="484">
        <v>25901</v>
      </c>
      <c r="F22" s="484">
        <v>388.2</v>
      </c>
      <c r="G22" s="277">
        <f t="shared" si="0"/>
        <v>14.987838307401258</v>
      </c>
      <c r="H22" s="148"/>
      <c r="I22" s="148"/>
      <c r="J22" s="148"/>
      <c r="L22" s="148"/>
    </row>
    <row r="23" spans="1:12" ht="13.25" customHeight="1">
      <c r="A23" s="144" t="s">
        <v>34</v>
      </c>
      <c r="B23" s="484">
        <v>42160</v>
      </c>
      <c r="C23" s="484">
        <v>539.40899999999999</v>
      </c>
      <c r="D23" s="277">
        <f t="shared" si="1"/>
        <v>12.794331119544593</v>
      </c>
      <c r="E23" s="484">
        <v>2906</v>
      </c>
      <c r="F23" s="484">
        <v>42.283000000000001</v>
      </c>
      <c r="G23" s="277">
        <f t="shared" si="0"/>
        <v>14.550240880935995</v>
      </c>
      <c r="H23" s="148"/>
      <c r="I23" s="148"/>
      <c r="J23" s="148"/>
      <c r="L23" s="148"/>
    </row>
    <row r="24" spans="1:12" ht="13.25" customHeight="1">
      <c r="A24" s="144" t="s">
        <v>35</v>
      </c>
      <c r="B24" s="484">
        <v>6980</v>
      </c>
      <c r="C24" s="484">
        <v>98.21</v>
      </c>
      <c r="D24" s="277">
        <f t="shared" si="1"/>
        <v>14.070200573065902</v>
      </c>
      <c r="E24" s="484">
        <v>1558</v>
      </c>
      <c r="F24" s="484">
        <v>25.952000000000002</v>
      </c>
      <c r="G24" s="277">
        <f t="shared" si="0"/>
        <v>16.657252888318357</v>
      </c>
      <c r="H24" s="148"/>
      <c r="I24" s="148"/>
      <c r="J24" s="148"/>
      <c r="L24" s="148"/>
    </row>
    <row r="25" spans="1:12" ht="13.25" customHeight="1">
      <c r="A25" s="144" t="s">
        <v>36</v>
      </c>
      <c r="B25" s="484">
        <v>5729</v>
      </c>
      <c r="C25" s="484">
        <v>77.272000000000006</v>
      </c>
      <c r="D25" s="277">
        <f t="shared" si="1"/>
        <v>13.487868737999651</v>
      </c>
      <c r="E25" s="484">
        <v>5423</v>
      </c>
      <c r="F25" s="484">
        <v>72.537000000000006</v>
      </c>
      <c r="G25" s="277">
        <f t="shared" si="0"/>
        <v>13.375806749031902</v>
      </c>
      <c r="H25" s="148"/>
      <c r="I25" s="148"/>
      <c r="J25" s="148"/>
      <c r="L25" s="148"/>
    </row>
    <row r="26" spans="1:12" ht="13.25" customHeight="1">
      <c r="A26" s="138" t="s">
        <v>37</v>
      </c>
      <c r="B26" s="484">
        <v>65195</v>
      </c>
      <c r="C26" s="484">
        <v>993.10299999999995</v>
      </c>
      <c r="D26" s="277">
        <f t="shared" si="1"/>
        <v>15.232809264514149</v>
      </c>
      <c r="E26" s="484">
        <v>72006</v>
      </c>
      <c r="F26" s="484">
        <v>1071.24</v>
      </c>
      <c r="G26" s="277">
        <f t="shared" si="0"/>
        <v>14.877093575535373</v>
      </c>
      <c r="H26" s="148"/>
      <c r="I26" s="148"/>
      <c r="J26" s="148"/>
      <c r="L26" s="148"/>
    </row>
    <row r="27" spans="1:12" ht="13.25" customHeight="1">
      <c r="A27" s="144" t="s">
        <v>38</v>
      </c>
      <c r="B27" s="484">
        <v>668</v>
      </c>
      <c r="C27" s="484">
        <v>13.358000000000001</v>
      </c>
      <c r="D27" s="277">
        <f t="shared" si="1"/>
        <v>19.997005988023954</v>
      </c>
      <c r="E27" s="484">
        <v>862</v>
      </c>
      <c r="F27" s="484">
        <v>18.997</v>
      </c>
      <c r="G27" s="277">
        <f t="shared" si="0"/>
        <v>22.038283062645014</v>
      </c>
      <c r="H27" s="148"/>
      <c r="I27" s="148"/>
      <c r="J27" s="148"/>
      <c r="L27" s="148"/>
    </row>
    <row r="28" spans="1:12" ht="13.25" customHeight="1">
      <c r="A28" s="144" t="s">
        <v>39</v>
      </c>
      <c r="B28" s="484">
        <v>353</v>
      </c>
      <c r="C28" s="484">
        <v>6.4420000000000002</v>
      </c>
      <c r="D28" s="277">
        <f t="shared" si="1"/>
        <v>18.24929178470255</v>
      </c>
      <c r="E28" s="484">
        <v>553</v>
      </c>
      <c r="F28" s="484">
        <v>12.928000000000001</v>
      </c>
      <c r="G28" s="277">
        <f t="shared" si="0"/>
        <v>23.377938517179025</v>
      </c>
      <c r="H28" s="148"/>
      <c r="I28" s="148"/>
      <c r="J28" s="148"/>
      <c r="L28" s="148"/>
    </row>
    <row r="29" spans="1:12" ht="13.25" customHeight="1">
      <c r="A29" s="144" t="s">
        <v>40</v>
      </c>
      <c r="B29" s="484">
        <v>22198</v>
      </c>
      <c r="C29" s="484">
        <v>295.95499999999998</v>
      </c>
      <c r="D29" s="277">
        <f t="shared" si="1"/>
        <v>13.33250743310208</v>
      </c>
      <c r="E29" s="484">
        <v>31554</v>
      </c>
      <c r="F29" s="484">
        <v>513.24699999999996</v>
      </c>
      <c r="G29" s="277">
        <f t="shared" si="0"/>
        <v>16.265671547188944</v>
      </c>
      <c r="H29" s="148"/>
      <c r="I29" s="148"/>
      <c r="J29" s="148"/>
      <c r="L29" s="148"/>
    </row>
    <row r="30" spans="1:12" ht="13.25" customHeight="1">
      <c r="A30" s="138" t="s">
        <v>41</v>
      </c>
      <c r="B30" s="484">
        <v>9281</v>
      </c>
      <c r="C30" s="484">
        <v>119.45</v>
      </c>
      <c r="D30" s="277">
        <f t="shared" si="1"/>
        <v>12.870380346945373</v>
      </c>
      <c r="E30" s="484">
        <v>8672</v>
      </c>
      <c r="F30" s="484">
        <v>111.346</v>
      </c>
      <c r="G30" s="277">
        <f t="shared" si="0"/>
        <v>12.839714022140223</v>
      </c>
      <c r="H30" s="148"/>
      <c r="I30" s="148"/>
      <c r="J30" s="148"/>
      <c r="L30" s="148"/>
    </row>
    <row r="31" spans="1:12" ht="13.25" customHeight="1">
      <c r="A31" s="143" t="s">
        <v>94</v>
      </c>
      <c r="B31" s="484">
        <v>4208</v>
      </c>
      <c r="C31" s="484">
        <v>52.308999999999997</v>
      </c>
      <c r="D31" s="277">
        <f>(C31/B31)*1000</f>
        <v>12.430846007604561</v>
      </c>
      <c r="E31" s="484">
        <v>3915</v>
      </c>
      <c r="F31" s="484">
        <v>48.165999999999997</v>
      </c>
      <c r="G31" s="277">
        <f>(F31/E31)*1000</f>
        <v>12.302937420178798</v>
      </c>
      <c r="H31" s="148"/>
      <c r="I31" s="148"/>
      <c r="J31" s="148"/>
      <c r="L31" s="148"/>
    </row>
    <row r="32" spans="1:12" ht="13.25" customHeight="1">
      <c r="A32" s="143" t="s">
        <v>95</v>
      </c>
      <c r="B32" s="484">
        <v>5073</v>
      </c>
      <c r="C32" s="484">
        <v>67.141000000000005</v>
      </c>
      <c r="D32" s="277">
        <f>(C32/B32)*1000</f>
        <v>13.234969446087128</v>
      </c>
      <c r="E32" s="484">
        <v>4757</v>
      </c>
      <c r="F32" s="484">
        <v>63.18</v>
      </c>
      <c r="G32" s="277">
        <f>(F32/E32)*1000</f>
        <v>13.281479924322051</v>
      </c>
      <c r="H32" s="148"/>
      <c r="I32" s="148"/>
      <c r="J32" s="148"/>
      <c r="L32" s="148"/>
    </row>
    <row r="33" spans="1:12" ht="13.25" customHeight="1">
      <c r="A33" s="144" t="s">
        <v>44</v>
      </c>
      <c r="B33" s="484">
        <v>6750</v>
      </c>
      <c r="C33" s="484">
        <v>111.39</v>
      </c>
      <c r="D33" s="277">
        <v>0</v>
      </c>
      <c r="E33" s="484">
        <v>7400</v>
      </c>
      <c r="F33" s="484">
        <v>124.44</v>
      </c>
      <c r="G33" s="277">
        <v>0</v>
      </c>
      <c r="H33" s="148"/>
      <c r="I33" s="148"/>
      <c r="J33" s="148"/>
      <c r="L33" s="148"/>
    </row>
    <row r="34" spans="1:12" ht="13.25" customHeight="1">
      <c r="A34" s="144" t="s">
        <v>45</v>
      </c>
      <c r="B34" s="484">
        <v>17664</v>
      </c>
      <c r="C34" s="484">
        <v>235.42500000000001</v>
      </c>
      <c r="D34" s="277">
        <f>(C34/B34)*1000</f>
        <v>13.327955163043478</v>
      </c>
      <c r="E34" s="484">
        <v>16007</v>
      </c>
      <c r="F34" s="484">
        <v>206.66399999999999</v>
      </c>
      <c r="G34" s="277">
        <f>(F34/E34)*1000</f>
        <v>12.910851502467668</v>
      </c>
      <c r="H34" s="148"/>
      <c r="I34" s="148"/>
      <c r="J34" s="148"/>
      <c r="L34" s="148"/>
    </row>
    <row r="35" spans="1:12" ht="13.25" customHeight="1">
      <c r="A35" s="138" t="s">
        <v>46</v>
      </c>
      <c r="B35" s="484">
        <v>2040</v>
      </c>
      <c r="C35" s="484">
        <v>31.646999999999998</v>
      </c>
      <c r="D35" s="278">
        <v>0</v>
      </c>
      <c r="E35" s="484">
        <v>2449</v>
      </c>
      <c r="F35" s="484">
        <v>37.082999999999998</v>
      </c>
      <c r="G35" s="278">
        <v>0</v>
      </c>
      <c r="H35" s="151"/>
      <c r="I35" s="148"/>
      <c r="J35" s="148"/>
      <c r="L35" s="148"/>
    </row>
    <row r="36" spans="1:12" ht="13.25" customHeight="1">
      <c r="A36" s="138" t="s">
        <v>47</v>
      </c>
      <c r="B36" s="484">
        <v>277</v>
      </c>
      <c r="C36" s="484">
        <v>7.0919999999999996</v>
      </c>
      <c r="D36" s="277">
        <f>(C36/B36)*1000</f>
        <v>25.602888086642597</v>
      </c>
      <c r="E36" s="484">
        <v>119</v>
      </c>
      <c r="F36" s="484">
        <v>2.2120000000000002</v>
      </c>
      <c r="G36" s="277">
        <f>(F36/E36)*1000</f>
        <v>18.588235294117649</v>
      </c>
      <c r="H36" s="148"/>
      <c r="I36" s="148"/>
      <c r="J36" s="148"/>
      <c r="L36" s="148"/>
    </row>
    <row r="37" spans="1:12" ht="13.25" customHeight="1">
      <c r="A37" s="138" t="s">
        <v>48</v>
      </c>
      <c r="B37" s="484">
        <v>0</v>
      </c>
      <c r="C37" s="484">
        <v>0</v>
      </c>
      <c r="D37" s="277">
        <v>0</v>
      </c>
      <c r="E37" s="484">
        <v>0</v>
      </c>
      <c r="F37" s="484">
        <v>0</v>
      </c>
      <c r="G37" s="277">
        <v>0</v>
      </c>
      <c r="H37" s="148"/>
      <c r="I37" s="148"/>
      <c r="J37" s="148"/>
      <c r="L37" s="148"/>
    </row>
    <row r="38" spans="1:12" ht="13.25" customHeight="1" thickBot="1">
      <c r="A38" s="149" t="s">
        <v>49</v>
      </c>
      <c r="B38" s="485">
        <v>0</v>
      </c>
      <c r="C38" s="485">
        <v>0</v>
      </c>
      <c r="D38" s="276">
        <v>0</v>
      </c>
      <c r="E38" s="485">
        <v>0</v>
      </c>
      <c r="F38" s="485">
        <v>0</v>
      </c>
      <c r="G38" s="276">
        <v>0</v>
      </c>
      <c r="H38" s="148"/>
      <c r="I38" s="148"/>
      <c r="J38" s="148"/>
      <c r="L38" s="148"/>
    </row>
    <row r="39" spans="1:12" ht="9" customHeight="1">
      <c r="A39" s="778" t="s">
        <v>402</v>
      </c>
      <c r="B39" s="812"/>
      <c r="C39" s="812"/>
      <c r="D39" s="812"/>
      <c r="E39" s="256"/>
      <c r="F39" s="256"/>
      <c r="G39" s="279"/>
      <c r="H39" s="256"/>
      <c r="I39" s="256"/>
    </row>
    <row r="40" spans="1:12" ht="9" customHeight="1">
      <c r="A40" s="778" t="s">
        <v>359</v>
      </c>
      <c r="B40" s="812"/>
      <c r="C40" s="812"/>
      <c r="D40" s="812"/>
      <c r="E40" s="256"/>
      <c r="F40" s="256"/>
      <c r="G40" s="256"/>
      <c r="H40" s="256"/>
      <c r="I40" s="256"/>
    </row>
    <row r="41" spans="1:12" ht="9" customHeight="1">
      <c r="A41" s="780" t="s">
        <v>358</v>
      </c>
      <c r="B41" s="812"/>
      <c r="C41" s="812"/>
      <c r="D41" s="812"/>
      <c r="E41" s="256"/>
      <c r="F41" s="256"/>
      <c r="G41" s="256"/>
      <c r="H41" s="256"/>
      <c r="I41" s="256"/>
    </row>
    <row r="42" spans="1:12" ht="13.25" customHeight="1">
      <c r="A42" s="11"/>
      <c r="B42" s="129"/>
      <c r="C42" s="129"/>
      <c r="D42" s="129"/>
      <c r="E42" s="129"/>
      <c r="F42" s="129"/>
      <c r="G42" s="129"/>
      <c r="H42" s="129"/>
      <c r="I42" s="129"/>
    </row>
    <row r="43" spans="1:12" ht="13.25" customHeight="1">
      <c r="A43" s="73"/>
      <c r="B43" s="129"/>
      <c r="C43" s="129"/>
      <c r="D43" s="129"/>
      <c r="E43" s="129"/>
      <c r="F43" s="129"/>
      <c r="G43" s="129"/>
      <c r="H43" s="129"/>
      <c r="I43" s="129"/>
    </row>
    <row r="44" spans="1:12" ht="13.25" customHeight="1">
      <c r="A44" s="73"/>
      <c r="B44" s="129"/>
      <c r="C44" s="129"/>
      <c r="D44" s="129"/>
      <c r="E44" s="129"/>
      <c r="F44" s="129"/>
      <c r="G44" s="129"/>
      <c r="H44" s="129"/>
      <c r="I44" s="129"/>
    </row>
    <row r="45" spans="1:12" ht="13.25" customHeight="1">
      <c r="A45" s="24"/>
      <c r="B45" s="129"/>
      <c r="C45" s="129"/>
      <c r="D45" s="129"/>
      <c r="E45" s="129"/>
      <c r="F45" s="129"/>
      <c r="G45" s="129"/>
      <c r="H45" s="129"/>
      <c r="I45" s="129"/>
    </row>
    <row r="46" spans="1:12" ht="13.25" customHeight="1">
      <c r="A46" s="33"/>
      <c r="B46" s="129"/>
      <c r="C46" s="129"/>
      <c r="D46" s="129"/>
      <c r="E46" s="129"/>
      <c r="F46" s="129"/>
      <c r="G46" s="129"/>
      <c r="H46" s="129"/>
      <c r="I46" s="129"/>
    </row>
    <row r="47" spans="1:12" ht="13.25" customHeight="1">
      <c r="A47" s="24"/>
      <c r="B47" s="129"/>
      <c r="C47" s="129"/>
      <c r="D47" s="129"/>
      <c r="E47" s="129"/>
      <c r="F47" s="129"/>
      <c r="G47" s="129"/>
      <c r="H47" s="129"/>
      <c r="I47" s="129"/>
    </row>
    <row r="48" spans="1:12" ht="13.25" customHeight="1">
      <c r="A48" s="73"/>
      <c r="B48" s="129"/>
      <c r="C48" s="129"/>
      <c r="D48" s="129"/>
      <c r="E48" s="129"/>
      <c r="F48" s="129"/>
      <c r="G48" s="129"/>
      <c r="H48" s="129"/>
      <c r="I48" s="129"/>
    </row>
    <row r="49" spans="1:9" ht="13.25" customHeight="1">
      <c r="A49" s="73"/>
      <c r="B49" s="129"/>
      <c r="C49" s="129"/>
      <c r="D49" s="129"/>
      <c r="E49" s="129"/>
      <c r="F49" s="129"/>
      <c r="G49" s="129"/>
      <c r="H49" s="129"/>
      <c r="I49" s="129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syncVertical="1" syncRef="A1" transitionEvaluation="1" codeName="Hoja90">
    <tabColor theme="9" tint="0.59999389629810485"/>
  </sheetPr>
  <dimension ref="A1:L49"/>
  <sheetViews>
    <sheetView showGridLines="0" zoomScaleNormal="100" workbookViewId="0">
      <selection activeCell="C30" sqref="C30"/>
    </sheetView>
  </sheetViews>
  <sheetFormatPr baseColWidth="10" defaultColWidth="7" defaultRowHeight="13.25" customHeight="1"/>
  <cols>
    <col min="1" max="1" width="14.3984375" style="138" customWidth="1"/>
    <col min="2" max="7" width="10" style="138" customWidth="1"/>
    <col min="8" max="8" width="8" style="138" customWidth="1"/>
    <col min="9" max="16384" width="7" style="138"/>
  </cols>
  <sheetData>
    <row r="1" spans="1:12" ht="13.25" customHeight="1">
      <c r="B1" s="139"/>
    </row>
    <row r="3" spans="1:12" ht="13.25" customHeight="1">
      <c r="A3" s="280" t="s">
        <v>381</v>
      </c>
      <c r="B3" s="140"/>
      <c r="C3" s="140"/>
      <c r="D3" s="140"/>
      <c r="E3" s="140"/>
      <c r="F3" s="140"/>
      <c r="G3" s="140"/>
    </row>
    <row r="4" spans="1:12" ht="13.25" customHeight="1">
      <c r="A4" s="272" t="s">
        <v>625</v>
      </c>
      <c r="B4" s="140"/>
      <c r="C4" s="140"/>
      <c r="D4" s="140"/>
      <c r="E4" s="140"/>
      <c r="F4" s="140"/>
      <c r="G4" s="140"/>
    </row>
    <row r="5" spans="1:12" ht="4.25" customHeight="1" thickBot="1">
      <c r="A5" s="972"/>
      <c r="B5" s="972"/>
      <c r="C5" s="972"/>
      <c r="D5" s="972"/>
      <c r="E5" s="972"/>
      <c r="F5" s="972"/>
      <c r="G5" s="972"/>
    </row>
    <row r="6" spans="1:12" ht="13.25" customHeight="1">
      <c r="A6" s="976" t="s">
        <v>18</v>
      </c>
      <c r="B6" s="973">
        <v>2021</v>
      </c>
      <c r="C6" s="974"/>
      <c r="D6" s="975"/>
      <c r="E6" s="974" t="s">
        <v>490</v>
      </c>
      <c r="F6" s="974"/>
      <c r="G6" s="974"/>
    </row>
    <row r="7" spans="1:12" ht="13.25" customHeight="1">
      <c r="A7" s="977"/>
      <c r="B7" s="659" t="s">
        <v>105</v>
      </c>
      <c r="C7" s="660" t="s">
        <v>245</v>
      </c>
      <c r="D7" s="661" t="s">
        <v>429</v>
      </c>
      <c r="E7" s="662" t="s">
        <v>105</v>
      </c>
      <c r="F7" s="660" t="s">
        <v>245</v>
      </c>
      <c r="G7" s="660" t="s">
        <v>429</v>
      </c>
    </row>
    <row r="8" spans="1:12" ht="15" customHeight="1">
      <c r="A8" s="666" t="s">
        <v>96</v>
      </c>
      <c r="B8" s="670">
        <f>(B10+B11+B12+B13+B14+B18+B19+B20+B21+B22+B23+B24+B25+B26+B27+B28+B29+B30+B33+B34+B35+B36+B37+B38)</f>
        <v>2280343</v>
      </c>
      <c r="C8" s="671">
        <f>(C10+C11+C12+C13+C14+C18+C19+C20+C21+C22+C23+C24+C25+C26+C27+C28+C29+C30+C33+C34+C35+C36+C37+C38)</f>
        <v>159229.18500000003</v>
      </c>
      <c r="D8" s="669">
        <f>(C8/B8)*1000</f>
        <v>69.826857187712562</v>
      </c>
      <c r="E8" s="670">
        <f>(E10+E11+E12+E13+E14+E18+E19+E20+E21+E22+E23+E24+E25+E26+E27+E28+E29+E30+E33+E34+E35+E36+E37+E38)</f>
        <v>2328611</v>
      </c>
      <c r="F8" s="671">
        <f>(F10+F11+F12+F13+F14+F18+F19+F20+F21+F22+F23+F24+F25+F26+F27+F28+F29+F30+F33+F34+F35+F36+F37+F38)</f>
        <v>163747.45700000002</v>
      </c>
      <c r="G8" s="669">
        <f>(F8/E8)*1000</f>
        <v>70.319798798511229</v>
      </c>
      <c r="I8" s="148"/>
      <c r="J8" s="148"/>
    </row>
    <row r="9" spans="1:12" ht="3" customHeight="1">
      <c r="B9" s="484"/>
      <c r="C9" s="486"/>
      <c r="D9" s="277"/>
      <c r="E9" s="484"/>
      <c r="F9" s="486"/>
      <c r="G9" s="277"/>
    </row>
    <row r="10" spans="1:12" ht="13.25" customHeight="1">
      <c r="A10" s="144" t="s">
        <v>21</v>
      </c>
      <c r="B10" s="484">
        <v>2450</v>
      </c>
      <c r="C10" s="484">
        <v>106.601</v>
      </c>
      <c r="D10" s="277">
        <f t="shared" ref="D10:D32" si="0">(C10/B10)*1000</f>
        <v>43.510612244897963</v>
      </c>
      <c r="E10" s="484">
        <v>2348</v>
      </c>
      <c r="F10" s="484">
        <v>111.08</v>
      </c>
      <c r="G10" s="277">
        <f t="shared" ref="G10:G34" si="1">(F10/E10)*1000</f>
        <v>47.308347529812607</v>
      </c>
      <c r="I10" s="148"/>
      <c r="J10" s="148"/>
      <c r="L10" s="148"/>
    </row>
    <row r="11" spans="1:12" ht="13.25" customHeight="1">
      <c r="A11" s="144" t="s">
        <v>22</v>
      </c>
      <c r="B11" s="484">
        <v>31177</v>
      </c>
      <c r="C11" s="484">
        <v>1831.3910000000001</v>
      </c>
      <c r="D11" s="277">
        <f t="shared" si="0"/>
        <v>58.741732687558141</v>
      </c>
      <c r="E11" s="484">
        <v>28543</v>
      </c>
      <c r="F11" s="484">
        <v>1789.7660000000001</v>
      </c>
      <c r="G11" s="277">
        <f t="shared" si="1"/>
        <v>62.704200679676276</v>
      </c>
      <c r="I11" s="148"/>
      <c r="J11" s="148"/>
      <c r="L11" s="148"/>
    </row>
    <row r="12" spans="1:12" ht="13.25" customHeight="1">
      <c r="A12" s="144" t="s">
        <v>23</v>
      </c>
      <c r="B12" s="484">
        <v>32355</v>
      </c>
      <c r="C12" s="484">
        <v>2131.8090000000002</v>
      </c>
      <c r="D12" s="277">
        <f t="shared" si="0"/>
        <v>65.888085303662493</v>
      </c>
      <c r="E12" s="484">
        <v>27905</v>
      </c>
      <c r="F12" s="484">
        <v>1800.575</v>
      </c>
      <c r="G12" s="277">
        <f t="shared" si="1"/>
        <v>64.525174699874583</v>
      </c>
      <c r="I12" s="148"/>
      <c r="J12" s="148"/>
      <c r="L12" s="148"/>
    </row>
    <row r="13" spans="1:12" ht="13.25" customHeight="1">
      <c r="A13" s="138" t="s">
        <v>24</v>
      </c>
      <c r="B13" s="484">
        <v>108768</v>
      </c>
      <c r="C13" s="484">
        <v>6192.04</v>
      </c>
      <c r="D13" s="277">
        <f t="shared" si="0"/>
        <v>56.92887614004119</v>
      </c>
      <c r="E13" s="484">
        <v>131849</v>
      </c>
      <c r="F13" s="484">
        <v>7431.6459999999997</v>
      </c>
      <c r="G13" s="277">
        <f t="shared" si="1"/>
        <v>56.364826430234586</v>
      </c>
      <c r="I13" s="148"/>
      <c r="J13" s="148"/>
      <c r="L13" s="148"/>
    </row>
    <row r="14" spans="1:12" ht="13.25" customHeight="1">
      <c r="A14" s="138" t="s">
        <v>25</v>
      </c>
      <c r="B14" s="484">
        <v>91845</v>
      </c>
      <c r="C14" s="484">
        <v>4837.1030000000001</v>
      </c>
      <c r="D14" s="277">
        <f t="shared" si="0"/>
        <v>52.665937176765205</v>
      </c>
      <c r="E14" s="484">
        <v>85042</v>
      </c>
      <c r="F14" s="484">
        <v>4500.95</v>
      </c>
      <c r="G14" s="277">
        <f t="shared" si="1"/>
        <v>52.926201171186001</v>
      </c>
      <c r="I14" s="148"/>
      <c r="J14" s="148"/>
      <c r="L14" s="148"/>
    </row>
    <row r="15" spans="1:12" ht="13.25" customHeight="1">
      <c r="A15" s="143" t="s">
        <v>26</v>
      </c>
      <c r="B15" s="484">
        <v>44833</v>
      </c>
      <c r="C15" s="484">
        <v>2198.3690000000001</v>
      </c>
      <c r="D15" s="277">
        <f t="shared" si="0"/>
        <v>49.034617357749873</v>
      </c>
      <c r="E15" s="484">
        <v>38940</v>
      </c>
      <c r="F15" s="484">
        <v>1920.0260000000001</v>
      </c>
      <c r="G15" s="277">
        <f t="shared" si="1"/>
        <v>49.307293271700054</v>
      </c>
      <c r="I15" s="148"/>
      <c r="J15" s="148"/>
      <c r="L15" s="148"/>
    </row>
    <row r="16" spans="1:12" ht="13.25" customHeight="1">
      <c r="A16" s="143" t="s">
        <v>27</v>
      </c>
      <c r="B16" s="484">
        <v>33633</v>
      </c>
      <c r="C16" s="484">
        <v>1856.981</v>
      </c>
      <c r="D16" s="277">
        <f t="shared" si="0"/>
        <v>55.21306454969821</v>
      </c>
      <c r="E16" s="484">
        <v>30107</v>
      </c>
      <c r="F16" s="484">
        <v>1620.7629999999999</v>
      </c>
      <c r="G16" s="277">
        <f t="shared" si="1"/>
        <v>53.833427442123089</v>
      </c>
      <c r="I16" s="148"/>
      <c r="J16" s="148"/>
      <c r="L16" s="148"/>
    </row>
    <row r="17" spans="1:12" ht="13.25" customHeight="1">
      <c r="A17" s="143" t="s">
        <v>28</v>
      </c>
      <c r="B17" s="484">
        <v>13379</v>
      </c>
      <c r="C17" s="484">
        <v>781.75300000000004</v>
      </c>
      <c r="D17" s="277">
        <f t="shared" si="0"/>
        <v>58.431347634352342</v>
      </c>
      <c r="E17" s="484">
        <v>15995</v>
      </c>
      <c r="F17" s="484">
        <v>960.16099999999994</v>
      </c>
      <c r="G17" s="277">
        <f t="shared" si="1"/>
        <v>60.028821506720845</v>
      </c>
      <c r="I17" s="148"/>
      <c r="J17" s="148"/>
      <c r="L17" s="148"/>
    </row>
    <row r="18" spans="1:12" ht="13.25" customHeight="1">
      <c r="A18" s="144" t="s">
        <v>29</v>
      </c>
      <c r="B18" s="484">
        <v>16600</v>
      </c>
      <c r="C18" s="484">
        <v>909.93600000000004</v>
      </c>
      <c r="D18" s="277">
        <f t="shared" si="0"/>
        <v>54.815421686746987</v>
      </c>
      <c r="E18" s="484">
        <v>11857</v>
      </c>
      <c r="F18" s="484">
        <v>653.64400000000001</v>
      </c>
      <c r="G18" s="277">
        <f t="shared" si="1"/>
        <v>55.127266593573417</v>
      </c>
      <c r="I18" s="148"/>
      <c r="J18" s="148"/>
      <c r="L18" s="148"/>
    </row>
    <row r="19" spans="1:12" ht="13.25" customHeight="1">
      <c r="A19" s="138" t="s">
        <v>30</v>
      </c>
      <c r="B19" s="484">
        <v>17378</v>
      </c>
      <c r="C19" s="484">
        <v>579.58000000000004</v>
      </c>
      <c r="D19" s="277">
        <f t="shared" si="0"/>
        <v>33.351363793301879</v>
      </c>
      <c r="E19" s="484">
        <v>17874</v>
      </c>
      <c r="F19" s="484">
        <v>562.11</v>
      </c>
      <c r="G19" s="277">
        <f t="shared" si="1"/>
        <v>31.448472641826118</v>
      </c>
      <c r="I19" s="148"/>
      <c r="J19" s="148"/>
      <c r="L19" s="148"/>
    </row>
    <row r="20" spans="1:12" ht="13.25" customHeight="1">
      <c r="A20" s="138" t="s">
        <v>31</v>
      </c>
      <c r="B20" s="484">
        <v>1293497</v>
      </c>
      <c r="C20" s="484">
        <v>99284.097999999998</v>
      </c>
      <c r="D20" s="277">
        <f t="shared" si="0"/>
        <v>76.756341916525514</v>
      </c>
      <c r="E20" s="484">
        <v>1394375</v>
      </c>
      <c r="F20" s="484">
        <v>107893.666</v>
      </c>
      <c r="G20" s="277">
        <f t="shared" si="1"/>
        <v>77.377797220977143</v>
      </c>
      <c r="I20" s="148"/>
      <c r="J20" s="148"/>
      <c r="L20" s="148"/>
    </row>
    <row r="21" spans="1:12" ht="13.25" customHeight="1">
      <c r="A21" s="144" t="s">
        <v>32</v>
      </c>
      <c r="B21" s="484">
        <v>24592</v>
      </c>
      <c r="C21" s="484">
        <v>1785.7619999999999</v>
      </c>
      <c r="D21" s="277">
        <f t="shared" si="0"/>
        <v>72.615566037735846</v>
      </c>
      <c r="E21" s="484">
        <v>19261</v>
      </c>
      <c r="F21" s="484">
        <v>1397.8610000000001</v>
      </c>
      <c r="G21" s="277">
        <f t="shared" si="1"/>
        <v>72.574684595815384</v>
      </c>
      <c r="I21" s="148"/>
      <c r="J21" s="148"/>
      <c r="L21" s="148"/>
    </row>
    <row r="22" spans="1:12" ht="13.25" customHeight="1">
      <c r="A22" s="144" t="s">
        <v>33</v>
      </c>
      <c r="B22" s="484">
        <v>33147</v>
      </c>
      <c r="C22" s="484">
        <v>1669.076</v>
      </c>
      <c r="D22" s="277">
        <f t="shared" si="0"/>
        <v>50.353757504449874</v>
      </c>
      <c r="E22" s="484">
        <v>30208</v>
      </c>
      <c r="F22" s="484">
        <v>1383.915</v>
      </c>
      <c r="G22" s="277">
        <f t="shared" si="1"/>
        <v>45.812864141949149</v>
      </c>
      <c r="I22" s="148"/>
      <c r="J22" s="148"/>
      <c r="L22" s="148"/>
    </row>
    <row r="23" spans="1:12" ht="13.25" customHeight="1">
      <c r="A23" s="144" t="s">
        <v>34</v>
      </c>
      <c r="B23" s="484">
        <v>5198</v>
      </c>
      <c r="C23" s="484">
        <v>357.12900000000002</v>
      </c>
      <c r="D23" s="277">
        <f t="shared" si="0"/>
        <v>68.705078876490973</v>
      </c>
      <c r="E23" s="484">
        <v>2641</v>
      </c>
      <c r="F23" s="484">
        <v>145.96299999999999</v>
      </c>
      <c r="G23" s="277">
        <f t="shared" si="1"/>
        <v>55.268080272624005</v>
      </c>
      <c r="I23" s="148"/>
      <c r="J23" s="148"/>
      <c r="L23" s="148"/>
    </row>
    <row r="24" spans="1:12" ht="13.25" customHeight="1">
      <c r="A24" s="144" t="s">
        <v>35</v>
      </c>
      <c r="B24" s="484">
        <v>11168</v>
      </c>
      <c r="C24" s="484">
        <v>603.30499999999995</v>
      </c>
      <c r="D24" s="277">
        <f t="shared" si="0"/>
        <v>54.020863180515761</v>
      </c>
      <c r="E24" s="484">
        <v>10376</v>
      </c>
      <c r="F24" s="484">
        <v>607.15200000000004</v>
      </c>
      <c r="G24" s="277">
        <f t="shared" si="1"/>
        <v>58.515034695451043</v>
      </c>
      <c r="I24" s="148"/>
      <c r="J24" s="148"/>
      <c r="L24" s="148"/>
    </row>
    <row r="25" spans="1:12" ht="13.25" customHeight="1">
      <c r="A25" s="144" t="s">
        <v>36</v>
      </c>
      <c r="B25" s="484">
        <v>1936</v>
      </c>
      <c r="C25" s="484">
        <v>102.751</v>
      </c>
      <c r="D25" s="277">
        <f t="shared" si="0"/>
        <v>53.07386363636364</v>
      </c>
      <c r="E25" s="484">
        <v>1948</v>
      </c>
      <c r="F25" s="484">
        <v>101.256</v>
      </c>
      <c r="G25" s="277">
        <f t="shared" si="1"/>
        <v>51.979466119096514</v>
      </c>
      <c r="I25" s="148"/>
      <c r="J25" s="148"/>
      <c r="L25" s="148"/>
    </row>
    <row r="26" spans="1:12" ht="13.25" customHeight="1">
      <c r="A26" s="138" t="s">
        <v>37</v>
      </c>
      <c r="B26" s="484">
        <v>388179</v>
      </c>
      <c r="C26" s="484">
        <v>26015.879000000001</v>
      </c>
      <c r="D26" s="277">
        <f t="shared" si="0"/>
        <v>67.020315369971073</v>
      </c>
      <c r="E26" s="484">
        <v>375255</v>
      </c>
      <c r="F26" s="484">
        <v>24838.811000000002</v>
      </c>
      <c r="G26" s="277">
        <f t="shared" si="1"/>
        <v>66.191818896483738</v>
      </c>
      <c r="I26" s="148"/>
      <c r="J26" s="148"/>
      <c r="L26" s="148"/>
    </row>
    <row r="27" spans="1:12" ht="13.25" customHeight="1">
      <c r="A27" s="144" t="s">
        <v>38</v>
      </c>
      <c r="B27" s="484">
        <v>26716</v>
      </c>
      <c r="C27" s="484">
        <v>1239.502</v>
      </c>
      <c r="D27" s="277">
        <f t="shared" si="0"/>
        <v>46.395493337325945</v>
      </c>
      <c r="E27" s="484">
        <v>23547</v>
      </c>
      <c r="F27" s="484">
        <v>1165.1880000000001</v>
      </c>
      <c r="G27" s="277">
        <f t="shared" si="1"/>
        <v>49.483501082940506</v>
      </c>
      <c r="I27" s="148"/>
      <c r="J27" s="148"/>
      <c r="L27" s="148"/>
    </row>
    <row r="28" spans="1:12" ht="13.25" customHeight="1">
      <c r="A28" s="144" t="s">
        <v>39</v>
      </c>
      <c r="B28" s="484">
        <v>30179</v>
      </c>
      <c r="C28" s="484">
        <v>1392.1320000000001</v>
      </c>
      <c r="D28" s="277">
        <f t="shared" si="0"/>
        <v>46.129162662778754</v>
      </c>
      <c r="E28" s="484">
        <v>21971</v>
      </c>
      <c r="F28" s="484">
        <v>785.78599999999994</v>
      </c>
      <c r="G28" s="277">
        <f t="shared" si="1"/>
        <v>35.764689818396974</v>
      </c>
      <c r="I28" s="148"/>
      <c r="J28" s="148"/>
      <c r="L28" s="148"/>
    </row>
    <row r="29" spans="1:12" ht="13.25" customHeight="1">
      <c r="A29" s="144" t="s">
        <v>40</v>
      </c>
      <c r="B29" s="484">
        <v>25985</v>
      </c>
      <c r="C29" s="484">
        <v>1370.098</v>
      </c>
      <c r="D29" s="277">
        <f t="shared" si="0"/>
        <v>52.726496055416582</v>
      </c>
      <c r="E29" s="484">
        <v>33734</v>
      </c>
      <c r="F29" s="484">
        <v>1688.212</v>
      </c>
      <c r="G29" s="277">
        <f t="shared" si="1"/>
        <v>50.04482124859193</v>
      </c>
      <c r="I29" s="148"/>
      <c r="J29" s="148"/>
      <c r="L29" s="148"/>
    </row>
    <row r="30" spans="1:12" ht="13.25" customHeight="1">
      <c r="A30" s="138" t="s">
        <v>41</v>
      </c>
      <c r="B30" s="484">
        <v>11368</v>
      </c>
      <c r="C30" s="484">
        <v>476.38900000000001</v>
      </c>
      <c r="D30" s="277">
        <f t="shared" si="0"/>
        <v>41.90614004222379</v>
      </c>
      <c r="E30" s="484">
        <v>10487</v>
      </c>
      <c r="F30" s="484">
        <v>443.01299999999998</v>
      </c>
      <c r="G30" s="277">
        <f t="shared" si="1"/>
        <v>42.244016401258705</v>
      </c>
      <c r="I30" s="148"/>
      <c r="J30" s="148"/>
      <c r="L30" s="148"/>
    </row>
    <row r="31" spans="1:12" ht="13.25" customHeight="1">
      <c r="A31" s="143" t="s">
        <v>42</v>
      </c>
      <c r="B31" s="484">
        <v>4668</v>
      </c>
      <c r="C31" s="484">
        <v>193.1</v>
      </c>
      <c r="D31" s="277">
        <f t="shared" si="0"/>
        <v>41.366752356469576</v>
      </c>
      <c r="E31" s="484">
        <v>4415</v>
      </c>
      <c r="F31" s="484">
        <v>183.81100000000001</v>
      </c>
      <c r="G31" s="277">
        <f t="shared" si="1"/>
        <v>41.633295583238954</v>
      </c>
      <c r="I31" s="148"/>
      <c r="J31" s="148"/>
      <c r="L31" s="148"/>
    </row>
    <row r="32" spans="1:12" ht="13.25" customHeight="1">
      <c r="A32" s="143" t="s">
        <v>43</v>
      </c>
      <c r="B32" s="484">
        <v>6700</v>
      </c>
      <c r="C32" s="484">
        <v>283.28899999999999</v>
      </c>
      <c r="D32" s="277">
        <f t="shared" si="0"/>
        <v>42.281940298507457</v>
      </c>
      <c r="E32" s="484">
        <v>6072</v>
      </c>
      <c r="F32" s="484">
        <v>259.202</v>
      </c>
      <c r="G32" s="277">
        <f t="shared" si="1"/>
        <v>42.688076416337282</v>
      </c>
      <c r="I32" s="148"/>
      <c r="J32" s="148"/>
      <c r="L32" s="148"/>
    </row>
    <row r="33" spans="1:12" ht="13.25" customHeight="1">
      <c r="A33" s="144" t="s">
        <v>44</v>
      </c>
      <c r="B33" s="487" t="s">
        <v>334</v>
      </c>
      <c r="C33" s="487">
        <v>0</v>
      </c>
      <c r="D33" s="487" t="s">
        <v>388</v>
      </c>
      <c r="E33" s="487" t="s">
        <v>334</v>
      </c>
      <c r="F33" s="487">
        <v>0</v>
      </c>
      <c r="G33" s="487" t="s">
        <v>387</v>
      </c>
      <c r="I33" s="148"/>
      <c r="J33" s="148"/>
      <c r="L33" s="148"/>
    </row>
    <row r="34" spans="1:12" ht="13.25" customHeight="1">
      <c r="A34" s="144" t="s">
        <v>45</v>
      </c>
      <c r="B34" s="484">
        <v>4394</v>
      </c>
      <c r="C34" s="484">
        <v>152.99600000000001</v>
      </c>
      <c r="D34" s="277">
        <f>(C34/B34)*1000</f>
        <v>34.819299044151116</v>
      </c>
      <c r="E34" s="484">
        <v>4396</v>
      </c>
      <c r="F34" s="484">
        <v>156.81200000000001</v>
      </c>
      <c r="G34" s="277">
        <f t="shared" si="1"/>
        <v>35.671519563239308</v>
      </c>
      <c r="I34" s="148"/>
      <c r="J34" s="148"/>
      <c r="L34" s="148"/>
    </row>
    <row r="35" spans="1:12" ht="13.25" customHeight="1">
      <c r="A35" s="138" t="s">
        <v>46</v>
      </c>
      <c r="B35" s="484">
        <v>83810</v>
      </c>
      <c r="C35" s="484">
        <v>5369.2939999999999</v>
      </c>
      <c r="D35" s="277">
        <f>(C35/B35)*1000</f>
        <v>64.065075766614967</v>
      </c>
      <c r="E35" s="484">
        <v>60017</v>
      </c>
      <c r="F35" s="484">
        <v>3746.087</v>
      </c>
      <c r="G35" s="277">
        <f>(F35/E35)*1000</f>
        <v>62.417098488761518</v>
      </c>
      <c r="I35" s="148"/>
      <c r="J35" s="148"/>
      <c r="L35" s="148"/>
    </row>
    <row r="36" spans="1:12" ht="13.25" customHeight="1">
      <c r="A36" s="138" t="s">
        <v>47</v>
      </c>
      <c r="B36" s="484">
        <v>27053</v>
      </c>
      <c r="C36" s="484">
        <v>1950.396</v>
      </c>
      <c r="D36" s="277">
        <f>(C36/B36)*1000</f>
        <v>72.09536835101467</v>
      </c>
      <c r="E36" s="484">
        <v>23834</v>
      </c>
      <c r="F36" s="484">
        <v>1756.4159999999999</v>
      </c>
      <c r="G36" s="277">
        <f>(F36/E36)*1000</f>
        <v>73.693714861122757</v>
      </c>
      <c r="I36" s="148"/>
      <c r="J36" s="148"/>
      <c r="L36" s="148"/>
    </row>
    <row r="37" spans="1:12" ht="13.25" customHeight="1">
      <c r="A37" s="138" t="s">
        <v>48</v>
      </c>
      <c r="B37" s="484">
        <v>12548</v>
      </c>
      <c r="C37" s="484">
        <v>871.91800000000001</v>
      </c>
      <c r="D37" s="277">
        <f>(C37/B37)*1000</f>
        <v>69.48661141217724</v>
      </c>
      <c r="E37" s="484">
        <v>11143</v>
      </c>
      <c r="F37" s="484">
        <v>787.548</v>
      </c>
      <c r="G37" s="277">
        <f>(F37/E37)*1000</f>
        <v>70.676478506685811</v>
      </c>
      <c r="I37" s="148"/>
      <c r="J37" s="148"/>
      <c r="L37" s="148"/>
    </row>
    <row r="38" spans="1:12" ht="13.25" customHeight="1" thickBot="1">
      <c r="A38" s="149" t="s">
        <v>49</v>
      </c>
      <c r="B38" s="488" t="s">
        <v>334</v>
      </c>
      <c r="C38" s="488">
        <v>0</v>
      </c>
      <c r="D38" s="488" t="s">
        <v>387</v>
      </c>
      <c r="E38" s="488" t="s">
        <v>334</v>
      </c>
      <c r="F38" s="488">
        <v>0</v>
      </c>
      <c r="G38" s="488" t="s">
        <v>387</v>
      </c>
      <c r="I38" s="148"/>
      <c r="J38" s="148"/>
      <c r="L38" s="148"/>
    </row>
    <row r="39" spans="1:12" ht="9" customHeight="1">
      <c r="A39" s="778" t="s">
        <v>402</v>
      </c>
      <c r="B39" s="812"/>
      <c r="C39" s="812"/>
      <c r="D39" s="812"/>
      <c r="E39" s="812"/>
      <c r="F39" s="256"/>
      <c r="G39" s="279"/>
      <c r="H39" s="256"/>
      <c r="I39" s="270"/>
    </row>
    <row r="40" spans="1:12" ht="9" customHeight="1">
      <c r="A40" s="778" t="s">
        <v>359</v>
      </c>
      <c r="B40" s="812"/>
      <c r="C40" s="812"/>
      <c r="D40" s="812"/>
      <c r="E40" s="812"/>
      <c r="F40" s="256"/>
      <c r="G40" s="256"/>
      <c r="H40" s="256"/>
      <c r="I40" s="270"/>
    </row>
    <row r="41" spans="1:12" ht="9" customHeight="1">
      <c r="A41" s="780" t="s">
        <v>358</v>
      </c>
      <c r="B41" s="812"/>
      <c r="C41" s="812"/>
      <c r="D41" s="812"/>
      <c r="E41" s="812"/>
      <c r="F41" s="256"/>
      <c r="G41" s="256"/>
      <c r="H41" s="256"/>
      <c r="I41" s="270"/>
    </row>
    <row r="42" spans="1:12" ht="13.25" customHeight="1">
      <c r="A42" s="11"/>
      <c r="B42" s="129"/>
      <c r="C42" s="129"/>
      <c r="D42" s="129"/>
      <c r="E42" s="129"/>
      <c r="F42" s="129"/>
      <c r="G42" s="129"/>
      <c r="H42" s="129"/>
    </row>
    <row r="43" spans="1:12" ht="13.25" customHeight="1">
      <c r="A43" s="73"/>
      <c r="B43" s="129"/>
      <c r="C43" s="129"/>
      <c r="D43" s="129"/>
      <c r="E43" s="129"/>
      <c r="F43" s="129"/>
      <c r="G43" s="129"/>
      <c r="H43" s="129"/>
    </row>
    <row r="44" spans="1:12" ht="13.25" customHeight="1">
      <c r="A44" s="73"/>
      <c r="B44" s="129"/>
      <c r="C44" s="129"/>
      <c r="D44" s="129"/>
      <c r="E44" s="129"/>
      <c r="F44" s="129"/>
      <c r="G44" s="129"/>
      <c r="H44" s="129"/>
    </row>
    <row r="45" spans="1:12" ht="13.25" customHeight="1">
      <c r="A45" s="24"/>
      <c r="B45" s="129"/>
      <c r="C45" s="129"/>
      <c r="D45" s="129"/>
      <c r="E45" s="129"/>
      <c r="F45" s="129"/>
      <c r="G45" s="129"/>
      <c r="H45" s="129"/>
    </row>
    <row r="46" spans="1:12" ht="13.25" customHeight="1">
      <c r="A46" s="33"/>
      <c r="B46" s="129"/>
      <c r="C46" s="129"/>
      <c r="D46" s="129"/>
      <c r="E46" s="129"/>
      <c r="F46" s="129"/>
      <c r="G46" s="129"/>
      <c r="H46" s="129"/>
    </row>
    <row r="47" spans="1:12" ht="13.25" customHeight="1">
      <c r="A47" s="24"/>
      <c r="B47" s="129"/>
      <c r="C47" s="129"/>
      <c r="D47" s="129"/>
      <c r="E47" s="129"/>
      <c r="F47" s="129"/>
      <c r="G47" s="129"/>
      <c r="H47" s="129"/>
    </row>
    <row r="48" spans="1:12" ht="13.25" customHeight="1">
      <c r="A48" s="73"/>
      <c r="B48" s="129"/>
      <c r="C48" s="129"/>
      <c r="D48" s="129"/>
      <c r="E48" s="129"/>
      <c r="F48" s="129"/>
      <c r="G48" s="129"/>
      <c r="H48" s="129"/>
    </row>
    <row r="49" spans="1:8" ht="13.25" customHeight="1">
      <c r="A49" s="73"/>
      <c r="B49" s="129"/>
      <c r="C49" s="129"/>
      <c r="D49" s="129"/>
      <c r="E49" s="129"/>
      <c r="F49" s="129"/>
      <c r="G49" s="129"/>
      <c r="H49" s="129"/>
    </row>
  </sheetData>
  <mergeCells count="4">
    <mergeCell ref="A5:G5"/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syncVertical="1" syncRef="A1" transitionEvaluation="1" codeName="Hoja91">
    <tabColor theme="9" tint="0.59999389629810485"/>
  </sheetPr>
  <dimension ref="A1:L49"/>
  <sheetViews>
    <sheetView showGridLines="0" zoomScaleNormal="100" workbookViewId="0">
      <selection activeCell="C30" sqref="C30"/>
    </sheetView>
  </sheetViews>
  <sheetFormatPr baseColWidth="10" defaultColWidth="7" defaultRowHeight="13.25" customHeight="1"/>
  <cols>
    <col min="1" max="1" width="15" style="138" customWidth="1"/>
    <col min="2" max="7" width="10" style="138" customWidth="1"/>
    <col min="8" max="8" width="8" style="138" customWidth="1"/>
    <col min="9" max="16384" width="7" style="138"/>
  </cols>
  <sheetData>
    <row r="1" spans="1:12" ht="13.25" customHeight="1">
      <c r="B1" s="139"/>
    </row>
    <row r="3" spans="1:12" ht="13.25" customHeight="1">
      <c r="A3" s="280" t="s">
        <v>380</v>
      </c>
      <c r="B3" s="140"/>
      <c r="C3" s="140"/>
      <c r="D3" s="140"/>
      <c r="E3" s="140"/>
      <c r="F3" s="140"/>
      <c r="G3" s="140"/>
    </row>
    <row r="4" spans="1:12" ht="13.25" customHeight="1">
      <c r="A4" s="272" t="s">
        <v>625</v>
      </c>
      <c r="B4" s="140"/>
      <c r="C4" s="140"/>
      <c r="D4" s="140"/>
      <c r="E4" s="140"/>
      <c r="F4" s="140"/>
      <c r="G4" s="140"/>
    </row>
    <row r="5" spans="1:12" ht="4.25" customHeight="1" thickBot="1">
      <c r="A5" s="145"/>
      <c r="B5" s="145"/>
      <c r="C5" s="145"/>
      <c r="D5" s="145"/>
    </row>
    <row r="6" spans="1:12" ht="13.25" customHeight="1">
      <c r="A6" s="976" t="s">
        <v>18</v>
      </c>
      <c r="B6" s="973">
        <v>2021</v>
      </c>
      <c r="C6" s="974"/>
      <c r="D6" s="975"/>
      <c r="E6" s="974" t="s">
        <v>490</v>
      </c>
      <c r="F6" s="974"/>
      <c r="G6" s="974"/>
    </row>
    <row r="7" spans="1:12" ht="13.25" customHeight="1">
      <c r="A7" s="977"/>
      <c r="B7" s="659" t="s">
        <v>105</v>
      </c>
      <c r="C7" s="660" t="s">
        <v>245</v>
      </c>
      <c r="D7" s="661" t="s">
        <v>429</v>
      </c>
      <c r="E7" s="662" t="s">
        <v>105</v>
      </c>
      <c r="F7" s="660" t="s">
        <v>245</v>
      </c>
      <c r="G7" s="660" t="s">
        <v>429</v>
      </c>
    </row>
    <row r="8" spans="1:12" ht="15" customHeight="1">
      <c r="A8" s="666" t="s">
        <v>96</v>
      </c>
      <c r="B8" s="667">
        <f>(B10+B11+B12+B13+B14+B18+B19+B20+B21+B22+B23+B24+B25+B26+B27+B28+B29+B30+B33+B34+B35+B36+B37+B38)</f>
        <v>940647</v>
      </c>
      <c r="C8" s="668">
        <f>(C10+C11+C12+C13+C14+C18+C19+C20+C21+C22+C23+C24+C25+C26+C27+C28+C29+C30+C33+C34+C35+C36+C37+C38)</f>
        <v>184123.94099999993</v>
      </c>
      <c r="D8" s="669">
        <f>(C8/B8)*1000</f>
        <v>195.74180431128778</v>
      </c>
      <c r="E8" s="667">
        <f>(E10+E11+E12+E13+E14+E18+E19+E20+E21+E22+E23+E24+E25+E26+E27+E28+E29+E30+E33+E34+E35+E36+E37+E38)</f>
        <v>967343</v>
      </c>
      <c r="F8" s="668">
        <f>(F10+F11+F12+F13+F14+F18+F19+F20+F21+F22+F23+F24+F25+F26+F27+F28+F29+F30+F33+F34+F35+F36+F37+F38)</f>
        <v>187691.01999999996</v>
      </c>
      <c r="G8" s="669">
        <f>(F8/E8)*1000</f>
        <v>194.02737188360277</v>
      </c>
      <c r="I8" s="148"/>
      <c r="J8" s="148"/>
    </row>
    <row r="9" spans="1:12" ht="3" customHeight="1">
      <c r="B9" s="273"/>
      <c r="C9" s="489"/>
      <c r="D9" s="277"/>
      <c r="E9" s="273"/>
      <c r="F9" s="489"/>
      <c r="G9" s="277"/>
    </row>
    <row r="10" spans="1:12" ht="13.25" customHeight="1">
      <c r="A10" s="144" t="s">
        <v>21</v>
      </c>
      <c r="B10" s="273">
        <v>3001</v>
      </c>
      <c r="C10" s="273">
        <v>683.89400000000001</v>
      </c>
      <c r="D10" s="277">
        <f t="shared" ref="D10:D34" si="0">(C10/B10)*1000</f>
        <v>227.88870376541155</v>
      </c>
      <c r="E10" s="273">
        <v>1607</v>
      </c>
      <c r="F10" s="273">
        <v>360.37</v>
      </c>
      <c r="G10" s="277">
        <f t="shared" ref="G10:G34" si="1">(F10/E10)*1000</f>
        <v>224.25015556938394</v>
      </c>
      <c r="I10" s="148"/>
      <c r="J10" s="148"/>
      <c r="L10" s="148"/>
    </row>
    <row r="11" spans="1:12" ht="13.25" customHeight="1">
      <c r="A11" s="144" t="s">
        <v>22</v>
      </c>
      <c r="B11" s="273">
        <v>25299</v>
      </c>
      <c r="C11" s="273">
        <v>4926.8500000000004</v>
      </c>
      <c r="D11" s="277">
        <f t="shared" si="0"/>
        <v>194.74485157516108</v>
      </c>
      <c r="E11" s="273">
        <v>26089</v>
      </c>
      <c r="F11" s="273">
        <v>5068.027</v>
      </c>
      <c r="G11" s="277">
        <f t="shared" si="1"/>
        <v>194.25915136647629</v>
      </c>
      <c r="I11" s="148"/>
      <c r="J11" s="148"/>
      <c r="L11" s="148"/>
    </row>
    <row r="12" spans="1:12" ht="13.25" customHeight="1">
      <c r="A12" s="144" t="s">
        <v>23</v>
      </c>
      <c r="B12" s="273">
        <v>40160</v>
      </c>
      <c r="C12" s="273">
        <v>5974.826</v>
      </c>
      <c r="D12" s="277">
        <f t="shared" si="0"/>
        <v>148.77554780876494</v>
      </c>
      <c r="E12" s="273">
        <v>35334</v>
      </c>
      <c r="F12" s="273">
        <v>5268.5150000000003</v>
      </c>
      <c r="G12" s="277">
        <f t="shared" si="1"/>
        <v>149.1061017716647</v>
      </c>
      <c r="I12" s="148"/>
      <c r="J12" s="148"/>
      <c r="L12" s="148"/>
    </row>
    <row r="13" spans="1:12" ht="13.25" customHeight="1">
      <c r="A13" s="138" t="s">
        <v>24</v>
      </c>
      <c r="B13" s="273">
        <v>45223</v>
      </c>
      <c r="C13" s="273">
        <v>8216.0499999999993</v>
      </c>
      <c r="D13" s="277">
        <f t="shared" si="0"/>
        <v>181.67857063883423</v>
      </c>
      <c r="E13" s="273">
        <v>46602</v>
      </c>
      <c r="F13" s="273">
        <v>8409.3089999999993</v>
      </c>
      <c r="G13" s="277">
        <f t="shared" si="1"/>
        <v>180.44953006308739</v>
      </c>
      <c r="I13" s="148"/>
      <c r="J13" s="148"/>
      <c r="L13" s="148"/>
    </row>
    <row r="14" spans="1:12" ht="13.25" customHeight="1">
      <c r="A14" s="138" t="s">
        <v>25</v>
      </c>
      <c r="B14" s="273">
        <v>37615</v>
      </c>
      <c r="C14" s="273">
        <v>7161.741</v>
      </c>
      <c r="D14" s="277">
        <f t="shared" si="0"/>
        <v>190.39587930346934</v>
      </c>
      <c r="E14" s="273">
        <v>38902</v>
      </c>
      <c r="F14" s="273">
        <v>7098.3410000000003</v>
      </c>
      <c r="G14" s="277">
        <f t="shared" si="1"/>
        <v>182.46725104107759</v>
      </c>
      <c r="I14" s="148"/>
      <c r="J14" s="148"/>
      <c r="L14" s="148"/>
    </row>
    <row r="15" spans="1:12" ht="13.25" customHeight="1">
      <c r="A15" s="143" t="s">
        <v>26</v>
      </c>
      <c r="B15" s="273">
        <v>14233</v>
      </c>
      <c r="C15" s="273">
        <v>3374.502</v>
      </c>
      <c r="D15" s="277">
        <f t="shared" si="0"/>
        <v>237.09000210777771</v>
      </c>
      <c r="E15" s="273">
        <v>13002</v>
      </c>
      <c r="F15" s="273">
        <v>3024.538</v>
      </c>
      <c r="G15" s="277">
        <f t="shared" si="1"/>
        <v>232.62098138747885</v>
      </c>
      <c r="I15" s="148"/>
      <c r="J15" s="148"/>
      <c r="L15" s="148"/>
    </row>
    <row r="16" spans="1:12" ht="13.25" customHeight="1">
      <c r="A16" s="143" t="s">
        <v>27</v>
      </c>
      <c r="B16" s="273">
        <v>10794</v>
      </c>
      <c r="C16" s="273">
        <v>1738.922</v>
      </c>
      <c r="D16" s="277">
        <f t="shared" si="0"/>
        <v>161.10079673892903</v>
      </c>
      <c r="E16" s="273">
        <v>11118</v>
      </c>
      <c r="F16" s="273">
        <v>1767.518</v>
      </c>
      <c r="G16" s="277">
        <f t="shared" si="1"/>
        <v>158.97805360676381</v>
      </c>
      <c r="I16" s="148"/>
      <c r="J16" s="148"/>
      <c r="L16" s="148"/>
    </row>
    <row r="17" spans="1:12" ht="13.25" customHeight="1">
      <c r="A17" s="143" t="s">
        <v>28</v>
      </c>
      <c r="B17" s="273">
        <v>12588</v>
      </c>
      <c r="C17" s="273">
        <v>2048.317</v>
      </c>
      <c r="D17" s="277">
        <f t="shared" si="0"/>
        <v>162.71981251986017</v>
      </c>
      <c r="E17" s="273">
        <v>14782</v>
      </c>
      <c r="F17" s="273">
        <v>2306.2849999999999</v>
      </c>
      <c r="G17" s="277">
        <f t="shared" si="1"/>
        <v>156.01982140441075</v>
      </c>
      <c r="I17" s="148"/>
      <c r="J17" s="148"/>
      <c r="L17" s="148"/>
    </row>
    <row r="18" spans="1:12" ht="13.25" customHeight="1">
      <c r="A18" s="144" t="s">
        <v>29</v>
      </c>
      <c r="B18" s="273">
        <v>18750</v>
      </c>
      <c r="C18" s="273">
        <v>2345.779</v>
      </c>
      <c r="D18" s="277">
        <f t="shared" si="0"/>
        <v>125.10821333333332</v>
      </c>
      <c r="E18" s="273">
        <v>16605</v>
      </c>
      <c r="F18" s="273">
        <v>1999.598</v>
      </c>
      <c r="G18" s="277">
        <f t="shared" si="1"/>
        <v>120.42143932550437</v>
      </c>
      <c r="I18" s="148"/>
      <c r="J18" s="148"/>
      <c r="L18" s="148"/>
    </row>
    <row r="19" spans="1:12" ht="13.25" customHeight="1">
      <c r="A19" s="138" t="s">
        <v>30</v>
      </c>
      <c r="B19" s="273">
        <v>29254</v>
      </c>
      <c r="C19" s="273">
        <v>3703.319</v>
      </c>
      <c r="D19" s="277">
        <f t="shared" si="0"/>
        <v>126.59188487044507</v>
      </c>
      <c r="E19" s="273">
        <v>29373</v>
      </c>
      <c r="F19" s="273">
        <v>3770.1759999999999</v>
      </c>
      <c r="G19" s="277">
        <f t="shared" si="1"/>
        <v>128.35515609573417</v>
      </c>
      <c r="I19" s="148"/>
      <c r="J19" s="148"/>
      <c r="L19" s="148"/>
    </row>
    <row r="20" spans="1:12" ht="13.25" customHeight="1">
      <c r="A20" s="138" t="s">
        <v>31</v>
      </c>
      <c r="B20" s="273">
        <v>349901</v>
      </c>
      <c r="C20" s="273">
        <v>85557.036999999997</v>
      </c>
      <c r="D20" s="277">
        <f t="shared" si="0"/>
        <v>244.5178407606723</v>
      </c>
      <c r="E20" s="273">
        <v>351333</v>
      </c>
      <c r="F20" s="273">
        <v>84369.808000000005</v>
      </c>
      <c r="G20" s="277">
        <f t="shared" si="1"/>
        <v>240.14199633965501</v>
      </c>
      <c r="I20" s="148"/>
      <c r="J20" s="148"/>
      <c r="L20" s="148"/>
    </row>
    <row r="21" spans="1:12" ht="13.25" customHeight="1">
      <c r="A21" s="144" t="s">
        <v>32</v>
      </c>
      <c r="B21" s="273">
        <v>28191</v>
      </c>
      <c r="C21" s="273">
        <v>4998.4139999999998</v>
      </c>
      <c r="D21" s="277">
        <f t="shared" si="0"/>
        <v>177.30531020538467</v>
      </c>
      <c r="E21" s="273">
        <v>19862</v>
      </c>
      <c r="F21" s="273">
        <v>3283.2150000000001</v>
      </c>
      <c r="G21" s="277">
        <f t="shared" si="1"/>
        <v>165.30132917128185</v>
      </c>
      <c r="I21" s="148"/>
      <c r="J21" s="148"/>
      <c r="L21" s="148"/>
    </row>
    <row r="22" spans="1:12" ht="13.25" customHeight="1">
      <c r="A22" s="144" t="s">
        <v>33</v>
      </c>
      <c r="B22" s="273">
        <v>18513</v>
      </c>
      <c r="C22" s="273">
        <v>2740.7150000000001</v>
      </c>
      <c r="D22" s="277">
        <f t="shared" si="0"/>
        <v>148.04272673256631</v>
      </c>
      <c r="E22" s="273">
        <v>20132</v>
      </c>
      <c r="F22" s="273">
        <v>2926.335</v>
      </c>
      <c r="G22" s="277">
        <f t="shared" si="1"/>
        <v>145.35739121796146</v>
      </c>
      <c r="I22" s="148"/>
      <c r="J22" s="148"/>
      <c r="L22" s="148"/>
    </row>
    <row r="23" spans="1:12" ht="13.25" customHeight="1">
      <c r="A23" s="144" t="s">
        <v>34</v>
      </c>
      <c r="B23" s="273">
        <v>7588</v>
      </c>
      <c r="C23" s="273">
        <v>1629.0740000000001</v>
      </c>
      <c r="D23" s="277">
        <f t="shared" si="0"/>
        <v>214.69082762256195</v>
      </c>
      <c r="E23" s="273">
        <v>5380</v>
      </c>
      <c r="F23" s="273">
        <v>1079.7049999999999</v>
      </c>
      <c r="G23" s="277">
        <f t="shared" si="1"/>
        <v>200.68866171003717</v>
      </c>
      <c r="I23" s="148"/>
      <c r="J23" s="148"/>
      <c r="L23" s="148"/>
    </row>
    <row r="24" spans="1:12" ht="13.25" customHeight="1">
      <c r="A24" s="144" t="s">
        <v>35</v>
      </c>
      <c r="B24" s="273">
        <v>11144</v>
      </c>
      <c r="C24" s="273">
        <v>1832.944</v>
      </c>
      <c r="D24" s="277">
        <f t="shared" si="0"/>
        <v>164.4781048097631</v>
      </c>
      <c r="E24" s="273">
        <v>11182</v>
      </c>
      <c r="F24" s="273">
        <v>1852.4870000000001</v>
      </c>
      <c r="G24" s="277">
        <f t="shared" si="1"/>
        <v>165.6668753353604</v>
      </c>
      <c r="I24" s="148"/>
      <c r="J24" s="148"/>
      <c r="L24" s="148"/>
    </row>
    <row r="25" spans="1:12" ht="13.25" customHeight="1">
      <c r="A25" s="144" t="s">
        <v>36</v>
      </c>
      <c r="B25" s="273">
        <v>955</v>
      </c>
      <c r="C25" s="273">
        <v>125.297</v>
      </c>
      <c r="D25" s="277">
        <f t="shared" si="0"/>
        <v>131.20104712041885</v>
      </c>
      <c r="E25" s="273">
        <v>994</v>
      </c>
      <c r="F25" s="273">
        <v>130.934</v>
      </c>
      <c r="G25" s="277">
        <f t="shared" si="1"/>
        <v>131.72434607645874</v>
      </c>
      <c r="I25" s="148"/>
      <c r="J25" s="148"/>
      <c r="L25" s="148"/>
    </row>
    <row r="26" spans="1:12" ht="13.25" customHeight="1">
      <c r="A26" s="138" t="s">
        <v>37</v>
      </c>
      <c r="B26" s="273">
        <v>112774</v>
      </c>
      <c r="C26" s="273">
        <v>20682.785</v>
      </c>
      <c r="D26" s="277">
        <f t="shared" si="0"/>
        <v>183.40029616755635</v>
      </c>
      <c r="E26" s="273">
        <v>124702</v>
      </c>
      <c r="F26" s="273">
        <v>22876.605</v>
      </c>
      <c r="G26" s="277">
        <f t="shared" si="1"/>
        <v>183.45018524161603</v>
      </c>
      <c r="I26" s="148"/>
      <c r="J26" s="148"/>
      <c r="L26" s="148"/>
    </row>
    <row r="27" spans="1:12" ht="13.25" customHeight="1">
      <c r="A27" s="144" t="s">
        <v>38</v>
      </c>
      <c r="B27" s="273">
        <v>7992</v>
      </c>
      <c r="C27" s="273">
        <v>1890.4949999999999</v>
      </c>
      <c r="D27" s="277">
        <f t="shared" si="0"/>
        <v>236.5484234234234</v>
      </c>
      <c r="E27" s="273">
        <v>8343</v>
      </c>
      <c r="F27" s="273">
        <v>1962.451</v>
      </c>
      <c r="G27" s="277">
        <f t="shared" si="1"/>
        <v>235.22126333453195</v>
      </c>
      <c r="I27" s="148"/>
      <c r="J27" s="148"/>
      <c r="L27" s="148"/>
    </row>
    <row r="28" spans="1:12" ht="13.25" customHeight="1">
      <c r="A28" s="144" t="s">
        <v>39</v>
      </c>
      <c r="B28" s="273">
        <v>12011</v>
      </c>
      <c r="C28" s="273">
        <v>2750.547</v>
      </c>
      <c r="D28" s="277">
        <f t="shared" si="0"/>
        <v>229.00233119640328</v>
      </c>
      <c r="E28" s="273">
        <v>13446</v>
      </c>
      <c r="F28" s="273">
        <v>2945.402</v>
      </c>
      <c r="G28" s="277">
        <f t="shared" si="1"/>
        <v>219.05414249590956</v>
      </c>
      <c r="I28" s="148"/>
      <c r="J28" s="148"/>
      <c r="L28" s="148"/>
    </row>
    <row r="29" spans="1:12" ht="13.25" customHeight="1">
      <c r="A29" s="144" t="s">
        <v>40</v>
      </c>
      <c r="B29" s="273">
        <v>37754</v>
      </c>
      <c r="C29" s="273">
        <v>4936.6970000000001</v>
      </c>
      <c r="D29" s="277">
        <f t="shared" si="0"/>
        <v>130.75957514435558</v>
      </c>
      <c r="E29" s="273">
        <v>38707</v>
      </c>
      <c r="F29" s="273">
        <v>5890.95</v>
      </c>
      <c r="G29" s="277">
        <f t="shared" si="1"/>
        <v>152.19340171028495</v>
      </c>
      <c r="I29" s="148"/>
      <c r="J29" s="148"/>
      <c r="L29" s="148"/>
    </row>
    <row r="30" spans="1:12" ht="13.25" customHeight="1">
      <c r="A30" s="138" t="s">
        <v>41</v>
      </c>
      <c r="B30" s="273">
        <v>17807</v>
      </c>
      <c r="C30" s="273">
        <v>2058.2289999999998</v>
      </c>
      <c r="D30" s="277">
        <f t="shared" si="0"/>
        <v>115.58538776885493</v>
      </c>
      <c r="E30" s="273">
        <v>16985</v>
      </c>
      <c r="F30" s="273">
        <v>1973.164</v>
      </c>
      <c r="G30" s="277">
        <f t="shared" si="1"/>
        <v>116.17097438916691</v>
      </c>
      <c r="I30" s="148"/>
      <c r="J30" s="148"/>
      <c r="L30" s="148"/>
    </row>
    <row r="31" spans="1:12" ht="13.25" customHeight="1">
      <c r="A31" s="143" t="s">
        <v>42</v>
      </c>
      <c r="B31" s="273">
        <v>8297</v>
      </c>
      <c r="C31" s="273">
        <v>945.96799999999996</v>
      </c>
      <c r="D31" s="277">
        <f t="shared" si="0"/>
        <v>114.01325780402554</v>
      </c>
      <c r="E31" s="273">
        <v>7805</v>
      </c>
      <c r="F31" s="273">
        <v>896.553</v>
      </c>
      <c r="G31" s="277">
        <f t="shared" si="1"/>
        <v>114.86905829596412</v>
      </c>
      <c r="I31" s="148"/>
      <c r="J31" s="148"/>
      <c r="L31" s="148"/>
    </row>
    <row r="32" spans="1:12" ht="13.25" customHeight="1">
      <c r="A32" s="143" t="s">
        <v>43</v>
      </c>
      <c r="B32" s="273">
        <v>9510</v>
      </c>
      <c r="C32" s="273">
        <v>1112.261</v>
      </c>
      <c r="D32" s="277">
        <f t="shared" si="0"/>
        <v>116.95699263932701</v>
      </c>
      <c r="E32" s="273">
        <v>9180</v>
      </c>
      <c r="F32" s="273">
        <v>1076.6110000000001</v>
      </c>
      <c r="G32" s="277">
        <f t="shared" si="1"/>
        <v>117.27788671023966</v>
      </c>
      <c r="I32" s="148"/>
      <c r="J32" s="148"/>
      <c r="L32" s="148"/>
    </row>
    <row r="33" spans="1:12" ht="13.25" customHeight="1">
      <c r="A33" s="144" t="s">
        <v>44</v>
      </c>
      <c r="B33" s="489">
        <v>56847</v>
      </c>
      <c r="C33" s="489">
        <v>9993.7360000000008</v>
      </c>
      <c r="D33" s="277">
        <f t="shared" si="0"/>
        <v>175.80058754199871</v>
      </c>
      <c r="E33" s="489">
        <v>74995</v>
      </c>
      <c r="F33" s="489">
        <v>13282.465</v>
      </c>
      <c r="G33" s="277">
        <f t="shared" si="1"/>
        <v>177.1113407560504</v>
      </c>
      <c r="I33" s="148"/>
      <c r="J33" s="148"/>
      <c r="L33" s="148"/>
    </row>
    <row r="34" spans="1:12" ht="13.25" customHeight="1">
      <c r="A34" s="144" t="s">
        <v>45</v>
      </c>
      <c r="B34" s="273">
        <v>22265</v>
      </c>
      <c r="C34" s="273">
        <v>3054.1669999999999</v>
      </c>
      <c r="D34" s="277">
        <f t="shared" si="0"/>
        <v>137.17345609701326</v>
      </c>
      <c r="E34" s="273">
        <v>32124</v>
      </c>
      <c r="F34" s="273">
        <v>4636.5209999999997</v>
      </c>
      <c r="G34" s="277">
        <f t="shared" si="1"/>
        <v>144.3319947702652</v>
      </c>
      <c r="I34" s="148"/>
      <c r="J34" s="148"/>
      <c r="L34" s="148"/>
    </row>
    <row r="35" spans="1:12" ht="13.25" customHeight="1">
      <c r="A35" s="138" t="s">
        <v>46</v>
      </c>
      <c r="B35" s="273">
        <v>21716</v>
      </c>
      <c r="C35" s="273">
        <v>3103.0120000000002</v>
      </c>
      <c r="D35" s="277">
        <f>(C35/B35)*1000</f>
        <v>142.89058758519067</v>
      </c>
      <c r="E35" s="273">
        <v>19611</v>
      </c>
      <c r="F35" s="273">
        <v>2898.1689999999999</v>
      </c>
      <c r="G35" s="277">
        <f>(F35/E35)*1000</f>
        <v>147.78282596501964</v>
      </c>
      <c r="I35" s="148"/>
      <c r="J35" s="148"/>
      <c r="L35" s="148"/>
    </row>
    <row r="36" spans="1:12" ht="13.25" customHeight="1">
      <c r="A36" s="138" t="s">
        <v>47</v>
      </c>
      <c r="B36" s="273">
        <v>12822</v>
      </c>
      <c r="C36" s="273">
        <v>1908.2940000000001</v>
      </c>
      <c r="D36" s="277">
        <f>(C36/B36)*1000</f>
        <v>148.82966775854001</v>
      </c>
      <c r="E36" s="273">
        <v>11653</v>
      </c>
      <c r="F36" s="273">
        <v>1817.7919999999999</v>
      </c>
      <c r="G36" s="277">
        <f>(F36/E36)*1000</f>
        <v>155.99347807431562</v>
      </c>
      <c r="I36" s="148"/>
      <c r="J36" s="148"/>
      <c r="L36" s="148"/>
    </row>
    <row r="37" spans="1:12" ht="13.25" customHeight="1">
      <c r="A37" s="138" t="s">
        <v>48</v>
      </c>
      <c r="B37" s="273">
        <v>9634</v>
      </c>
      <c r="C37" s="273">
        <v>1669.259</v>
      </c>
      <c r="D37" s="277">
        <f>(C37/B37)*1000</f>
        <v>173.26749013909074</v>
      </c>
      <c r="E37" s="273">
        <v>9032</v>
      </c>
      <c r="F37" s="273">
        <v>1546.9570000000001</v>
      </c>
      <c r="G37" s="277">
        <f>(F37/E37)*1000</f>
        <v>171.2751328609389</v>
      </c>
      <c r="I37" s="148"/>
      <c r="J37" s="148"/>
      <c r="L37" s="148"/>
    </row>
    <row r="38" spans="1:12" ht="13.25" customHeight="1" thickBot="1">
      <c r="A38" s="149" t="s">
        <v>49</v>
      </c>
      <c r="B38" s="490">
        <v>13431</v>
      </c>
      <c r="C38" s="490">
        <v>2180.7800000000002</v>
      </c>
      <c r="D38" s="276" t="s">
        <v>246</v>
      </c>
      <c r="E38" s="490">
        <v>14350</v>
      </c>
      <c r="F38" s="490">
        <v>2243.7240000000002</v>
      </c>
      <c r="G38" s="462">
        <f>F38/E38*1000</f>
        <v>156.35707317073172</v>
      </c>
      <c r="I38" s="148"/>
      <c r="J38" s="148"/>
      <c r="L38" s="148"/>
    </row>
    <row r="39" spans="1:12" ht="9" customHeight="1">
      <c r="A39" s="778" t="s">
        <v>402</v>
      </c>
      <c r="B39" s="812"/>
      <c r="C39" s="812"/>
      <c r="D39" s="812"/>
      <c r="E39" s="812"/>
      <c r="F39" s="256"/>
      <c r="G39" s="279"/>
      <c r="H39" s="256"/>
      <c r="I39" s="270"/>
    </row>
    <row r="40" spans="1:12" ht="9" customHeight="1">
      <c r="A40" s="778" t="s">
        <v>359</v>
      </c>
      <c r="B40" s="812"/>
      <c r="C40" s="812"/>
      <c r="D40" s="812"/>
      <c r="E40" s="812"/>
      <c r="F40" s="256"/>
      <c r="G40" s="256"/>
      <c r="H40" s="256"/>
      <c r="I40" s="270"/>
    </row>
    <row r="41" spans="1:12" ht="9" customHeight="1">
      <c r="A41" s="780" t="s">
        <v>358</v>
      </c>
      <c r="B41" s="812"/>
      <c r="C41" s="812"/>
      <c r="D41" s="812"/>
      <c r="E41" s="812"/>
      <c r="F41" s="256"/>
      <c r="G41" s="256"/>
      <c r="H41" s="256"/>
      <c r="I41" s="270"/>
    </row>
    <row r="42" spans="1:12" ht="13.25" customHeight="1">
      <c r="A42" s="11"/>
      <c r="B42" s="129"/>
      <c r="C42" s="129"/>
      <c r="D42" s="129"/>
      <c r="E42" s="129"/>
      <c r="F42" s="129"/>
      <c r="G42" s="129"/>
      <c r="H42" s="129"/>
    </row>
    <row r="43" spans="1:12" ht="13.25" customHeight="1">
      <c r="A43" s="73"/>
      <c r="B43" s="129"/>
      <c r="C43" s="129"/>
      <c r="D43" s="129"/>
      <c r="E43" s="129"/>
      <c r="F43" s="129"/>
      <c r="G43" s="129"/>
      <c r="H43" s="129"/>
    </row>
    <row r="44" spans="1:12" ht="13.25" customHeight="1">
      <c r="A44" s="73"/>
      <c r="B44" s="129"/>
      <c r="C44" s="129"/>
      <c r="D44" s="129"/>
      <c r="E44" s="129"/>
      <c r="F44" s="129"/>
      <c r="G44" s="129"/>
      <c r="H44" s="129"/>
    </row>
    <row r="45" spans="1:12" ht="13.25" customHeight="1">
      <c r="A45" s="24"/>
      <c r="B45" s="129"/>
      <c r="C45" s="129"/>
      <c r="D45" s="129"/>
      <c r="E45" s="129"/>
      <c r="F45" s="129"/>
      <c r="G45" s="129"/>
      <c r="H45" s="129"/>
    </row>
    <row r="46" spans="1:12" ht="13.25" customHeight="1">
      <c r="A46" s="33"/>
      <c r="B46" s="129"/>
      <c r="C46" s="129"/>
      <c r="D46" s="129"/>
      <c r="E46" s="129"/>
      <c r="F46" s="129"/>
      <c r="G46" s="129"/>
      <c r="H46" s="129"/>
    </row>
    <row r="47" spans="1:12" ht="13.25" customHeight="1">
      <c r="A47" s="24"/>
      <c r="B47" s="129"/>
      <c r="C47" s="129"/>
      <c r="D47" s="129"/>
      <c r="E47" s="129"/>
      <c r="F47" s="129"/>
      <c r="G47" s="129"/>
      <c r="H47" s="129"/>
    </row>
    <row r="48" spans="1:12" ht="13.25" customHeight="1">
      <c r="A48" s="73"/>
      <c r="B48" s="129"/>
      <c r="C48" s="129"/>
      <c r="D48" s="129"/>
      <c r="E48" s="129"/>
      <c r="F48" s="129"/>
      <c r="G48" s="129"/>
      <c r="H48" s="129"/>
    </row>
    <row r="49" spans="1:8" ht="13.25" customHeight="1">
      <c r="A49" s="73"/>
      <c r="B49" s="129"/>
      <c r="C49" s="129"/>
      <c r="D49" s="129"/>
      <c r="E49" s="129"/>
      <c r="F49" s="129"/>
      <c r="G49" s="129"/>
      <c r="H49" s="129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 r:id="rId1"/>
  <headerFooter scaleWithDoc="0"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transitionEvaluation="1" codeName="Hoja92">
    <tabColor theme="9" tint="0.59999389629810485"/>
  </sheetPr>
  <dimension ref="A1:DW55"/>
  <sheetViews>
    <sheetView showGridLines="0" topLeftCell="B12" zoomScaleNormal="100" workbookViewId="0">
      <selection activeCell="L6" sqref="L5:L6"/>
    </sheetView>
  </sheetViews>
  <sheetFormatPr baseColWidth="10" defaultColWidth="7" defaultRowHeight="13.25" customHeight="1"/>
  <cols>
    <col min="1" max="1" width="12" style="11" customWidth="1"/>
    <col min="2" max="14" width="9" style="11" customWidth="1"/>
    <col min="15" max="15" width="12" style="11" customWidth="1"/>
    <col min="16" max="28" width="9" style="11" customWidth="1"/>
    <col min="29" max="29" width="13.59765625" style="11" customWidth="1"/>
    <col min="30" max="42" width="9" style="11" customWidth="1"/>
    <col min="43" max="43" width="12" style="11" customWidth="1"/>
    <col min="44" max="56" width="9" style="11" customWidth="1"/>
    <col min="57" max="57" width="12" style="11" customWidth="1"/>
    <col min="58" max="70" width="9" style="11" customWidth="1"/>
    <col min="71" max="71" width="13.3984375" style="11" customWidth="1"/>
    <col min="72" max="84" width="9" style="11" customWidth="1"/>
    <col min="85" max="85" width="12" style="11" customWidth="1"/>
    <col min="86" max="98" width="9" style="11" customWidth="1"/>
    <col min="99" max="99" width="12" style="11" customWidth="1"/>
    <col min="100" max="112" width="9" style="11" customWidth="1"/>
    <col min="113" max="113" width="13.19921875" style="11" customWidth="1"/>
    <col min="114" max="126" width="9" style="11" customWidth="1"/>
    <col min="127" max="16384" width="7" style="11"/>
  </cols>
  <sheetData>
    <row r="1" spans="1:126" ht="13.25" customHeight="1"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DI1" s="60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</row>
    <row r="2" spans="1:126" s="283" customFormat="1" ht="15" customHeight="1">
      <c r="A2" s="282" t="s">
        <v>626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 t="s">
        <v>627</v>
      </c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 t="s">
        <v>628</v>
      </c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 t="s">
        <v>629</v>
      </c>
      <c r="AR2" s="282"/>
      <c r="AS2" s="282"/>
      <c r="AT2" s="282"/>
      <c r="AU2" s="282"/>
      <c r="AV2" s="282"/>
      <c r="AW2" s="282"/>
      <c r="AX2" s="282"/>
      <c r="AY2" s="282"/>
      <c r="AZ2" s="282"/>
      <c r="BA2" s="282"/>
      <c r="BB2" s="282"/>
      <c r="BC2" s="282"/>
      <c r="BD2" s="282"/>
      <c r="BE2" s="282" t="s">
        <v>630</v>
      </c>
      <c r="BF2" s="282"/>
      <c r="BG2" s="282"/>
      <c r="BH2" s="282"/>
      <c r="BI2" s="282"/>
      <c r="BJ2" s="282"/>
      <c r="BK2" s="282"/>
      <c r="BL2" s="282"/>
      <c r="BM2" s="282"/>
      <c r="BN2" s="282"/>
      <c r="BO2" s="282"/>
      <c r="BP2" s="282"/>
      <c r="BQ2" s="282"/>
      <c r="BR2" s="282"/>
      <c r="BS2" s="282" t="s">
        <v>631</v>
      </c>
      <c r="BT2" s="282"/>
      <c r="BU2" s="282"/>
      <c r="BV2" s="282"/>
      <c r="BW2" s="282"/>
      <c r="BX2" s="282"/>
      <c r="BY2" s="282"/>
      <c r="BZ2" s="282"/>
      <c r="CA2" s="282"/>
      <c r="CB2" s="282"/>
      <c r="CC2" s="282"/>
      <c r="CD2" s="282"/>
      <c r="CE2" s="282"/>
      <c r="CF2" s="282"/>
      <c r="CG2" s="282" t="s">
        <v>632</v>
      </c>
      <c r="CH2" s="282"/>
      <c r="CI2" s="282"/>
      <c r="CJ2" s="282"/>
      <c r="CK2" s="282"/>
      <c r="CL2" s="282"/>
      <c r="CM2" s="282"/>
      <c r="CN2" s="282"/>
      <c r="CO2" s="282"/>
      <c r="CP2" s="282"/>
      <c r="CQ2" s="282"/>
      <c r="CR2" s="282"/>
      <c r="CS2" s="282"/>
      <c r="CT2" s="282"/>
      <c r="CU2" s="282" t="s">
        <v>633</v>
      </c>
      <c r="CV2" s="282"/>
      <c r="CW2" s="282"/>
      <c r="CX2" s="282"/>
      <c r="CY2" s="282"/>
      <c r="CZ2" s="282"/>
      <c r="DA2" s="282"/>
      <c r="DB2" s="282"/>
      <c r="DC2" s="282"/>
      <c r="DD2" s="282"/>
      <c r="DE2" s="282"/>
      <c r="DF2" s="282"/>
      <c r="DG2" s="282"/>
      <c r="DH2" s="282"/>
      <c r="DI2" s="282" t="s">
        <v>634</v>
      </c>
      <c r="DJ2" s="282"/>
      <c r="DK2" s="282"/>
      <c r="DL2" s="282"/>
      <c r="DM2" s="282"/>
      <c r="DN2" s="282"/>
      <c r="DO2" s="282"/>
      <c r="DP2" s="282"/>
      <c r="DQ2" s="282"/>
      <c r="DR2" s="282"/>
      <c r="DS2" s="282"/>
      <c r="DT2" s="282"/>
      <c r="DU2" s="282"/>
      <c r="DV2" s="282"/>
    </row>
    <row r="3" spans="1:126" s="285" customFormat="1" ht="13.25" customHeight="1">
      <c r="A3" s="284" t="s">
        <v>238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 t="s">
        <v>236</v>
      </c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 t="s">
        <v>430</v>
      </c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 t="s">
        <v>238</v>
      </c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 t="s">
        <v>236</v>
      </c>
      <c r="BF3" s="284"/>
      <c r="BG3" s="284"/>
      <c r="BH3" s="284"/>
      <c r="BI3" s="284"/>
      <c r="BJ3" s="284"/>
      <c r="BK3" s="284"/>
      <c r="BL3" s="284"/>
      <c r="BM3" s="284"/>
      <c r="BN3" s="284"/>
      <c r="BO3" s="284"/>
      <c r="BP3" s="284"/>
      <c r="BQ3" s="284"/>
      <c r="BR3" s="284"/>
      <c r="BS3" s="284" t="s">
        <v>430</v>
      </c>
      <c r="BT3" s="284"/>
      <c r="BU3" s="284"/>
      <c r="BV3" s="284"/>
      <c r="BW3" s="284"/>
      <c r="BX3" s="284"/>
      <c r="BY3" s="284"/>
      <c r="BZ3" s="284"/>
      <c r="CA3" s="284"/>
      <c r="CB3" s="284"/>
      <c r="CC3" s="284"/>
      <c r="CD3" s="284"/>
      <c r="CE3" s="284"/>
      <c r="CF3" s="284"/>
      <c r="CG3" s="284" t="s">
        <v>238</v>
      </c>
      <c r="CH3" s="284"/>
      <c r="CI3" s="284"/>
      <c r="CJ3" s="284"/>
      <c r="CK3" s="284"/>
      <c r="CL3" s="284"/>
      <c r="CM3" s="284"/>
      <c r="CN3" s="284"/>
      <c r="CO3" s="284"/>
      <c r="CP3" s="284"/>
      <c r="CQ3" s="284"/>
      <c r="CR3" s="284"/>
      <c r="CS3" s="284"/>
      <c r="CT3" s="284"/>
      <c r="CU3" s="284" t="s">
        <v>362</v>
      </c>
      <c r="CV3" s="284"/>
      <c r="CW3" s="284"/>
      <c r="CX3" s="284"/>
      <c r="CY3" s="284"/>
      <c r="CZ3" s="284"/>
      <c r="DA3" s="284"/>
      <c r="DB3" s="284"/>
      <c r="DC3" s="284"/>
      <c r="DD3" s="284"/>
      <c r="DE3" s="284"/>
      <c r="DF3" s="284"/>
      <c r="DG3" s="284"/>
      <c r="DH3" s="284"/>
      <c r="DI3" s="284" t="s">
        <v>430</v>
      </c>
      <c r="DJ3" s="284"/>
      <c r="DK3" s="284"/>
      <c r="DL3" s="284"/>
      <c r="DM3" s="284"/>
      <c r="DN3" s="284"/>
      <c r="DO3" s="284"/>
      <c r="DP3" s="284"/>
      <c r="DQ3" s="284"/>
      <c r="DR3" s="284"/>
      <c r="DS3" s="284"/>
      <c r="DT3" s="284"/>
      <c r="DU3" s="284"/>
      <c r="DV3" s="284"/>
    </row>
    <row r="4" spans="1:126" ht="4.25" customHeight="1" thickBot="1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5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5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5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</row>
    <row r="5" spans="1:126" s="27" customFormat="1" ht="15" customHeight="1">
      <c r="A5" s="672" t="s">
        <v>18</v>
      </c>
      <c r="B5" s="673" t="s">
        <v>106</v>
      </c>
      <c r="C5" s="673" t="s">
        <v>55</v>
      </c>
      <c r="D5" s="673" t="s">
        <v>56</v>
      </c>
      <c r="E5" s="673" t="s">
        <v>57</v>
      </c>
      <c r="F5" s="673" t="s">
        <v>58</v>
      </c>
      <c r="G5" s="673" t="s">
        <v>59</v>
      </c>
      <c r="H5" s="673" t="s">
        <v>60</v>
      </c>
      <c r="I5" s="673" t="s">
        <v>61</v>
      </c>
      <c r="J5" s="673" t="s">
        <v>62</v>
      </c>
      <c r="K5" s="673" t="s">
        <v>63</v>
      </c>
      <c r="L5" s="673" t="s">
        <v>64</v>
      </c>
      <c r="M5" s="673" t="s">
        <v>65</v>
      </c>
      <c r="N5" s="673" t="s">
        <v>66</v>
      </c>
      <c r="O5" s="672" t="s">
        <v>18</v>
      </c>
      <c r="P5" s="673" t="s">
        <v>106</v>
      </c>
      <c r="Q5" s="673" t="s">
        <v>55</v>
      </c>
      <c r="R5" s="673" t="s">
        <v>56</v>
      </c>
      <c r="S5" s="673" t="s">
        <v>57</v>
      </c>
      <c r="T5" s="673" t="s">
        <v>58</v>
      </c>
      <c r="U5" s="673" t="s">
        <v>59</v>
      </c>
      <c r="V5" s="673" t="s">
        <v>60</v>
      </c>
      <c r="W5" s="673" t="s">
        <v>61</v>
      </c>
      <c r="X5" s="673" t="s">
        <v>62</v>
      </c>
      <c r="Y5" s="673" t="s">
        <v>63</v>
      </c>
      <c r="Z5" s="673" t="s">
        <v>64</v>
      </c>
      <c r="AA5" s="673" t="s">
        <v>65</v>
      </c>
      <c r="AB5" s="673" t="s">
        <v>66</v>
      </c>
      <c r="AC5" s="672" t="s">
        <v>18</v>
      </c>
      <c r="AD5" s="673" t="s">
        <v>106</v>
      </c>
      <c r="AE5" s="673" t="s">
        <v>55</v>
      </c>
      <c r="AF5" s="673" t="s">
        <v>56</v>
      </c>
      <c r="AG5" s="673" t="s">
        <v>57</v>
      </c>
      <c r="AH5" s="673" t="s">
        <v>58</v>
      </c>
      <c r="AI5" s="673" t="s">
        <v>59</v>
      </c>
      <c r="AJ5" s="673" t="s">
        <v>60</v>
      </c>
      <c r="AK5" s="673" t="s">
        <v>61</v>
      </c>
      <c r="AL5" s="673" t="s">
        <v>62</v>
      </c>
      <c r="AM5" s="673" t="s">
        <v>63</v>
      </c>
      <c r="AN5" s="673" t="s">
        <v>64</v>
      </c>
      <c r="AO5" s="673" t="s">
        <v>65</v>
      </c>
      <c r="AP5" s="673" t="s">
        <v>66</v>
      </c>
      <c r="AQ5" s="672" t="s">
        <v>18</v>
      </c>
      <c r="AR5" s="673" t="s">
        <v>106</v>
      </c>
      <c r="AS5" s="673" t="s">
        <v>55</v>
      </c>
      <c r="AT5" s="673" t="s">
        <v>56</v>
      </c>
      <c r="AU5" s="673" t="s">
        <v>57</v>
      </c>
      <c r="AV5" s="673" t="s">
        <v>58</v>
      </c>
      <c r="AW5" s="673" t="s">
        <v>59</v>
      </c>
      <c r="AX5" s="673" t="s">
        <v>60</v>
      </c>
      <c r="AY5" s="673" t="s">
        <v>61</v>
      </c>
      <c r="AZ5" s="673" t="s">
        <v>62</v>
      </c>
      <c r="BA5" s="673" t="s">
        <v>63</v>
      </c>
      <c r="BB5" s="673" t="s">
        <v>64</v>
      </c>
      <c r="BC5" s="673" t="s">
        <v>65</v>
      </c>
      <c r="BD5" s="673" t="s">
        <v>66</v>
      </c>
      <c r="BE5" s="672" t="s">
        <v>18</v>
      </c>
      <c r="BF5" s="673" t="s">
        <v>106</v>
      </c>
      <c r="BG5" s="673" t="s">
        <v>55</v>
      </c>
      <c r="BH5" s="673" t="s">
        <v>56</v>
      </c>
      <c r="BI5" s="673" t="s">
        <v>57</v>
      </c>
      <c r="BJ5" s="673" t="s">
        <v>58</v>
      </c>
      <c r="BK5" s="673" t="s">
        <v>59</v>
      </c>
      <c r="BL5" s="673" t="s">
        <v>60</v>
      </c>
      <c r="BM5" s="673" t="s">
        <v>61</v>
      </c>
      <c r="BN5" s="673" t="s">
        <v>62</v>
      </c>
      <c r="BO5" s="673" t="s">
        <v>63</v>
      </c>
      <c r="BP5" s="673" t="s">
        <v>64</v>
      </c>
      <c r="BQ5" s="673" t="s">
        <v>65</v>
      </c>
      <c r="BR5" s="673" t="s">
        <v>66</v>
      </c>
      <c r="BS5" s="672" t="s">
        <v>18</v>
      </c>
      <c r="BT5" s="673" t="s">
        <v>106</v>
      </c>
      <c r="BU5" s="673" t="s">
        <v>55</v>
      </c>
      <c r="BV5" s="673" t="s">
        <v>56</v>
      </c>
      <c r="BW5" s="673" t="s">
        <v>57</v>
      </c>
      <c r="BX5" s="673" t="s">
        <v>58</v>
      </c>
      <c r="BY5" s="673" t="s">
        <v>59</v>
      </c>
      <c r="BZ5" s="673" t="s">
        <v>60</v>
      </c>
      <c r="CA5" s="673" t="s">
        <v>61</v>
      </c>
      <c r="CB5" s="673" t="s">
        <v>62</v>
      </c>
      <c r="CC5" s="673" t="s">
        <v>63</v>
      </c>
      <c r="CD5" s="673" t="s">
        <v>64</v>
      </c>
      <c r="CE5" s="673" t="s">
        <v>65</v>
      </c>
      <c r="CF5" s="673" t="s">
        <v>66</v>
      </c>
      <c r="CG5" s="672" t="s">
        <v>18</v>
      </c>
      <c r="CH5" s="673" t="s">
        <v>106</v>
      </c>
      <c r="CI5" s="673" t="s">
        <v>55</v>
      </c>
      <c r="CJ5" s="673" t="s">
        <v>56</v>
      </c>
      <c r="CK5" s="673" t="s">
        <v>57</v>
      </c>
      <c r="CL5" s="673" t="s">
        <v>58</v>
      </c>
      <c r="CM5" s="673" t="s">
        <v>59</v>
      </c>
      <c r="CN5" s="673" t="s">
        <v>60</v>
      </c>
      <c r="CO5" s="673" t="s">
        <v>61</v>
      </c>
      <c r="CP5" s="673" t="s">
        <v>62</v>
      </c>
      <c r="CQ5" s="673" t="s">
        <v>63</v>
      </c>
      <c r="CR5" s="673" t="s">
        <v>64</v>
      </c>
      <c r="CS5" s="673" t="s">
        <v>65</v>
      </c>
      <c r="CT5" s="673" t="s">
        <v>66</v>
      </c>
      <c r="CU5" s="672" t="s">
        <v>18</v>
      </c>
      <c r="CV5" s="673" t="s">
        <v>106</v>
      </c>
      <c r="CW5" s="673" t="s">
        <v>55</v>
      </c>
      <c r="CX5" s="673" t="s">
        <v>56</v>
      </c>
      <c r="CY5" s="673" t="s">
        <v>57</v>
      </c>
      <c r="CZ5" s="673" t="s">
        <v>58</v>
      </c>
      <c r="DA5" s="673" t="s">
        <v>59</v>
      </c>
      <c r="DB5" s="673" t="s">
        <v>60</v>
      </c>
      <c r="DC5" s="673" t="s">
        <v>61</v>
      </c>
      <c r="DD5" s="673" t="s">
        <v>62</v>
      </c>
      <c r="DE5" s="673" t="s">
        <v>63</v>
      </c>
      <c r="DF5" s="673" t="s">
        <v>64</v>
      </c>
      <c r="DG5" s="673" t="s">
        <v>65</v>
      </c>
      <c r="DH5" s="673" t="s">
        <v>66</v>
      </c>
      <c r="DI5" s="672" t="s">
        <v>18</v>
      </c>
      <c r="DJ5" s="673" t="s">
        <v>106</v>
      </c>
      <c r="DK5" s="673" t="s">
        <v>55</v>
      </c>
      <c r="DL5" s="673" t="s">
        <v>56</v>
      </c>
      <c r="DM5" s="673" t="s">
        <v>57</v>
      </c>
      <c r="DN5" s="673" t="s">
        <v>58</v>
      </c>
      <c r="DO5" s="673" t="s">
        <v>59</v>
      </c>
      <c r="DP5" s="673" t="s">
        <v>60</v>
      </c>
      <c r="DQ5" s="673" t="s">
        <v>61</v>
      </c>
      <c r="DR5" s="673" t="s">
        <v>62</v>
      </c>
      <c r="DS5" s="673" t="s">
        <v>63</v>
      </c>
      <c r="DT5" s="673" t="s">
        <v>64</v>
      </c>
      <c r="DU5" s="673" t="s">
        <v>65</v>
      </c>
      <c r="DV5" s="673" t="s">
        <v>66</v>
      </c>
    </row>
    <row r="6" spans="1:126" s="27" customFormat="1" ht="15" customHeight="1">
      <c r="A6" s="674" t="s">
        <v>107</v>
      </c>
      <c r="B6" s="675">
        <f>SUM(C6:N6)</f>
        <v>510664</v>
      </c>
      <c r="C6" s="676">
        <f>C8+C9+C10+C11+C12+C16+C17+C18+C19+C20+C21+C22+C23+C24+C25+C26+C27+C28+C31+C32+C33+C34+C35+C36</f>
        <v>42997</v>
      </c>
      <c r="D6" s="676">
        <f t="shared" ref="D6:N6" si="0">D8+D9+D10+D11+D12+D16+D17+D18+D19+D20+D21+D22+D23+D24+D25+D26+D27+D28+D31+D32+D33+D34+D35+D36</f>
        <v>41913</v>
      </c>
      <c r="E6" s="676">
        <f t="shared" si="0"/>
        <v>40580</v>
      </c>
      <c r="F6" s="676">
        <f t="shared" si="0"/>
        <v>41604</v>
      </c>
      <c r="G6" s="676">
        <f t="shared" si="0"/>
        <v>41028</v>
      </c>
      <c r="H6" s="676">
        <f t="shared" si="0"/>
        <v>43876</v>
      </c>
      <c r="I6" s="676">
        <f t="shared" si="0"/>
        <v>41680</v>
      </c>
      <c r="J6" s="676">
        <f t="shared" si="0"/>
        <v>43348</v>
      </c>
      <c r="K6" s="676">
        <f t="shared" si="0"/>
        <v>44336</v>
      </c>
      <c r="L6" s="676">
        <f t="shared" si="0"/>
        <v>44574</v>
      </c>
      <c r="M6" s="676">
        <f t="shared" si="0"/>
        <v>42495</v>
      </c>
      <c r="N6" s="676">
        <f t="shared" si="0"/>
        <v>42233</v>
      </c>
      <c r="O6" s="674" t="s">
        <v>107</v>
      </c>
      <c r="P6" s="677">
        <f>SUM(Q6:AB6)</f>
        <v>7523.7156850231368</v>
      </c>
      <c r="Q6" s="678">
        <f>Q8+Q9+Q10+Q11+Q12+Q16+Q17+Q18+Q19+Q20+Q21+Q22+Q23+Q24+Q25+Q26+Q27+Q28+Q31+Q32+Q33+Q34+Q35+Q36</f>
        <v>606.14836920582582</v>
      </c>
      <c r="R6" s="678">
        <f t="shared" ref="R6:AB6" si="1">R8+R9+R10+R11+R12+R16+R17+R18+R19+R20+R21+R22+R23+R24+R25+R26+R27+R28+R31+R32+R33+R34+R35+R36</f>
        <v>605.59819516975017</v>
      </c>
      <c r="S6" s="678">
        <f t="shared" si="1"/>
        <v>614.39926465727683</v>
      </c>
      <c r="T6" s="678">
        <f t="shared" si="1"/>
        <v>619.38326399999994</v>
      </c>
      <c r="U6" s="678">
        <f t="shared" si="1"/>
        <v>607.75712799999985</v>
      </c>
      <c r="V6" s="678">
        <f t="shared" si="1"/>
        <v>654.778929108395</v>
      </c>
      <c r="W6" s="678">
        <f t="shared" si="1"/>
        <v>611.67864526225299</v>
      </c>
      <c r="X6" s="678">
        <f t="shared" si="1"/>
        <v>670.70864778673501</v>
      </c>
      <c r="Y6" s="678">
        <f t="shared" si="1"/>
        <v>671.63470220698593</v>
      </c>
      <c r="Z6" s="678">
        <f t="shared" si="1"/>
        <v>627.43329176300006</v>
      </c>
      <c r="AA6" s="678">
        <f t="shared" si="1"/>
        <v>614.40569722891576</v>
      </c>
      <c r="AB6" s="678">
        <f t="shared" si="1"/>
        <v>619.78955063399985</v>
      </c>
      <c r="AC6" s="674" t="s">
        <v>108</v>
      </c>
      <c r="AD6" s="679">
        <f>(P6/B6)*1000</f>
        <v>14.733201645354161</v>
      </c>
      <c r="AE6" s="679">
        <f t="shared" ref="AE6:AP6" si="2">(Q6/C6)*1000</f>
        <v>14.097457245989856</v>
      </c>
      <c r="AF6" s="679">
        <f t="shared" si="2"/>
        <v>14.448934582820371</v>
      </c>
      <c r="AG6" s="679">
        <f t="shared" si="2"/>
        <v>15.140445161588882</v>
      </c>
      <c r="AH6" s="679">
        <f t="shared" si="2"/>
        <v>14.887589270262474</v>
      </c>
      <c r="AI6" s="679">
        <f t="shared" si="2"/>
        <v>14.813228234376519</v>
      </c>
      <c r="AJ6" s="679">
        <f t="shared" si="2"/>
        <v>14.923396141589821</v>
      </c>
      <c r="AK6" s="679">
        <f t="shared" si="2"/>
        <v>14.675591297079007</v>
      </c>
      <c r="AL6" s="679">
        <f t="shared" si="2"/>
        <v>15.472654973395196</v>
      </c>
      <c r="AM6" s="679">
        <f t="shared" si="2"/>
        <v>15.148743734369043</v>
      </c>
      <c r="AN6" s="679">
        <f t="shared" si="2"/>
        <v>14.07621689242608</v>
      </c>
      <c r="AO6" s="679">
        <f t="shared" si="2"/>
        <v>14.458305617811877</v>
      </c>
      <c r="AP6" s="679">
        <f t="shared" si="2"/>
        <v>14.675480089834959</v>
      </c>
      <c r="AQ6" s="674" t="s">
        <v>107</v>
      </c>
      <c r="AR6" s="550">
        <f>SUM(AS6:BD6)</f>
        <v>2343759</v>
      </c>
      <c r="AS6" s="680">
        <f t="shared" ref="AS6:BD6" si="3">AS8+AS9+AS10+AS11+AS12+AS16+AS17+AS18+AS19+AS20+AS21+AS22+AS23+AS24+AS25+AS26+AS27+AS28+AS31+AS32+AS33+AS34+AS35+AS36</f>
        <v>168796</v>
      </c>
      <c r="AT6" s="680">
        <f t="shared" si="3"/>
        <v>179542</v>
      </c>
      <c r="AU6" s="680">
        <f t="shared" si="3"/>
        <v>192907</v>
      </c>
      <c r="AV6" s="680">
        <f t="shared" si="3"/>
        <v>193482</v>
      </c>
      <c r="AW6" s="680">
        <f t="shared" si="3"/>
        <v>205740</v>
      </c>
      <c r="AX6" s="680">
        <f t="shared" si="3"/>
        <v>204877</v>
      </c>
      <c r="AY6" s="680">
        <f t="shared" si="3"/>
        <v>188463</v>
      </c>
      <c r="AZ6" s="680">
        <f t="shared" si="3"/>
        <v>197714</v>
      </c>
      <c r="BA6" s="680">
        <f t="shared" si="3"/>
        <v>195152</v>
      </c>
      <c r="BB6" s="680">
        <f t="shared" si="3"/>
        <v>190646</v>
      </c>
      <c r="BC6" s="680">
        <f t="shared" si="3"/>
        <v>188363</v>
      </c>
      <c r="BD6" s="680">
        <f t="shared" si="3"/>
        <v>238077</v>
      </c>
      <c r="BE6" s="674" t="s">
        <v>107</v>
      </c>
      <c r="BF6" s="675">
        <f>SUM(BG6:BR6)</f>
        <v>164819.63719532482</v>
      </c>
      <c r="BG6" s="676">
        <f t="shared" ref="BG6:BR6" si="4">BG8+BG9+BG10+BG11+BG12+BG16+BG17+BG18+BG19+BG20+BG21+BG22+BG23+BG24+BG25+BG26+BG27+BG28+BG31+BG32+BG33+BG34+BG35+BG36</f>
        <v>11787.062345054548</v>
      </c>
      <c r="BH6" s="676">
        <f t="shared" si="4"/>
        <v>12561.808755233529</v>
      </c>
      <c r="BI6" s="676">
        <f t="shared" si="4"/>
        <v>13550.2183055678</v>
      </c>
      <c r="BJ6" s="676">
        <f t="shared" si="4"/>
        <v>13832.134006771068</v>
      </c>
      <c r="BK6" s="676">
        <f t="shared" si="4"/>
        <v>14735.818090044859</v>
      </c>
      <c r="BL6" s="676">
        <f t="shared" si="4"/>
        <v>14433.467202283575</v>
      </c>
      <c r="BM6" s="676">
        <f t="shared" si="4"/>
        <v>12925.475028143137</v>
      </c>
      <c r="BN6" s="676">
        <f t="shared" si="4"/>
        <v>14043.320065314747</v>
      </c>
      <c r="BO6" s="676">
        <f t="shared" si="4"/>
        <v>13786.150936981141</v>
      </c>
      <c r="BP6" s="676">
        <f t="shared" si="4"/>
        <v>13381.105948478937</v>
      </c>
      <c r="BQ6" s="676">
        <f t="shared" si="4"/>
        <v>13309.416777451492</v>
      </c>
      <c r="BR6" s="676">
        <f t="shared" si="4"/>
        <v>16473.659734000001</v>
      </c>
      <c r="BS6" s="674" t="s">
        <v>108</v>
      </c>
      <c r="BT6" s="681">
        <f>(BF6/AR6)*1000</f>
        <v>70.322775163881957</v>
      </c>
      <c r="BU6" s="681">
        <f t="shared" ref="BU6:CF6" si="5">(BG6/AS6)*1000</f>
        <v>69.830223139497079</v>
      </c>
      <c r="BV6" s="681">
        <f t="shared" si="5"/>
        <v>69.965850637920525</v>
      </c>
      <c r="BW6" s="681">
        <f t="shared" si="5"/>
        <v>70.2422322962246</v>
      </c>
      <c r="BX6" s="681">
        <f t="shared" si="5"/>
        <v>71.490546959257543</v>
      </c>
      <c r="BY6" s="681">
        <f t="shared" si="5"/>
        <v>71.623496111815186</v>
      </c>
      <c r="BZ6" s="681">
        <f t="shared" si="5"/>
        <v>70.449426740354326</v>
      </c>
      <c r="CA6" s="681">
        <f t="shared" si="5"/>
        <v>68.583621337573618</v>
      </c>
      <c r="CB6" s="681">
        <f t="shared" si="5"/>
        <v>71.028455573782068</v>
      </c>
      <c r="CC6" s="681">
        <f t="shared" si="5"/>
        <v>70.643144507774153</v>
      </c>
      <c r="CD6" s="681">
        <f t="shared" si="5"/>
        <v>70.188233419420996</v>
      </c>
      <c r="CE6" s="681">
        <f t="shared" si="5"/>
        <v>70.658339363099401</v>
      </c>
      <c r="CF6" s="681">
        <f t="shared" si="5"/>
        <v>69.194671194613505</v>
      </c>
      <c r="CG6" s="674" t="s">
        <v>107</v>
      </c>
      <c r="CH6" s="675">
        <f>SUM(CI6:CT6)</f>
        <v>967343</v>
      </c>
      <c r="CI6" s="676">
        <f t="shared" ref="CI6:CT6" si="6">CI8+CI9+CI10+CI11+CI12+CI16+CI17+CI18+CI19+CI20+CI21+CI22+CI23+CI24+CI25+CI26+CI27+CI28+CI31+CI32+CI33+CI34+CI35+CI36</f>
        <v>78765</v>
      </c>
      <c r="CJ6" s="676">
        <f t="shared" si="6"/>
        <v>76388</v>
      </c>
      <c r="CK6" s="676">
        <f t="shared" si="6"/>
        <v>78777</v>
      </c>
      <c r="CL6" s="676">
        <f t="shared" si="6"/>
        <v>77868</v>
      </c>
      <c r="CM6" s="676">
        <f t="shared" si="6"/>
        <v>81061</v>
      </c>
      <c r="CN6" s="676">
        <f t="shared" si="6"/>
        <v>80678</v>
      </c>
      <c r="CO6" s="676">
        <f t="shared" si="6"/>
        <v>79581</v>
      </c>
      <c r="CP6" s="676">
        <f t="shared" si="6"/>
        <v>87830</v>
      </c>
      <c r="CQ6" s="676">
        <f t="shared" si="6"/>
        <v>83085</v>
      </c>
      <c r="CR6" s="676">
        <f t="shared" si="6"/>
        <v>81102</v>
      </c>
      <c r="CS6" s="676">
        <f t="shared" si="6"/>
        <v>80695</v>
      </c>
      <c r="CT6" s="676">
        <f t="shared" si="6"/>
        <v>81513</v>
      </c>
      <c r="CU6" s="674" t="s">
        <v>107</v>
      </c>
      <c r="CV6" s="675">
        <f>SUM(CW6:DH6)</f>
        <v>187691.0215034383</v>
      </c>
      <c r="CW6" s="676">
        <f t="shared" ref="CW6:DH6" si="7">CW8+CW9+CW10+CW11+CW12+CW16+CW17+CW18+CW19+CW20+CW21+CW22+CW23+CW24+CW25+CW26+CW27+CW28+CW31+CW32+CW33+CW34+CW35+CW36</f>
        <v>15242.074829162339</v>
      </c>
      <c r="CX6" s="676">
        <f t="shared" si="7"/>
        <v>14812.280494839713</v>
      </c>
      <c r="CY6" s="676">
        <f t="shared" si="7"/>
        <v>15478.972017000004</v>
      </c>
      <c r="CZ6" s="676">
        <f t="shared" si="7"/>
        <v>15123.175035799999</v>
      </c>
      <c r="DA6" s="676">
        <f t="shared" si="7"/>
        <v>15762.50598</v>
      </c>
      <c r="DB6" s="676">
        <f t="shared" si="7"/>
        <v>15733.751836173664</v>
      </c>
      <c r="DC6" s="676">
        <f t="shared" si="7"/>
        <v>15200.742108510998</v>
      </c>
      <c r="DD6" s="676">
        <f t="shared" si="7"/>
        <v>17079.567902237621</v>
      </c>
      <c r="DE6" s="676">
        <f t="shared" si="7"/>
        <v>16081.527426303999</v>
      </c>
      <c r="DF6" s="676">
        <f t="shared" si="7"/>
        <v>15752.535989799999</v>
      </c>
      <c r="DG6" s="676">
        <f t="shared" si="7"/>
        <v>15557.236208700004</v>
      </c>
      <c r="DH6" s="676">
        <f t="shared" si="7"/>
        <v>15866.651674909997</v>
      </c>
      <c r="DI6" s="674" t="s">
        <v>108</v>
      </c>
      <c r="DJ6" s="681">
        <f>(CV6/CH6)*1000</f>
        <v>194.02737343779643</v>
      </c>
      <c r="DK6" s="681">
        <f t="shared" ref="DK6:DV6" si="8">(CW6/CI6)*1000</f>
        <v>193.51329688519442</v>
      </c>
      <c r="DL6" s="681">
        <f t="shared" si="8"/>
        <v>193.90847377650564</v>
      </c>
      <c r="DM6" s="681">
        <f t="shared" si="8"/>
        <v>196.49100647397088</v>
      </c>
      <c r="DN6" s="681">
        <f t="shared" si="8"/>
        <v>194.21553187188576</v>
      </c>
      <c r="DO6" s="681">
        <f t="shared" si="8"/>
        <v>194.45239979768323</v>
      </c>
      <c r="DP6" s="681">
        <f t="shared" si="8"/>
        <v>195.0191109865597</v>
      </c>
      <c r="DQ6" s="681">
        <f t="shared" si="8"/>
        <v>191.0096896056973</v>
      </c>
      <c r="DR6" s="681">
        <f t="shared" si="8"/>
        <v>194.46166346621453</v>
      </c>
      <c r="DS6" s="681">
        <f t="shared" si="8"/>
        <v>193.55512338333031</v>
      </c>
      <c r="DT6" s="681">
        <f t="shared" si="8"/>
        <v>194.23116556681708</v>
      </c>
      <c r="DU6" s="681">
        <f t="shared" si="8"/>
        <v>192.7905844067167</v>
      </c>
      <c r="DV6" s="681">
        <f t="shared" si="8"/>
        <v>194.6517938845337</v>
      </c>
    </row>
    <row r="7" spans="1:126" ht="1.25" customHeight="1">
      <c r="B7" s="682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P7" s="473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  <c r="AD7" s="472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289"/>
      <c r="AR7" s="685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F7" s="471"/>
      <c r="BG7" s="287"/>
      <c r="BH7" s="287"/>
      <c r="BI7" s="287"/>
      <c r="BJ7" s="287"/>
      <c r="BK7" s="287"/>
      <c r="BL7" s="287"/>
      <c r="BM7" s="287"/>
      <c r="BN7" s="287"/>
      <c r="BO7" s="287"/>
      <c r="BP7" s="287"/>
      <c r="BQ7" s="287"/>
      <c r="BR7" s="287"/>
      <c r="BT7" s="475"/>
      <c r="BU7" s="286"/>
      <c r="BV7" s="286"/>
      <c r="BW7" s="286"/>
      <c r="BX7" s="286"/>
      <c r="BY7" s="286"/>
      <c r="BZ7" s="286"/>
      <c r="CA7" s="286"/>
      <c r="CB7" s="286"/>
      <c r="CC7" s="286"/>
      <c r="CD7" s="286"/>
      <c r="CE7" s="286"/>
      <c r="CF7" s="286"/>
      <c r="CH7" s="471"/>
      <c r="CI7" s="287"/>
      <c r="CJ7" s="287"/>
      <c r="CK7" s="287"/>
      <c r="CL7" s="287"/>
      <c r="CM7" s="287"/>
      <c r="CN7" s="287"/>
      <c r="CO7" s="287"/>
      <c r="CP7" s="287"/>
      <c r="CQ7" s="287"/>
      <c r="CR7" s="287"/>
      <c r="CS7" s="287"/>
      <c r="CT7" s="287"/>
      <c r="CV7" s="476"/>
      <c r="CW7" s="287"/>
      <c r="CX7" s="287"/>
      <c r="CY7" s="287"/>
      <c r="CZ7" s="287"/>
      <c r="DA7" s="287"/>
      <c r="DB7" s="287"/>
      <c r="DC7" s="287"/>
      <c r="DD7" s="287"/>
      <c r="DE7" s="287"/>
      <c r="DF7" s="287"/>
      <c r="DG7" s="287"/>
      <c r="DH7" s="287"/>
      <c r="DJ7" s="475"/>
      <c r="DK7" s="286"/>
      <c r="DL7" s="286"/>
      <c r="DM7" s="286"/>
      <c r="DN7" s="286"/>
      <c r="DO7" s="286"/>
      <c r="DP7" s="286"/>
      <c r="DQ7" s="286"/>
      <c r="DR7" s="286"/>
      <c r="DS7" s="286"/>
      <c r="DT7" s="286"/>
      <c r="DU7" s="286"/>
      <c r="DV7" s="286"/>
    </row>
    <row r="8" spans="1:126" ht="12.5" customHeight="1">
      <c r="A8" s="11" t="s">
        <v>249</v>
      </c>
      <c r="B8" s="682">
        <f>SUM(C8:N8)</f>
        <v>499</v>
      </c>
      <c r="C8" s="287">
        <v>54</v>
      </c>
      <c r="D8" s="287">
        <v>57</v>
      </c>
      <c r="E8" s="287">
        <v>62</v>
      </c>
      <c r="F8" s="287">
        <v>65</v>
      </c>
      <c r="G8" s="287">
        <v>51</v>
      </c>
      <c r="H8" s="287">
        <v>27</v>
      </c>
      <c r="I8" s="287">
        <v>31</v>
      </c>
      <c r="J8" s="287">
        <v>26</v>
      </c>
      <c r="K8" s="287">
        <v>32</v>
      </c>
      <c r="L8" s="287">
        <v>30</v>
      </c>
      <c r="M8" s="287">
        <v>30</v>
      </c>
      <c r="N8" s="287">
        <v>34</v>
      </c>
      <c r="O8" s="11" t="s">
        <v>249</v>
      </c>
      <c r="P8" s="683">
        <f>SUM(Q8:AB8)</f>
        <v>7.4849999999999994</v>
      </c>
      <c r="Q8" s="291">
        <v>0.81</v>
      </c>
      <c r="R8" s="291">
        <v>0.85499999999999998</v>
      </c>
      <c r="S8" s="291">
        <v>0.92999999999999994</v>
      </c>
      <c r="T8" s="291">
        <v>0.97499999999999998</v>
      </c>
      <c r="U8" s="291">
        <v>0.7649999999999999</v>
      </c>
      <c r="V8" s="291">
        <v>0.40499999999999997</v>
      </c>
      <c r="W8" s="291">
        <v>0.46499999999999997</v>
      </c>
      <c r="X8" s="291">
        <v>0.39</v>
      </c>
      <c r="Y8" s="291">
        <v>0.48</v>
      </c>
      <c r="Z8" s="291">
        <v>0.44999999999999996</v>
      </c>
      <c r="AA8" s="291">
        <v>0.45</v>
      </c>
      <c r="AB8" s="291">
        <v>0.51</v>
      </c>
      <c r="AC8" s="11" t="s">
        <v>249</v>
      </c>
      <c r="AD8" s="684">
        <f t="shared" ref="AD8:AP27" si="9">(P8/B8)*1000</f>
        <v>15</v>
      </c>
      <c r="AE8" s="288">
        <f>(Q8/C8)*1000</f>
        <v>15.000000000000002</v>
      </c>
      <c r="AF8" s="288">
        <f t="shared" si="9"/>
        <v>15</v>
      </c>
      <c r="AG8" s="288">
        <f t="shared" si="9"/>
        <v>15</v>
      </c>
      <c r="AH8" s="288">
        <f t="shared" si="9"/>
        <v>15</v>
      </c>
      <c r="AI8" s="288">
        <f t="shared" si="9"/>
        <v>14.999999999999998</v>
      </c>
      <c r="AJ8" s="288">
        <f t="shared" si="9"/>
        <v>15</v>
      </c>
      <c r="AK8" s="288">
        <f t="shared" si="9"/>
        <v>15</v>
      </c>
      <c r="AL8" s="288">
        <f t="shared" si="9"/>
        <v>15.000000000000002</v>
      </c>
      <c r="AM8" s="288">
        <f t="shared" si="9"/>
        <v>15</v>
      </c>
      <c r="AN8" s="288">
        <f t="shared" si="9"/>
        <v>14.999999999999998</v>
      </c>
      <c r="AO8" s="288">
        <f t="shared" si="9"/>
        <v>15.000000000000002</v>
      </c>
      <c r="AP8" s="288">
        <f t="shared" si="9"/>
        <v>15</v>
      </c>
      <c r="AQ8" s="11" t="s">
        <v>249</v>
      </c>
      <c r="AR8" s="685">
        <f>SUM(AS8:BD8)</f>
        <v>2348</v>
      </c>
      <c r="AS8" s="173">
        <v>326</v>
      </c>
      <c r="AT8" s="173">
        <v>200</v>
      </c>
      <c r="AU8" s="173">
        <v>208</v>
      </c>
      <c r="AV8" s="173">
        <v>198</v>
      </c>
      <c r="AW8" s="173">
        <v>196</v>
      </c>
      <c r="AX8" s="173">
        <v>176</v>
      </c>
      <c r="AY8" s="173">
        <v>162</v>
      </c>
      <c r="AZ8" s="173">
        <v>152</v>
      </c>
      <c r="BA8" s="173">
        <v>178</v>
      </c>
      <c r="BB8" s="173">
        <v>186</v>
      </c>
      <c r="BC8" s="173">
        <v>174</v>
      </c>
      <c r="BD8" s="173">
        <v>192</v>
      </c>
      <c r="BE8" s="11" t="s">
        <v>249</v>
      </c>
      <c r="BF8" s="682">
        <f>SUM(BG8:BR8)</f>
        <v>111.08</v>
      </c>
      <c r="BG8" s="287">
        <v>14.538</v>
      </c>
      <c r="BH8" s="287">
        <v>8.8500000000000014</v>
      </c>
      <c r="BI8" s="287">
        <v>9.2759999999999998</v>
      </c>
      <c r="BJ8" s="287">
        <v>8.8559999999999999</v>
      </c>
      <c r="BK8" s="287">
        <v>9.7800000000000011</v>
      </c>
      <c r="BL8" s="287">
        <v>8.6239999999999988</v>
      </c>
      <c r="BM8" s="287">
        <v>7.9380000000000006</v>
      </c>
      <c r="BN8" s="287">
        <v>7.4480000000000004</v>
      </c>
      <c r="BO8" s="287">
        <v>8.7219999999999995</v>
      </c>
      <c r="BP8" s="287">
        <v>9.1140000000000008</v>
      </c>
      <c r="BQ8" s="287">
        <v>8.5259999999999998</v>
      </c>
      <c r="BR8" s="287">
        <v>9.4080000000000013</v>
      </c>
      <c r="BS8" s="11" t="s">
        <v>249</v>
      </c>
      <c r="BT8" s="688">
        <f t="shared" ref="BT8:CF26" si="10">(BF8/AR8)*1000</f>
        <v>47.308347529812607</v>
      </c>
      <c r="BU8" s="286">
        <f t="shared" si="10"/>
        <v>44.595092024539881</v>
      </c>
      <c r="BV8" s="286">
        <f t="shared" si="10"/>
        <v>44.250000000000007</v>
      </c>
      <c r="BW8" s="286">
        <f t="shared" si="10"/>
        <v>44.596153846153847</v>
      </c>
      <c r="BX8" s="286">
        <f t="shared" si="10"/>
        <v>44.727272727272727</v>
      </c>
      <c r="BY8" s="286">
        <f t="shared" si="10"/>
        <v>49.897959183673478</v>
      </c>
      <c r="BZ8" s="286">
        <f t="shared" si="10"/>
        <v>48.999999999999993</v>
      </c>
      <c r="CA8" s="286">
        <f t="shared" si="10"/>
        <v>49</v>
      </c>
      <c r="CB8" s="286">
        <f t="shared" si="10"/>
        <v>49</v>
      </c>
      <c r="CC8" s="286">
        <f t="shared" si="10"/>
        <v>48.999999999999993</v>
      </c>
      <c r="CD8" s="286">
        <f t="shared" si="10"/>
        <v>49</v>
      </c>
      <c r="CE8" s="286">
        <f t="shared" si="10"/>
        <v>49</v>
      </c>
      <c r="CF8" s="286">
        <f t="shared" si="10"/>
        <v>49.000000000000007</v>
      </c>
      <c r="CG8" s="11" t="s">
        <v>249</v>
      </c>
      <c r="CH8" s="682">
        <f>SUM(CI8:CT8)</f>
        <v>1607</v>
      </c>
      <c r="CI8" s="287">
        <v>223</v>
      </c>
      <c r="CJ8" s="287">
        <v>256</v>
      </c>
      <c r="CK8" s="287">
        <v>244</v>
      </c>
      <c r="CL8" s="287">
        <v>259</v>
      </c>
      <c r="CM8" s="287">
        <v>149</v>
      </c>
      <c r="CN8" s="287">
        <v>63</v>
      </c>
      <c r="CO8" s="287">
        <v>63</v>
      </c>
      <c r="CP8" s="287">
        <v>66</v>
      </c>
      <c r="CQ8" s="287">
        <v>66</v>
      </c>
      <c r="CR8" s="287">
        <v>73</v>
      </c>
      <c r="CS8" s="287">
        <v>72</v>
      </c>
      <c r="CT8" s="287">
        <v>73</v>
      </c>
      <c r="CU8" s="11" t="s">
        <v>249</v>
      </c>
      <c r="CV8" s="682">
        <f>SUM(CW8:DH8)</f>
        <v>360.36999700000001</v>
      </c>
      <c r="CW8" s="287">
        <v>50.42</v>
      </c>
      <c r="CX8" s="287">
        <v>64.41</v>
      </c>
      <c r="CY8" s="287">
        <v>62.109997</v>
      </c>
      <c r="CZ8" s="287">
        <v>64.325000000000003</v>
      </c>
      <c r="DA8" s="287">
        <v>33.979999999999997</v>
      </c>
      <c r="DB8" s="287">
        <v>11.265000000000001</v>
      </c>
      <c r="DC8" s="287">
        <v>11.27</v>
      </c>
      <c r="DD8" s="287">
        <v>11.81</v>
      </c>
      <c r="DE8" s="287">
        <v>11.805</v>
      </c>
      <c r="DF8" s="287">
        <v>13.059999999999999</v>
      </c>
      <c r="DG8" s="287">
        <v>12.870000000000001</v>
      </c>
      <c r="DH8" s="287">
        <v>13.045</v>
      </c>
      <c r="DI8" s="11" t="s">
        <v>249</v>
      </c>
      <c r="DJ8" s="688">
        <f t="shared" ref="DJ8:DV27" si="11">(CV8/CH8)*1000</f>
        <v>224.25015370255136</v>
      </c>
      <c r="DK8" s="286">
        <f t="shared" si="11"/>
        <v>226.0986547085202</v>
      </c>
      <c r="DL8" s="286">
        <f t="shared" si="11"/>
        <v>251.6015625</v>
      </c>
      <c r="DM8" s="286">
        <f t="shared" si="11"/>
        <v>254.54916803278687</v>
      </c>
      <c r="DN8" s="286">
        <f t="shared" si="11"/>
        <v>248.35907335907336</v>
      </c>
      <c r="DO8" s="286">
        <f t="shared" si="11"/>
        <v>228.05369127516775</v>
      </c>
      <c r="DP8" s="286">
        <f t="shared" si="11"/>
        <v>178.8095238095238</v>
      </c>
      <c r="DQ8" s="286">
        <f t="shared" si="11"/>
        <v>178.88888888888889</v>
      </c>
      <c r="DR8" s="286">
        <f t="shared" si="11"/>
        <v>178.93939393939397</v>
      </c>
      <c r="DS8" s="286">
        <f t="shared" si="11"/>
        <v>178.86363636363637</v>
      </c>
      <c r="DT8" s="286">
        <f t="shared" si="11"/>
        <v>178.90410958904107</v>
      </c>
      <c r="DU8" s="286">
        <f t="shared" si="11"/>
        <v>178.75000000000003</v>
      </c>
      <c r="DV8" s="286">
        <f t="shared" si="11"/>
        <v>178.69863013698631</v>
      </c>
    </row>
    <row r="9" spans="1:126" ht="12.5" customHeight="1">
      <c r="A9" s="11" t="s">
        <v>250</v>
      </c>
      <c r="B9" s="682">
        <f t="shared" ref="B9:B35" si="12">SUM(C9:N9)</f>
        <v>20218</v>
      </c>
      <c r="C9" s="287">
        <v>3559</v>
      </c>
      <c r="D9" s="287">
        <v>1443</v>
      </c>
      <c r="E9" s="287">
        <v>1543</v>
      </c>
      <c r="F9" s="287">
        <v>1380</v>
      </c>
      <c r="G9" s="287">
        <v>1602</v>
      </c>
      <c r="H9" s="287">
        <v>1465</v>
      </c>
      <c r="I9" s="287">
        <v>1465</v>
      </c>
      <c r="J9" s="287">
        <v>1714</v>
      </c>
      <c r="K9" s="287">
        <v>1340</v>
      </c>
      <c r="L9" s="287">
        <v>1650</v>
      </c>
      <c r="M9" s="287">
        <v>1410</v>
      </c>
      <c r="N9" s="287">
        <v>1647</v>
      </c>
      <c r="O9" s="11" t="s">
        <v>250</v>
      </c>
      <c r="P9" s="683">
        <f t="shared" ref="P9:P35" si="13">SUM(Q9:AB9)</f>
        <v>502.68015999999989</v>
      </c>
      <c r="Q9" s="291">
        <v>56.366299999999995</v>
      </c>
      <c r="R9" s="291">
        <v>33.72448</v>
      </c>
      <c r="S9" s="291">
        <v>47.360889999999998</v>
      </c>
      <c r="T9" s="291">
        <v>30.016249999999999</v>
      </c>
      <c r="U9" s="291">
        <v>38.450199999999995</v>
      </c>
      <c r="V9" s="291">
        <v>40.211300000000001</v>
      </c>
      <c r="W9" s="291">
        <v>40.211300000000001</v>
      </c>
      <c r="X9" s="291">
        <v>50.044249999999998</v>
      </c>
      <c r="Y9" s="291">
        <v>34.505000000000003</v>
      </c>
      <c r="Z9" s="291">
        <v>48.767749999999999</v>
      </c>
      <c r="AA9" s="291">
        <v>34.9405</v>
      </c>
      <c r="AB9" s="291">
        <v>48.081940000000003</v>
      </c>
      <c r="AC9" s="11" t="s">
        <v>250</v>
      </c>
      <c r="AD9" s="684">
        <f t="shared" si="9"/>
        <v>24.863001285982783</v>
      </c>
      <c r="AE9" s="288">
        <f t="shared" si="9"/>
        <v>15.837679123349254</v>
      </c>
      <c r="AF9" s="288">
        <f t="shared" si="9"/>
        <v>23.371088011088009</v>
      </c>
      <c r="AG9" s="288">
        <f t="shared" si="9"/>
        <v>30.694031108230721</v>
      </c>
      <c r="AH9" s="288">
        <f t="shared" si="9"/>
        <v>21.750905797101449</v>
      </c>
      <c r="AI9" s="288">
        <f t="shared" si="9"/>
        <v>24.00137328339575</v>
      </c>
      <c r="AJ9" s="288">
        <f t="shared" si="9"/>
        <v>27.447986348122868</v>
      </c>
      <c r="AK9" s="288">
        <f t="shared" si="9"/>
        <v>27.447986348122868</v>
      </c>
      <c r="AL9" s="288">
        <f t="shared" si="9"/>
        <v>29.197345390898484</v>
      </c>
      <c r="AM9" s="288">
        <f t="shared" si="9"/>
        <v>25.750000000000004</v>
      </c>
      <c r="AN9" s="288">
        <f t="shared" si="9"/>
        <v>29.556212121212123</v>
      </c>
      <c r="AO9" s="288">
        <f t="shared" si="9"/>
        <v>24.780496453900707</v>
      </c>
      <c r="AP9" s="288">
        <f t="shared" si="9"/>
        <v>29.193649058894962</v>
      </c>
      <c r="AQ9" s="11" t="s">
        <v>250</v>
      </c>
      <c r="AR9" s="685">
        <f t="shared" ref="AR9:AR35" si="14">SUM(AS9:BD9)</f>
        <v>28543</v>
      </c>
      <c r="AS9" s="173">
        <v>1898</v>
      </c>
      <c r="AT9" s="173">
        <v>2453</v>
      </c>
      <c r="AU9" s="173">
        <v>2367</v>
      </c>
      <c r="AV9" s="173">
        <v>2200</v>
      </c>
      <c r="AW9" s="173">
        <v>2551</v>
      </c>
      <c r="AX9" s="173">
        <v>2669</v>
      </c>
      <c r="AY9" s="173">
        <v>2669</v>
      </c>
      <c r="AZ9" s="173">
        <v>2704</v>
      </c>
      <c r="BA9" s="173">
        <v>2595</v>
      </c>
      <c r="BB9" s="173">
        <v>2159</v>
      </c>
      <c r="BC9" s="173">
        <v>2395</v>
      </c>
      <c r="BD9" s="173">
        <v>1883</v>
      </c>
      <c r="BE9" s="11" t="s">
        <v>250</v>
      </c>
      <c r="BF9" s="682">
        <f t="shared" ref="BF9:BF35" si="15">SUM(BG9:BR9)</f>
        <v>1789.76611</v>
      </c>
      <c r="BG9" s="287">
        <v>97.000400000000013</v>
      </c>
      <c r="BH9" s="287">
        <v>162.86950999999999</v>
      </c>
      <c r="BI9" s="287">
        <v>162.32694000000001</v>
      </c>
      <c r="BJ9" s="287">
        <v>143</v>
      </c>
      <c r="BK9" s="287">
        <v>171.55488</v>
      </c>
      <c r="BL9" s="287">
        <v>164.62669</v>
      </c>
      <c r="BM9" s="287">
        <v>164.62669</v>
      </c>
      <c r="BN9" s="287">
        <v>147.6551</v>
      </c>
      <c r="BO9" s="287">
        <v>166.96</v>
      </c>
      <c r="BP9" s="287">
        <v>133.59440000000001</v>
      </c>
      <c r="BQ9" s="287">
        <v>157.51400000000001</v>
      </c>
      <c r="BR9" s="287">
        <v>118.03749999999999</v>
      </c>
      <c r="BS9" s="11" t="s">
        <v>250</v>
      </c>
      <c r="BT9" s="688">
        <f t="shared" si="10"/>
        <v>62.704204533510847</v>
      </c>
      <c r="BU9" s="286">
        <f t="shared" si="10"/>
        <v>51.106638566912551</v>
      </c>
      <c r="BV9" s="286">
        <f t="shared" si="10"/>
        <v>66.396049735018337</v>
      </c>
      <c r="BW9" s="286">
        <f t="shared" si="10"/>
        <v>68.57918884664133</v>
      </c>
      <c r="BX9" s="286">
        <f t="shared" si="10"/>
        <v>65</v>
      </c>
      <c r="BY9" s="286">
        <f t="shared" si="10"/>
        <v>67.250050960407677</v>
      </c>
      <c r="BZ9" s="286">
        <f t="shared" si="10"/>
        <v>61.681037841888347</v>
      </c>
      <c r="CA9" s="286">
        <f t="shared" si="10"/>
        <v>61.681037841888347</v>
      </c>
      <c r="CB9" s="286">
        <f t="shared" si="10"/>
        <v>54.606176035502962</v>
      </c>
      <c r="CC9" s="286">
        <f t="shared" si="10"/>
        <v>64.339113680154142</v>
      </c>
      <c r="CD9" s="286">
        <f t="shared" si="10"/>
        <v>61.877906438165823</v>
      </c>
      <c r="CE9" s="286">
        <f t="shared" si="10"/>
        <v>65.767849686847612</v>
      </c>
      <c r="CF9" s="286">
        <f t="shared" si="10"/>
        <v>62.685873605947947</v>
      </c>
      <c r="CG9" s="11" t="s">
        <v>250</v>
      </c>
      <c r="CH9" s="682">
        <f t="shared" ref="CH9:CH36" si="16">SUM(CI9:CT9)</f>
        <v>26089</v>
      </c>
      <c r="CI9" s="287">
        <v>1946</v>
      </c>
      <c r="CJ9" s="287">
        <v>2221</v>
      </c>
      <c r="CK9" s="287">
        <v>2268</v>
      </c>
      <c r="CL9" s="287">
        <v>2060</v>
      </c>
      <c r="CM9" s="287">
        <v>2632</v>
      </c>
      <c r="CN9" s="287">
        <v>2283</v>
      </c>
      <c r="CO9" s="287">
        <v>2283</v>
      </c>
      <c r="CP9" s="287">
        <v>1981</v>
      </c>
      <c r="CQ9" s="287">
        <v>1995</v>
      </c>
      <c r="CR9" s="287">
        <v>2160</v>
      </c>
      <c r="CS9" s="287">
        <v>2110</v>
      </c>
      <c r="CT9" s="287">
        <v>2150</v>
      </c>
      <c r="CU9" s="11" t="s">
        <v>250</v>
      </c>
      <c r="CV9" s="682">
        <f t="shared" ref="CV9:CV36" si="17">SUM(CW9:DH9)</f>
        <v>5068.0270500000006</v>
      </c>
      <c r="CW9" s="287">
        <v>376.51984999999996</v>
      </c>
      <c r="CX9" s="287">
        <v>490.61</v>
      </c>
      <c r="CY9" s="287">
        <v>416.75549999999998</v>
      </c>
      <c r="CZ9" s="287">
        <v>365.37</v>
      </c>
      <c r="DA9" s="287">
        <v>524.83429999999998</v>
      </c>
      <c r="DB9" s="287">
        <v>462.67989999999998</v>
      </c>
      <c r="DC9" s="287">
        <v>462.67989999999998</v>
      </c>
      <c r="DD9" s="287">
        <v>356.58000000000004</v>
      </c>
      <c r="DE9" s="287">
        <v>370.40750000000003</v>
      </c>
      <c r="DF9" s="287">
        <v>414.37009999999998</v>
      </c>
      <c r="DG9" s="287">
        <v>411.62</v>
      </c>
      <c r="DH9" s="287">
        <v>415.6</v>
      </c>
      <c r="DI9" s="11" t="s">
        <v>250</v>
      </c>
      <c r="DJ9" s="688">
        <f t="shared" si="11"/>
        <v>194.25915328299286</v>
      </c>
      <c r="DK9" s="286">
        <f t="shared" si="11"/>
        <v>193.48399280575538</v>
      </c>
      <c r="DL9" s="286">
        <f t="shared" si="11"/>
        <v>220.89599279603783</v>
      </c>
      <c r="DM9" s="286">
        <f t="shared" si="11"/>
        <v>183.75462962962962</v>
      </c>
      <c r="DN9" s="286">
        <f t="shared" si="11"/>
        <v>177.36407766990291</v>
      </c>
      <c r="DO9" s="286">
        <f t="shared" si="11"/>
        <v>199.40512917933131</v>
      </c>
      <c r="DP9" s="286">
        <f t="shared" si="11"/>
        <v>202.66311870346036</v>
      </c>
      <c r="DQ9" s="286">
        <f t="shared" si="11"/>
        <v>202.66311870346036</v>
      </c>
      <c r="DR9" s="286">
        <f t="shared" si="11"/>
        <v>180.00000000000003</v>
      </c>
      <c r="DS9" s="286">
        <f t="shared" si="11"/>
        <v>185.66791979949875</v>
      </c>
      <c r="DT9" s="286">
        <f t="shared" si="11"/>
        <v>191.83800925925925</v>
      </c>
      <c r="DU9" s="286">
        <f t="shared" si="11"/>
        <v>195.08056872037915</v>
      </c>
      <c r="DV9" s="286">
        <f t="shared" si="11"/>
        <v>193.30232558139534</v>
      </c>
    </row>
    <row r="10" spans="1:126" ht="12.5" customHeight="1">
      <c r="A10" s="11" t="s">
        <v>251</v>
      </c>
      <c r="B10" s="682">
        <f t="shared" si="12"/>
        <v>11023</v>
      </c>
      <c r="C10" s="287">
        <v>960</v>
      </c>
      <c r="D10" s="287">
        <v>1745</v>
      </c>
      <c r="E10" s="287">
        <v>1195</v>
      </c>
      <c r="F10" s="287">
        <v>1398</v>
      </c>
      <c r="G10" s="287">
        <v>620</v>
      </c>
      <c r="H10" s="287">
        <v>545</v>
      </c>
      <c r="I10" s="287">
        <v>645</v>
      </c>
      <c r="J10" s="287">
        <v>890</v>
      </c>
      <c r="K10" s="287">
        <v>720</v>
      </c>
      <c r="L10" s="287">
        <v>940</v>
      </c>
      <c r="M10" s="287">
        <v>575</v>
      </c>
      <c r="N10" s="287">
        <v>790</v>
      </c>
      <c r="O10" s="11" t="s">
        <v>251</v>
      </c>
      <c r="P10" s="683">
        <f t="shared" si="13"/>
        <v>165.87535</v>
      </c>
      <c r="Q10" s="291">
        <v>14.4315</v>
      </c>
      <c r="R10" s="291">
        <v>26.174999999999997</v>
      </c>
      <c r="S10" s="291">
        <v>17.682749999999999</v>
      </c>
      <c r="T10" s="291">
        <v>21.244599999999998</v>
      </c>
      <c r="U10" s="291">
        <v>9.2569999999999997</v>
      </c>
      <c r="V10" s="291">
        <v>8.3777500000000007</v>
      </c>
      <c r="W10" s="291">
        <v>9.8109999999999999</v>
      </c>
      <c r="X10" s="291">
        <v>13.705500000000001</v>
      </c>
      <c r="Y10" s="291">
        <v>10.744</v>
      </c>
      <c r="Z10" s="291">
        <v>14.042</v>
      </c>
      <c r="AA10" s="291">
        <v>8.5842500000000008</v>
      </c>
      <c r="AB10" s="291">
        <v>11.82</v>
      </c>
      <c r="AC10" s="11" t="s">
        <v>251</v>
      </c>
      <c r="AD10" s="684">
        <f t="shared" si="9"/>
        <v>15.048113036378481</v>
      </c>
      <c r="AE10" s="288">
        <f t="shared" si="9"/>
        <v>15.032812499999999</v>
      </c>
      <c r="AF10" s="288">
        <f t="shared" si="9"/>
        <v>14.999999999999998</v>
      </c>
      <c r="AG10" s="288">
        <f t="shared" si="9"/>
        <v>14.797280334728033</v>
      </c>
      <c r="AH10" s="288">
        <f t="shared" si="9"/>
        <v>15.196423462088697</v>
      </c>
      <c r="AI10" s="288">
        <f t="shared" si="9"/>
        <v>14.930645161290322</v>
      </c>
      <c r="AJ10" s="288">
        <f t="shared" si="9"/>
        <v>15.372018348623856</v>
      </c>
      <c r="AK10" s="288">
        <f t="shared" si="9"/>
        <v>15.210852713178294</v>
      </c>
      <c r="AL10" s="288">
        <f t="shared" si="9"/>
        <v>15.399438202247193</v>
      </c>
      <c r="AM10" s="288">
        <f t="shared" si="9"/>
        <v>14.922222222222222</v>
      </c>
      <c r="AN10" s="288">
        <f t="shared" si="9"/>
        <v>14.938297872340426</v>
      </c>
      <c r="AO10" s="288">
        <f t="shared" si="9"/>
        <v>14.929130434782611</v>
      </c>
      <c r="AP10" s="288">
        <f t="shared" si="9"/>
        <v>14.962025316455698</v>
      </c>
      <c r="AQ10" s="11" t="s">
        <v>251</v>
      </c>
      <c r="AR10" s="685">
        <f t="shared" si="14"/>
        <v>27905</v>
      </c>
      <c r="AS10" s="173">
        <v>1570</v>
      </c>
      <c r="AT10" s="173">
        <v>2115</v>
      </c>
      <c r="AU10" s="173">
        <v>2655</v>
      </c>
      <c r="AV10" s="173">
        <v>1915</v>
      </c>
      <c r="AW10" s="173">
        <v>2410</v>
      </c>
      <c r="AX10" s="173">
        <v>2695</v>
      </c>
      <c r="AY10" s="173">
        <v>2775</v>
      </c>
      <c r="AZ10" s="173">
        <v>2220</v>
      </c>
      <c r="BA10" s="173">
        <v>2085</v>
      </c>
      <c r="BB10" s="173">
        <v>1805</v>
      </c>
      <c r="BC10" s="173">
        <v>2555</v>
      </c>
      <c r="BD10" s="173">
        <v>3105</v>
      </c>
      <c r="BE10" s="11" t="s">
        <v>251</v>
      </c>
      <c r="BF10" s="682">
        <f t="shared" si="15"/>
        <v>1800.5745500000003</v>
      </c>
      <c r="BG10" s="287">
        <v>100.29650000000001</v>
      </c>
      <c r="BH10" s="287">
        <v>138.04500000000002</v>
      </c>
      <c r="BI10" s="287">
        <v>170.21250000000001</v>
      </c>
      <c r="BJ10" s="287">
        <v>121.27125000000001</v>
      </c>
      <c r="BK10" s="287">
        <v>153.43</v>
      </c>
      <c r="BL10" s="287">
        <v>169.988</v>
      </c>
      <c r="BM10" s="287">
        <v>177.6</v>
      </c>
      <c r="BN10" s="287">
        <v>144.06900000000002</v>
      </c>
      <c r="BO10" s="287">
        <v>136.19749999999999</v>
      </c>
      <c r="BP10" s="287">
        <v>118.06400000000001</v>
      </c>
      <c r="BQ10" s="287">
        <v>165.51229999999998</v>
      </c>
      <c r="BR10" s="287">
        <v>205.88849999999999</v>
      </c>
      <c r="BS10" s="11" t="s">
        <v>251</v>
      </c>
      <c r="BT10" s="688">
        <f t="shared" si="10"/>
        <v>64.525158573732313</v>
      </c>
      <c r="BU10" s="286">
        <f t="shared" si="10"/>
        <v>63.883121019108287</v>
      </c>
      <c r="BV10" s="286">
        <f t="shared" si="10"/>
        <v>65.269503546099301</v>
      </c>
      <c r="BW10" s="286">
        <f t="shared" si="10"/>
        <v>64.110169491525426</v>
      </c>
      <c r="BX10" s="286">
        <f t="shared" si="10"/>
        <v>63.32702349869453</v>
      </c>
      <c r="BY10" s="286">
        <f t="shared" si="10"/>
        <v>63.663900414937757</v>
      </c>
      <c r="BZ10" s="286">
        <f t="shared" si="10"/>
        <v>63.075324675324673</v>
      </c>
      <c r="CA10" s="286">
        <f t="shared" si="10"/>
        <v>64</v>
      </c>
      <c r="CB10" s="286">
        <f t="shared" si="10"/>
        <v>64.895945945945954</v>
      </c>
      <c r="CC10" s="286">
        <f t="shared" si="10"/>
        <v>65.322541966426854</v>
      </c>
      <c r="CD10" s="286">
        <f t="shared" si="10"/>
        <v>65.409418282548486</v>
      </c>
      <c r="CE10" s="286">
        <f t="shared" si="10"/>
        <v>64.779765166340496</v>
      </c>
      <c r="CF10" s="286">
        <f t="shared" si="10"/>
        <v>66.30869565217391</v>
      </c>
      <c r="CG10" s="11" t="s">
        <v>251</v>
      </c>
      <c r="CH10" s="682">
        <f t="shared" si="16"/>
        <v>35334</v>
      </c>
      <c r="CI10" s="287">
        <v>2400</v>
      </c>
      <c r="CJ10" s="287">
        <v>3025</v>
      </c>
      <c r="CK10" s="287">
        <v>1155</v>
      </c>
      <c r="CL10" s="287">
        <v>2585</v>
      </c>
      <c r="CM10" s="287">
        <v>3230</v>
      </c>
      <c r="CN10" s="287">
        <v>3098</v>
      </c>
      <c r="CO10" s="287">
        <v>3800</v>
      </c>
      <c r="CP10" s="287">
        <v>2950</v>
      </c>
      <c r="CQ10" s="287">
        <v>2815</v>
      </c>
      <c r="CR10" s="287">
        <v>2948</v>
      </c>
      <c r="CS10" s="287">
        <v>3678</v>
      </c>
      <c r="CT10" s="287">
        <v>3650</v>
      </c>
      <c r="CU10" s="11" t="s">
        <v>251</v>
      </c>
      <c r="CV10" s="682">
        <f t="shared" si="17"/>
        <v>5268.5153900000005</v>
      </c>
      <c r="CW10" s="287">
        <v>356.98750000000001</v>
      </c>
      <c r="CX10" s="287">
        <v>453.33749999999998</v>
      </c>
      <c r="CY10" s="287">
        <v>171.91624999999999</v>
      </c>
      <c r="CZ10" s="287">
        <v>387.75</v>
      </c>
      <c r="DA10" s="287">
        <v>481.84000000000003</v>
      </c>
      <c r="DB10" s="287">
        <v>457.24464</v>
      </c>
      <c r="DC10" s="287">
        <v>558.077</v>
      </c>
      <c r="DD10" s="287">
        <v>438.625</v>
      </c>
      <c r="DE10" s="287">
        <v>419.93809999999996</v>
      </c>
      <c r="DF10" s="287">
        <v>441.27240000000006</v>
      </c>
      <c r="DG10" s="287">
        <v>551.62199999999996</v>
      </c>
      <c r="DH10" s="287">
        <v>549.90499999999997</v>
      </c>
      <c r="DI10" s="11" t="s">
        <v>251</v>
      </c>
      <c r="DJ10" s="688">
        <f t="shared" si="11"/>
        <v>149.10611280919227</v>
      </c>
      <c r="DK10" s="286">
        <f t="shared" si="11"/>
        <v>148.74479166666669</v>
      </c>
      <c r="DL10" s="286">
        <f t="shared" si="11"/>
        <v>149.86363636363637</v>
      </c>
      <c r="DM10" s="286">
        <f t="shared" si="11"/>
        <v>148.84523809523807</v>
      </c>
      <c r="DN10" s="286">
        <f t="shared" si="11"/>
        <v>150</v>
      </c>
      <c r="DO10" s="286">
        <f t="shared" si="11"/>
        <v>149.1764705882353</v>
      </c>
      <c r="DP10" s="286">
        <f t="shared" si="11"/>
        <v>147.59349257585538</v>
      </c>
      <c r="DQ10" s="286">
        <f t="shared" si="11"/>
        <v>146.86236842105262</v>
      </c>
      <c r="DR10" s="286">
        <f t="shared" si="11"/>
        <v>148.68644067796609</v>
      </c>
      <c r="DS10" s="286">
        <f t="shared" si="11"/>
        <v>149.17872113676731</v>
      </c>
      <c r="DT10" s="286">
        <f t="shared" si="11"/>
        <v>149.6853459972863</v>
      </c>
      <c r="DU10" s="286">
        <f t="shared" si="11"/>
        <v>149.97879282218597</v>
      </c>
      <c r="DV10" s="286">
        <f t="shared" si="11"/>
        <v>150.65890410958903</v>
      </c>
    </row>
    <row r="11" spans="1:126" ht="12.5" customHeight="1">
      <c r="A11" s="11" t="s">
        <v>252</v>
      </c>
      <c r="B11" s="682">
        <f t="shared" si="12"/>
        <v>157608</v>
      </c>
      <c r="C11" s="287">
        <v>12304</v>
      </c>
      <c r="D11" s="287">
        <v>12690</v>
      </c>
      <c r="E11" s="287">
        <v>11334</v>
      </c>
      <c r="F11" s="287">
        <v>11243</v>
      </c>
      <c r="G11" s="287">
        <v>12578</v>
      </c>
      <c r="H11" s="287">
        <v>13800</v>
      </c>
      <c r="I11" s="287">
        <v>13533</v>
      </c>
      <c r="J11" s="287">
        <v>12540</v>
      </c>
      <c r="K11" s="287">
        <v>14733</v>
      </c>
      <c r="L11" s="287">
        <v>14917</v>
      </c>
      <c r="M11" s="287">
        <v>14262</v>
      </c>
      <c r="N11" s="287">
        <v>13674</v>
      </c>
      <c r="O11" s="11" t="s">
        <v>252</v>
      </c>
      <c r="P11" s="683">
        <f t="shared" si="13"/>
        <v>1974.9573199999998</v>
      </c>
      <c r="Q11" s="291">
        <v>148.23498999999998</v>
      </c>
      <c r="R11" s="291">
        <v>154.23032999999998</v>
      </c>
      <c r="S11" s="291">
        <v>142.22109</v>
      </c>
      <c r="T11" s="291">
        <v>140.85946000000001</v>
      </c>
      <c r="U11" s="291">
        <v>157.74802</v>
      </c>
      <c r="V11" s="291">
        <v>176.60309000000001</v>
      </c>
      <c r="W11" s="291">
        <v>173.77634</v>
      </c>
      <c r="X11" s="291">
        <v>163.113</v>
      </c>
      <c r="Y11" s="291">
        <v>194.886</v>
      </c>
      <c r="Z11" s="291">
        <v>172.56799999999998</v>
      </c>
      <c r="AA11" s="291">
        <v>176.09800000000001</v>
      </c>
      <c r="AB11" s="291">
        <v>174.619</v>
      </c>
      <c r="AC11" s="11" t="s">
        <v>252</v>
      </c>
      <c r="AD11" s="684">
        <f t="shared" si="9"/>
        <v>12.530818993959697</v>
      </c>
      <c r="AE11" s="288">
        <f t="shared" si="9"/>
        <v>12.047707249674902</v>
      </c>
      <c r="AF11" s="288">
        <f t="shared" si="9"/>
        <v>12.153690307328603</v>
      </c>
      <c r="AG11" s="288">
        <f t="shared" si="9"/>
        <v>12.548181577554262</v>
      </c>
      <c r="AH11" s="288">
        <f t="shared" si="9"/>
        <v>12.528636484923954</v>
      </c>
      <c r="AI11" s="288">
        <f t="shared" si="9"/>
        <v>12.541582127524249</v>
      </c>
      <c r="AJ11" s="288">
        <f t="shared" si="9"/>
        <v>12.797325362318842</v>
      </c>
      <c r="AK11" s="288">
        <f t="shared" si="9"/>
        <v>12.84093253528412</v>
      </c>
      <c r="AL11" s="288">
        <f t="shared" si="9"/>
        <v>13.007416267942585</v>
      </c>
      <c r="AM11" s="288">
        <f t="shared" si="9"/>
        <v>13.227855833842394</v>
      </c>
      <c r="AN11" s="288">
        <f t="shared" si="9"/>
        <v>11.568545954280351</v>
      </c>
      <c r="AO11" s="288">
        <f t="shared" si="9"/>
        <v>12.347356611975881</v>
      </c>
      <c r="AP11" s="288">
        <f t="shared" si="9"/>
        <v>12.770147725610649</v>
      </c>
      <c r="AQ11" s="11" t="s">
        <v>252</v>
      </c>
      <c r="AR11" s="685">
        <f t="shared" si="14"/>
        <v>131849</v>
      </c>
      <c r="AS11" s="173">
        <v>14744</v>
      </c>
      <c r="AT11" s="173">
        <v>15377</v>
      </c>
      <c r="AU11" s="173">
        <v>11624</v>
      </c>
      <c r="AV11" s="173">
        <v>9079</v>
      </c>
      <c r="AW11" s="173">
        <v>8343</v>
      </c>
      <c r="AX11" s="173">
        <v>9427</v>
      </c>
      <c r="AY11" s="173">
        <v>11399</v>
      </c>
      <c r="AZ11" s="173">
        <v>8986</v>
      </c>
      <c r="BA11" s="173">
        <v>10051</v>
      </c>
      <c r="BB11" s="173">
        <v>10831</v>
      </c>
      <c r="BC11" s="173">
        <v>10250</v>
      </c>
      <c r="BD11" s="173">
        <v>11738</v>
      </c>
      <c r="BE11" s="11" t="s">
        <v>252</v>
      </c>
      <c r="BF11" s="682">
        <f t="shared" si="15"/>
        <v>7431.646279999999</v>
      </c>
      <c r="BG11" s="287">
        <v>845.30843000000004</v>
      </c>
      <c r="BH11" s="287">
        <v>858.48251000000005</v>
      </c>
      <c r="BI11" s="287">
        <v>571.50299999999993</v>
      </c>
      <c r="BJ11" s="287">
        <v>518.327</v>
      </c>
      <c r="BK11" s="287">
        <v>511.34299999999996</v>
      </c>
      <c r="BL11" s="287">
        <v>538.30700000000002</v>
      </c>
      <c r="BM11" s="287">
        <v>604.41255999999998</v>
      </c>
      <c r="BN11" s="287">
        <v>533.68778000000009</v>
      </c>
      <c r="BO11" s="287">
        <v>583.85200000000009</v>
      </c>
      <c r="BP11" s="287">
        <v>611.25200000000007</v>
      </c>
      <c r="BQ11" s="287">
        <v>569.92699999999991</v>
      </c>
      <c r="BR11" s="287">
        <v>685.24400000000003</v>
      </c>
      <c r="BS11" s="11" t="s">
        <v>252</v>
      </c>
      <c r="BT11" s="688">
        <f t="shared" si="10"/>
        <v>56.364828553876023</v>
      </c>
      <c r="BU11" s="286">
        <f t="shared" si="10"/>
        <v>57.332367742810632</v>
      </c>
      <c r="BV11" s="286">
        <f t="shared" si="10"/>
        <v>55.828998504259609</v>
      </c>
      <c r="BW11" s="286">
        <f t="shared" si="10"/>
        <v>49.165777701307633</v>
      </c>
      <c r="BX11" s="286">
        <f t="shared" si="10"/>
        <v>57.090758894151335</v>
      </c>
      <c r="BY11" s="286">
        <f t="shared" si="10"/>
        <v>61.290063526309474</v>
      </c>
      <c r="BZ11" s="286">
        <f t="shared" si="10"/>
        <v>57.102683780630102</v>
      </c>
      <c r="CA11" s="286">
        <f t="shared" si="10"/>
        <v>53.023296780419329</v>
      </c>
      <c r="CB11" s="286">
        <f t="shared" si="10"/>
        <v>59.391028266191867</v>
      </c>
      <c r="CC11" s="286">
        <f t="shared" si="10"/>
        <v>58.088946373495183</v>
      </c>
      <c r="CD11" s="286">
        <f t="shared" si="10"/>
        <v>56.435416859015788</v>
      </c>
      <c r="CE11" s="286">
        <f t="shared" si="10"/>
        <v>55.602634146341458</v>
      </c>
      <c r="CF11" s="286">
        <f t="shared" si="10"/>
        <v>58.378258647128987</v>
      </c>
      <c r="CG11" s="11" t="s">
        <v>252</v>
      </c>
      <c r="CH11" s="682">
        <f t="shared" si="16"/>
        <v>46602</v>
      </c>
      <c r="CI11" s="287">
        <v>4487</v>
      </c>
      <c r="CJ11" s="287">
        <v>4138</v>
      </c>
      <c r="CK11" s="287">
        <v>4415</v>
      </c>
      <c r="CL11" s="287">
        <v>3228</v>
      </c>
      <c r="CM11" s="287">
        <v>3516</v>
      </c>
      <c r="CN11" s="287">
        <v>2918</v>
      </c>
      <c r="CO11" s="287">
        <v>3694</v>
      </c>
      <c r="CP11" s="287">
        <v>3738</v>
      </c>
      <c r="CQ11" s="287">
        <v>4266</v>
      </c>
      <c r="CR11" s="287">
        <v>4144</v>
      </c>
      <c r="CS11" s="287">
        <v>4039</v>
      </c>
      <c r="CT11" s="287">
        <v>4019</v>
      </c>
      <c r="CU11" s="11" t="s">
        <v>252</v>
      </c>
      <c r="CV11" s="682">
        <f t="shared" si="17"/>
        <v>8409.3092099999994</v>
      </c>
      <c r="CW11" s="287">
        <v>793.80160999999998</v>
      </c>
      <c r="CX11" s="287">
        <v>739.27854000000002</v>
      </c>
      <c r="CY11" s="287">
        <v>895.0920000000001</v>
      </c>
      <c r="CZ11" s="287">
        <v>572.18664000000001</v>
      </c>
      <c r="DA11" s="287">
        <v>632.0317</v>
      </c>
      <c r="DB11" s="287">
        <v>531.68819999999994</v>
      </c>
      <c r="DC11" s="287">
        <v>666.70865000000003</v>
      </c>
      <c r="DD11" s="287">
        <v>686.38286999999991</v>
      </c>
      <c r="DE11" s="287">
        <v>772.87599999999998</v>
      </c>
      <c r="DF11" s="287">
        <v>756.48599999999999</v>
      </c>
      <c r="DG11" s="287">
        <v>683.13</v>
      </c>
      <c r="DH11" s="287">
        <v>679.64699999999993</v>
      </c>
      <c r="DI11" s="11" t="s">
        <v>252</v>
      </c>
      <c r="DJ11" s="688">
        <f t="shared" si="11"/>
        <v>180.44953456933177</v>
      </c>
      <c r="DK11" s="286">
        <f t="shared" si="11"/>
        <v>176.91143525741029</v>
      </c>
      <c r="DL11" s="286">
        <f t="shared" si="11"/>
        <v>178.65600289995169</v>
      </c>
      <c r="DM11" s="286">
        <f t="shared" si="11"/>
        <v>202.73884484711212</v>
      </c>
      <c r="DN11" s="286">
        <f t="shared" si="11"/>
        <v>177.25732342007436</v>
      </c>
      <c r="DO11" s="286">
        <f t="shared" si="11"/>
        <v>179.75873151308306</v>
      </c>
      <c r="DP11" s="286">
        <f t="shared" si="11"/>
        <v>182.20980123372172</v>
      </c>
      <c r="DQ11" s="286">
        <f t="shared" si="11"/>
        <v>180.48420411478071</v>
      </c>
      <c r="DR11" s="286">
        <f t="shared" si="11"/>
        <v>183.62302568218297</v>
      </c>
      <c r="DS11" s="286">
        <f t="shared" si="11"/>
        <v>181.17112048757616</v>
      </c>
      <c r="DT11" s="286">
        <f t="shared" si="11"/>
        <v>182.54971042471041</v>
      </c>
      <c r="DU11" s="286">
        <f t="shared" si="11"/>
        <v>169.13344887348353</v>
      </c>
      <c r="DV11" s="286">
        <f t="shared" si="11"/>
        <v>169.10848469768598</v>
      </c>
    </row>
    <row r="12" spans="1:126" ht="12.5" customHeight="1">
      <c r="A12" s="11" t="s">
        <v>274</v>
      </c>
      <c r="B12" s="682">
        <f t="shared" si="12"/>
        <v>40899</v>
      </c>
      <c r="C12" s="287">
        <v>3661</v>
      </c>
      <c r="D12" s="287">
        <v>3493</v>
      </c>
      <c r="E12" s="287">
        <v>3712</v>
      </c>
      <c r="F12" s="287">
        <v>3553</v>
      </c>
      <c r="G12" s="287">
        <v>3561</v>
      </c>
      <c r="H12" s="287">
        <v>4000</v>
      </c>
      <c r="I12" s="287">
        <v>3716</v>
      </c>
      <c r="J12" s="287">
        <v>3722</v>
      </c>
      <c r="K12" s="287">
        <v>3697</v>
      </c>
      <c r="L12" s="287">
        <v>2050</v>
      </c>
      <c r="M12" s="287">
        <v>2071</v>
      </c>
      <c r="N12" s="287">
        <v>3663</v>
      </c>
      <c r="O12" s="11" t="s">
        <v>274</v>
      </c>
      <c r="P12" s="683">
        <f t="shared" si="13"/>
        <v>768.33736999999985</v>
      </c>
      <c r="Q12" s="291">
        <v>68.710070000000002</v>
      </c>
      <c r="R12" s="291">
        <v>66.750049999999987</v>
      </c>
      <c r="S12" s="291">
        <v>69.795490000000001</v>
      </c>
      <c r="T12" s="291">
        <v>68.514220000000009</v>
      </c>
      <c r="U12" s="291">
        <v>68.847659999999991</v>
      </c>
      <c r="V12" s="291">
        <v>76.088359999999994</v>
      </c>
      <c r="W12" s="291">
        <v>71.712410000000006</v>
      </c>
      <c r="X12" s="291">
        <v>69.73626999999999</v>
      </c>
      <c r="Y12" s="291">
        <v>69.784739999999999</v>
      </c>
      <c r="Z12" s="291">
        <v>34.747300000000003</v>
      </c>
      <c r="AA12" s="291">
        <v>33.734099999999998</v>
      </c>
      <c r="AB12" s="291">
        <v>69.916700000000006</v>
      </c>
      <c r="AC12" s="11" t="s">
        <v>274</v>
      </c>
      <c r="AD12" s="684">
        <f t="shared" si="9"/>
        <v>18.786214088364016</v>
      </c>
      <c r="AE12" s="288">
        <f t="shared" si="9"/>
        <v>18.768115269052171</v>
      </c>
      <c r="AF12" s="288">
        <f t="shared" si="9"/>
        <v>19.109662181505865</v>
      </c>
      <c r="AG12" s="288">
        <f t="shared" si="9"/>
        <v>18.802664331896551</v>
      </c>
      <c r="AH12" s="288">
        <f t="shared" si="9"/>
        <v>19.283484379397695</v>
      </c>
      <c r="AI12" s="288">
        <f t="shared" si="9"/>
        <v>19.333799494524008</v>
      </c>
      <c r="AJ12" s="288">
        <f t="shared" si="9"/>
        <v>19.022089999999999</v>
      </c>
      <c r="AK12" s="288">
        <f t="shared" si="9"/>
        <v>19.298280409041983</v>
      </c>
      <c r="AL12" s="288">
        <f t="shared" si="9"/>
        <v>18.736235894680277</v>
      </c>
      <c r="AM12" s="288">
        <f t="shared" si="9"/>
        <v>18.876045442250472</v>
      </c>
      <c r="AN12" s="288">
        <f t="shared" si="9"/>
        <v>16.949902439024392</v>
      </c>
      <c r="AO12" s="288">
        <f t="shared" si="9"/>
        <v>16.288797682279093</v>
      </c>
      <c r="AP12" s="288">
        <f t="shared" si="9"/>
        <v>19.087278187278187</v>
      </c>
      <c r="AQ12" s="11" t="s">
        <v>274</v>
      </c>
      <c r="AR12" s="685">
        <f t="shared" si="14"/>
        <v>85042</v>
      </c>
      <c r="AS12" s="173">
        <v>6995</v>
      </c>
      <c r="AT12" s="173">
        <v>5654</v>
      </c>
      <c r="AU12" s="173">
        <v>6945</v>
      </c>
      <c r="AV12" s="173">
        <v>6024</v>
      </c>
      <c r="AW12" s="173">
        <v>7348</v>
      </c>
      <c r="AX12" s="173">
        <v>7984</v>
      </c>
      <c r="AY12" s="173">
        <v>7590</v>
      </c>
      <c r="AZ12" s="173">
        <v>7540</v>
      </c>
      <c r="BA12" s="173">
        <v>8487</v>
      </c>
      <c r="BB12" s="173">
        <v>5737</v>
      </c>
      <c r="BC12" s="173">
        <v>5887</v>
      </c>
      <c r="BD12" s="173">
        <v>8851</v>
      </c>
      <c r="BE12" s="11" t="s">
        <v>274</v>
      </c>
      <c r="BF12" s="682">
        <f t="shared" si="15"/>
        <v>4500.94992</v>
      </c>
      <c r="BG12" s="287">
        <v>367.34571000000005</v>
      </c>
      <c r="BH12" s="287">
        <v>301.62450000000001</v>
      </c>
      <c r="BI12" s="287">
        <v>358.92284999999998</v>
      </c>
      <c r="BJ12" s="287">
        <v>319.87469999999996</v>
      </c>
      <c r="BK12" s="287">
        <v>390.94416999999999</v>
      </c>
      <c r="BL12" s="287">
        <v>431.25552000000005</v>
      </c>
      <c r="BM12" s="287">
        <v>386.94727999999998</v>
      </c>
      <c r="BN12" s="287">
        <v>396.59153000000003</v>
      </c>
      <c r="BO12" s="287">
        <v>439.34644000000003</v>
      </c>
      <c r="BP12" s="287">
        <v>305.27202999999997</v>
      </c>
      <c r="BQ12" s="287">
        <v>347.93914000000001</v>
      </c>
      <c r="BR12" s="287">
        <v>454.88605000000001</v>
      </c>
      <c r="BS12" s="11" t="s">
        <v>274</v>
      </c>
      <c r="BT12" s="688">
        <f t="shared" si="10"/>
        <v>52.926200230474358</v>
      </c>
      <c r="BU12" s="286">
        <f t="shared" si="10"/>
        <v>52.515469621157976</v>
      </c>
      <c r="BV12" s="286">
        <f t="shared" si="10"/>
        <v>53.347099398655821</v>
      </c>
      <c r="BW12" s="286">
        <f t="shared" si="10"/>
        <v>51.680755939524836</v>
      </c>
      <c r="BX12" s="286">
        <f t="shared" si="10"/>
        <v>53.10004980079681</v>
      </c>
      <c r="BY12" s="286">
        <f t="shared" si="10"/>
        <v>53.204160315732167</v>
      </c>
      <c r="BZ12" s="286">
        <f t="shared" si="10"/>
        <v>54.014969939879769</v>
      </c>
      <c r="CA12" s="286">
        <f t="shared" si="10"/>
        <v>50.981196310935438</v>
      </c>
      <c r="CB12" s="286">
        <f t="shared" si="10"/>
        <v>52.598346153846158</v>
      </c>
      <c r="CC12" s="286">
        <f t="shared" si="10"/>
        <v>51.766989513373396</v>
      </c>
      <c r="CD12" s="286">
        <f t="shared" si="10"/>
        <v>53.211091162628541</v>
      </c>
      <c r="CE12" s="286">
        <f t="shared" si="10"/>
        <v>59.102962459656872</v>
      </c>
      <c r="CF12" s="286">
        <f t="shared" si="10"/>
        <v>51.3937464693255</v>
      </c>
      <c r="CG12" s="11" t="s">
        <v>274</v>
      </c>
      <c r="CH12" s="682">
        <f t="shared" si="16"/>
        <v>38902</v>
      </c>
      <c r="CI12" s="287">
        <v>3388</v>
      </c>
      <c r="CJ12" s="287">
        <v>2715</v>
      </c>
      <c r="CK12" s="287">
        <v>3119</v>
      </c>
      <c r="CL12" s="287">
        <v>3005</v>
      </c>
      <c r="CM12" s="287">
        <v>3431</v>
      </c>
      <c r="CN12" s="287">
        <v>3427</v>
      </c>
      <c r="CO12" s="287">
        <v>3508</v>
      </c>
      <c r="CP12" s="287">
        <v>3441</v>
      </c>
      <c r="CQ12" s="287">
        <v>3716</v>
      </c>
      <c r="CR12" s="287">
        <v>2661</v>
      </c>
      <c r="CS12" s="287">
        <v>2716</v>
      </c>
      <c r="CT12" s="287">
        <v>3775</v>
      </c>
      <c r="CU12" s="11" t="s">
        <v>274</v>
      </c>
      <c r="CV12" s="682">
        <f t="shared" si="17"/>
        <v>7098.3407800000004</v>
      </c>
      <c r="CW12" s="287">
        <v>600.39783999999997</v>
      </c>
      <c r="CX12" s="287">
        <v>491.95609000000002</v>
      </c>
      <c r="CY12" s="287">
        <v>596.90903000000003</v>
      </c>
      <c r="CZ12" s="287">
        <v>546.67452000000003</v>
      </c>
      <c r="DA12" s="287">
        <v>646.79340000000002</v>
      </c>
      <c r="DB12" s="287">
        <v>644.87144000000001</v>
      </c>
      <c r="DC12" s="287">
        <v>652.42476000000011</v>
      </c>
      <c r="DD12" s="287">
        <v>637.51244999999994</v>
      </c>
      <c r="DE12" s="287">
        <v>707.12328000000002</v>
      </c>
      <c r="DF12" s="287">
        <v>447.51888999999994</v>
      </c>
      <c r="DG12" s="287">
        <v>420.82682999999997</v>
      </c>
      <c r="DH12" s="287">
        <v>705.33224999999993</v>
      </c>
      <c r="DI12" s="11" t="s">
        <v>274</v>
      </c>
      <c r="DJ12" s="688">
        <f t="shared" si="11"/>
        <v>182.46724538584135</v>
      </c>
      <c r="DK12" s="286">
        <f t="shared" si="11"/>
        <v>177.21305785123968</v>
      </c>
      <c r="DL12" s="286">
        <f t="shared" si="11"/>
        <v>181.19929650092081</v>
      </c>
      <c r="DM12" s="286">
        <f t="shared" si="11"/>
        <v>191.37833600512985</v>
      </c>
      <c r="DN12" s="286">
        <f t="shared" si="11"/>
        <v>181.92163727121465</v>
      </c>
      <c r="DO12" s="286">
        <f t="shared" si="11"/>
        <v>188.51454386476246</v>
      </c>
      <c r="DP12" s="286">
        <f t="shared" si="11"/>
        <v>188.17374963524949</v>
      </c>
      <c r="DQ12" s="286">
        <f t="shared" si="11"/>
        <v>185.9819726339795</v>
      </c>
      <c r="DR12" s="286">
        <f t="shared" si="11"/>
        <v>185.26952920662595</v>
      </c>
      <c r="DS12" s="286">
        <f t="shared" si="11"/>
        <v>190.29151776103336</v>
      </c>
      <c r="DT12" s="286">
        <f t="shared" si="11"/>
        <v>168.17695978955277</v>
      </c>
      <c r="DU12" s="286">
        <f t="shared" si="11"/>
        <v>154.94360456553756</v>
      </c>
      <c r="DV12" s="286">
        <f t="shared" si="11"/>
        <v>186.84298013245032</v>
      </c>
    </row>
    <row r="13" spans="1:126" ht="12.5" customHeight="1">
      <c r="A13" s="28" t="s">
        <v>97</v>
      </c>
      <c r="B13" s="682">
        <f t="shared" si="12"/>
        <v>38033</v>
      </c>
      <c r="C13" s="287">
        <v>3337</v>
      </c>
      <c r="D13" s="287">
        <v>3277</v>
      </c>
      <c r="E13" s="287">
        <v>3439</v>
      </c>
      <c r="F13" s="287">
        <v>3353</v>
      </c>
      <c r="G13" s="287">
        <v>3348</v>
      </c>
      <c r="H13" s="287">
        <v>3769</v>
      </c>
      <c r="I13" s="287">
        <v>3498</v>
      </c>
      <c r="J13" s="287">
        <v>3506</v>
      </c>
      <c r="K13" s="287">
        <v>3485</v>
      </c>
      <c r="L13" s="287">
        <v>1848</v>
      </c>
      <c r="M13" s="287">
        <v>1777</v>
      </c>
      <c r="N13" s="287">
        <v>3396</v>
      </c>
      <c r="O13" s="28" t="s">
        <v>97</v>
      </c>
      <c r="P13" s="683">
        <f t="shared" si="13"/>
        <v>695.85019999999986</v>
      </c>
      <c r="Q13" s="291">
        <v>61.415000000000006</v>
      </c>
      <c r="R13" s="291">
        <v>59.995199999999997</v>
      </c>
      <c r="S13" s="291">
        <v>62.921199999999999</v>
      </c>
      <c r="T13" s="291">
        <v>62.033000000000001</v>
      </c>
      <c r="U13" s="291">
        <v>61.644799999999996</v>
      </c>
      <c r="V13" s="291">
        <v>70.475499999999997</v>
      </c>
      <c r="W13" s="291">
        <v>66.985299999999995</v>
      </c>
      <c r="X13" s="291">
        <v>64.907499999999999</v>
      </c>
      <c r="Y13" s="291">
        <v>65.014499999999998</v>
      </c>
      <c r="Z13" s="291">
        <v>28.669499999999999</v>
      </c>
      <c r="AA13" s="291">
        <v>27.7605</v>
      </c>
      <c r="AB13" s="291">
        <v>64.028199999999998</v>
      </c>
      <c r="AC13" s="28" t="s">
        <v>97</v>
      </c>
      <c r="AD13" s="684">
        <f t="shared" si="9"/>
        <v>18.295958772644802</v>
      </c>
      <c r="AE13" s="288">
        <f t="shared" si="9"/>
        <v>18.404255319148938</v>
      </c>
      <c r="AF13" s="288">
        <f t="shared" si="9"/>
        <v>18.30796460176991</v>
      </c>
      <c r="AG13" s="288">
        <f t="shared" si="9"/>
        <v>18.296365222448383</v>
      </c>
      <c r="AH13" s="288">
        <f t="shared" si="9"/>
        <v>18.500745600954367</v>
      </c>
      <c r="AI13" s="288">
        <f t="shared" si="9"/>
        <v>18.41242532855436</v>
      </c>
      <c r="AJ13" s="288">
        <f t="shared" si="9"/>
        <v>18.698726452639956</v>
      </c>
      <c r="AK13" s="288">
        <f t="shared" si="9"/>
        <v>19.149599771297883</v>
      </c>
      <c r="AL13" s="288">
        <f t="shared" si="9"/>
        <v>18.513262977752422</v>
      </c>
      <c r="AM13" s="288">
        <f t="shared" si="9"/>
        <v>18.655523672883788</v>
      </c>
      <c r="AN13" s="288">
        <f t="shared" si="9"/>
        <v>15.5137987012987</v>
      </c>
      <c r="AO13" s="288">
        <f t="shared" si="9"/>
        <v>15.622115925717502</v>
      </c>
      <c r="AP13" s="288">
        <f t="shared" si="9"/>
        <v>18.854004711425205</v>
      </c>
      <c r="AQ13" s="28" t="s">
        <v>97</v>
      </c>
      <c r="AR13" s="685">
        <f t="shared" si="14"/>
        <v>38940</v>
      </c>
      <c r="AS13" s="173">
        <v>3134</v>
      </c>
      <c r="AT13" s="173">
        <v>3048</v>
      </c>
      <c r="AU13" s="173">
        <v>3274</v>
      </c>
      <c r="AV13" s="173">
        <v>3229</v>
      </c>
      <c r="AW13" s="173">
        <v>3230</v>
      </c>
      <c r="AX13" s="173">
        <v>3790</v>
      </c>
      <c r="AY13" s="173">
        <v>3522</v>
      </c>
      <c r="AZ13" s="173">
        <v>3473</v>
      </c>
      <c r="BA13" s="173">
        <v>4280</v>
      </c>
      <c r="BB13" s="173">
        <v>1755</v>
      </c>
      <c r="BC13" s="173">
        <v>1617</v>
      </c>
      <c r="BD13" s="173">
        <v>4588</v>
      </c>
      <c r="BE13" s="28" t="s">
        <v>97</v>
      </c>
      <c r="BF13" s="682">
        <f t="shared" si="15"/>
        <v>1920.0255000000002</v>
      </c>
      <c r="BG13" s="287">
        <v>151.06530000000001</v>
      </c>
      <c r="BH13" s="287">
        <v>144.83269999999999</v>
      </c>
      <c r="BI13" s="287">
        <v>157.244</v>
      </c>
      <c r="BJ13" s="287">
        <v>151.31700000000001</v>
      </c>
      <c r="BK13" s="287">
        <v>155.67400000000001</v>
      </c>
      <c r="BL13" s="287">
        <v>200.51400000000001</v>
      </c>
      <c r="BM13" s="287">
        <v>164.87450000000001</v>
      </c>
      <c r="BN13" s="287">
        <v>177.59100000000001</v>
      </c>
      <c r="BO13" s="287">
        <v>220.84900000000002</v>
      </c>
      <c r="BP13" s="287">
        <v>85.94</v>
      </c>
      <c r="BQ13" s="287">
        <v>80.930999999999997</v>
      </c>
      <c r="BR13" s="287">
        <v>229.19300000000001</v>
      </c>
      <c r="BS13" s="28" t="s">
        <v>97</v>
      </c>
      <c r="BT13" s="688">
        <f t="shared" si="10"/>
        <v>49.307280431432979</v>
      </c>
      <c r="BU13" s="286">
        <f t="shared" si="10"/>
        <v>48.202074026802805</v>
      </c>
      <c r="BV13" s="286">
        <f t="shared" si="10"/>
        <v>47.517290026246719</v>
      </c>
      <c r="BW13" s="286">
        <f t="shared" si="10"/>
        <v>48.028100183262062</v>
      </c>
      <c r="BX13" s="286">
        <f t="shared" si="10"/>
        <v>46.861876742025395</v>
      </c>
      <c r="BY13" s="286">
        <f t="shared" si="10"/>
        <v>48.196284829721364</v>
      </c>
      <c r="BZ13" s="286">
        <f t="shared" si="10"/>
        <v>52.906068601583115</v>
      </c>
      <c r="CA13" s="286">
        <f t="shared" si="10"/>
        <v>46.812748438387288</v>
      </c>
      <c r="CB13" s="286">
        <f t="shared" si="10"/>
        <v>51.134753815145409</v>
      </c>
      <c r="CC13" s="286">
        <f t="shared" si="10"/>
        <v>51.60023364485982</v>
      </c>
      <c r="CD13" s="286">
        <f t="shared" si="10"/>
        <v>48.96866096866097</v>
      </c>
      <c r="CE13" s="286">
        <f t="shared" si="10"/>
        <v>50.050092764378476</v>
      </c>
      <c r="CF13" s="286">
        <f t="shared" si="10"/>
        <v>49.954882301656497</v>
      </c>
      <c r="CG13" s="28" t="s">
        <v>97</v>
      </c>
      <c r="CH13" s="682">
        <f t="shared" si="16"/>
        <v>13002</v>
      </c>
      <c r="CI13" s="287">
        <v>1160</v>
      </c>
      <c r="CJ13" s="287">
        <v>1080</v>
      </c>
      <c r="CK13" s="287">
        <v>1139</v>
      </c>
      <c r="CL13" s="287">
        <v>1169</v>
      </c>
      <c r="CM13" s="287">
        <v>1151</v>
      </c>
      <c r="CN13" s="287">
        <v>1276</v>
      </c>
      <c r="CO13" s="287">
        <v>1249</v>
      </c>
      <c r="CP13" s="287">
        <v>1229</v>
      </c>
      <c r="CQ13" s="287">
        <v>1452</v>
      </c>
      <c r="CR13" s="287">
        <v>371</v>
      </c>
      <c r="CS13" s="287">
        <v>356</v>
      </c>
      <c r="CT13" s="287">
        <v>1370</v>
      </c>
      <c r="CU13" s="28" t="s">
        <v>97</v>
      </c>
      <c r="CV13" s="682">
        <f t="shared" si="17"/>
        <v>3024.5380000000005</v>
      </c>
      <c r="CW13" s="287">
        <v>272.14099999999996</v>
      </c>
      <c r="CX13" s="287">
        <v>254.78100000000001</v>
      </c>
      <c r="CY13" s="287">
        <v>271.13</v>
      </c>
      <c r="CZ13" s="287">
        <v>280.35300000000001</v>
      </c>
      <c r="DA13" s="287">
        <v>272.38499999999999</v>
      </c>
      <c r="DB13" s="287">
        <v>303.505</v>
      </c>
      <c r="DC13" s="287">
        <v>293.02300000000002</v>
      </c>
      <c r="DD13" s="287">
        <v>285.47399999999999</v>
      </c>
      <c r="DE13" s="287">
        <v>346.90899999999999</v>
      </c>
      <c r="DF13" s="287">
        <v>61.403999999999996</v>
      </c>
      <c r="DG13" s="287">
        <v>57.061</v>
      </c>
      <c r="DH13" s="287">
        <v>326.37200000000001</v>
      </c>
      <c r="DI13" s="28" t="s">
        <v>97</v>
      </c>
      <c r="DJ13" s="688">
        <f t="shared" si="11"/>
        <v>232.62098138747888</v>
      </c>
      <c r="DK13" s="286">
        <f t="shared" si="11"/>
        <v>234.60431034482755</v>
      </c>
      <c r="DL13" s="286">
        <f t="shared" si="11"/>
        <v>235.90833333333333</v>
      </c>
      <c r="DM13" s="286">
        <f t="shared" si="11"/>
        <v>238.04214223002634</v>
      </c>
      <c r="DN13" s="286">
        <f t="shared" si="11"/>
        <v>239.82292557741661</v>
      </c>
      <c r="DO13" s="286">
        <f t="shared" si="11"/>
        <v>236.65073848827106</v>
      </c>
      <c r="DP13" s="286">
        <f t="shared" si="11"/>
        <v>237.85658307210031</v>
      </c>
      <c r="DQ13" s="286">
        <f t="shared" si="11"/>
        <v>234.60608486789434</v>
      </c>
      <c r="DR13" s="286">
        <f t="shared" si="11"/>
        <v>232.28152969894222</v>
      </c>
      <c r="DS13" s="286">
        <f t="shared" si="11"/>
        <v>238.91804407713499</v>
      </c>
      <c r="DT13" s="286">
        <f t="shared" si="11"/>
        <v>165.50943396226415</v>
      </c>
      <c r="DU13" s="286">
        <f t="shared" si="11"/>
        <v>160.28370786516854</v>
      </c>
      <c r="DV13" s="286">
        <f t="shared" si="11"/>
        <v>238.22773722627738</v>
      </c>
    </row>
    <row r="14" spans="1:126" ht="12.5" customHeight="1">
      <c r="A14" s="28" t="s">
        <v>98</v>
      </c>
      <c r="B14" s="682">
        <f t="shared" si="12"/>
        <v>2812</v>
      </c>
      <c r="C14" s="287">
        <v>320</v>
      </c>
      <c r="D14" s="287">
        <v>212</v>
      </c>
      <c r="E14" s="287">
        <v>268</v>
      </c>
      <c r="F14" s="287">
        <v>194</v>
      </c>
      <c r="G14" s="287">
        <v>209</v>
      </c>
      <c r="H14" s="287">
        <v>227</v>
      </c>
      <c r="I14" s="287">
        <v>214</v>
      </c>
      <c r="J14" s="287">
        <v>212</v>
      </c>
      <c r="K14" s="287">
        <v>209</v>
      </c>
      <c r="L14" s="287">
        <v>198</v>
      </c>
      <c r="M14" s="287">
        <v>287</v>
      </c>
      <c r="N14" s="287">
        <v>262</v>
      </c>
      <c r="O14" s="28" t="s">
        <v>98</v>
      </c>
      <c r="P14" s="683">
        <f t="shared" si="13"/>
        <v>71.596999999999994</v>
      </c>
      <c r="Q14" s="291">
        <v>7.23</v>
      </c>
      <c r="R14" s="291">
        <v>6.69</v>
      </c>
      <c r="S14" s="291">
        <v>6.7910000000000004</v>
      </c>
      <c r="T14" s="291">
        <v>6.3789999999999996</v>
      </c>
      <c r="U14" s="291">
        <v>7.1359999999999992</v>
      </c>
      <c r="V14" s="291">
        <v>5.5459999999999994</v>
      </c>
      <c r="W14" s="291">
        <v>4.6609999999999996</v>
      </c>
      <c r="X14" s="291">
        <v>4.7649999999999997</v>
      </c>
      <c r="Y14" s="291">
        <v>4.7210000000000001</v>
      </c>
      <c r="Z14" s="291">
        <v>6.0149999999999997</v>
      </c>
      <c r="AA14" s="291">
        <v>5.859</v>
      </c>
      <c r="AB14" s="291">
        <v>5.8040000000000003</v>
      </c>
      <c r="AC14" s="28" t="s">
        <v>98</v>
      </c>
      <c r="AD14" s="684">
        <f t="shared" si="9"/>
        <v>25.461237553342812</v>
      </c>
      <c r="AE14" s="288">
        <f t="shared" si="9"/>
        <v>22.593750000000004</v>
      </c>
      <c r="AF14" s="288">
        <f t="shared" si="9"/>
        <v>31.556603773584907</v>
      </c>
      <c r="AG14" s="288">
        <f t="shared" si="9"/>
        <v>25.339552238805972</v>
      </c>
      <c r="AH14" s="288">
        <f t="shared" si="9"/>
        <v>32.881443298969067</v>
      </c>
      <c r="AI14" s="288">
        <f t="shared" si="9"/>
        <v>34.143540669856456</v>
      </c>
      <c r="AJ14" s="288">
        <f t="shared" si="9"/>
        <v>24.431718061674008</v>
      </c>
      <c r="AK14" s="288">
        <f t="shared" si="9"/>
        <v>21.780373831775698</v>
      </c>
      <c r="AL14" s="288">
        <f t="shared" si="9"/>
        <v>22.476415094339622</v>
      </c>
      <c r="AM14" s="288">
        <f t="shared" si="9"/>
        <v>22.588516746411486</v>
      </c>
      <c r="AN14" s="288">
        <f t="shared" si="9"/>
        <v>30.378787878787875</v>
      </c>
      <c r="AO14" s="288">
        <f t="shared" si="9"/>
        <v>20.414634146341463</v>
      </c>
      <c r="AP14" s="288">
        <f t="shared" si="9"/>
        <v>22.152671755725194</v>
      </c>
      <c r="AQ14" s="28" t="s">
        <v>98</v>
      </c>
      <c r="AR14" s="685">
        <f t="shared" si="14"/>
        <v>30107</v>
      </c>
      <c r="AS14" s="173">
        <v>2489</v>
      </c>
      <c r="AT14" s="173">
        <v>1570</v>
      </c>
      <c r="AU14" s="173">
        <v>2539</v>
      </c>
      <c r="AV14" s="173">
        <v>1531</v>
      </c>
      <c r="AW14" s="173">
        <v>2762</v>
      </c>
      <c r="AX14" s="173">
        <v>2910</v>
      </c>
      <c r="AY14" s="173">
        <v>2643</v>
      </c>
      <c r="AZ14" s="173">
        <v>2757</v>
      </c>
      <c r="BA14" s="173">
        <v>2760</v>
      </c>
      <c r="BB14" s="173">
        <v>2535</v>
      </c>
      <c r="BC14" s="173">
        <v>2808</v>
      </c>
      <c r="BD14" s="173">
        <v>2803</v>
      </c>
      <c r="BE14" s="28" t="s">
        <v>98</v>
      </c>
      <c r="BF14" s="682">
        <f t="shared" si="15"/>
        <v>1620.7632999999998</v>
      </c>
      <c r="BG14" s="287">
        <v>137.93799999999999</v>
      </c>
      <c r="BH14" s="287">
        <v>95.103000000000009</v>
      </c>
      <c r="BI14" s="287">
        <v>135.16399999999999</v>
      </c>
      <c r="BJ14" s="287">
        <v>94.921999999999997</v>
      </c>
      <c r="BK14" s="287">
        <v>155.53300000000002</v>
      </c>
      <c r="BL14" s="287">
        <v>156.93700000000001</v>
      </c>
      <c r="BM14" s="287">
        <v>139.245</v>
      </c>
      <c r="BN14" s="287">
        <v>144.25900000000001</v>
      </c>
      <c r="BO14" s="287">
        <v>143.70699999999999</v>
      </c>
      <c r="BP14" s="287">
        <v>135.02799999999999</v>
      </c>
      <c r="BQ14" s="287">
        <v>142.255</v>
      </c>
      <c r="BR14" s="287">
        <v>140.67230000000001</v>
      </c>
      <c r="BS14" s="28" t="s">
        <v>98</v>
      </c>
      <c r="BT14" s="688">
        <f t="shared" si="10"/>
        <v>53.83343740658318</v>
      </c>
      <c r="BU14" s="286">
        <f t="shared" si="10"/>
        <v>55.419043792687816</v>
      </c>
      <c r="BV14" s="286">
        <f t="shared" si="10"/>
        <v>60.575159235668792</v>
      </c>
      <c r="BW14" s="286">
        <f t="shared" si="10"/>
        <v>53.235131941709326</v>
      </c>
      <c r="BX14" s="286">
        <f t="shared" si="10"/>
        <v>62</v>
      </c>
      <c r="BY14" s="286">
        <f t="shared" si="10"/>
        <v>56.311730629978285</v>
      </c>
      <c r="BZ14" s="286">
        <f t="shared" si="10"/>
        <v>53.930240549828177</v>
      </c>
      <c r="CA14" s="286">
        <f t="shared" si="10"/>
        <v>52.684449489216803</v>
      </c>
      <c r="CB14" s="286">
        <f t="shared" si="10"/>
        <v>52.324628219078711</v>
      </c>
      <c r="CC14" s="286">
        <f t="shared" si="10"/>
        <v>52.067753623188402</v>
      </c>
      <c r="CD14" s="286">
        <f t="shared" si="10"/>
        <v>53.265483234713997</v>
      </c>
      <c r="CE14" s="286">
        <f t="shared" si="10"/>
        <v>50.660612535612536</v>
      </c>
      <c r="CF14" s="286">
        <f t="shared" si="10"/>
        <v>50.186336068498036</v>
      </c>
      <c r="CG14" s="28" t="s">
        <v>98</v>
      </c>
      <c r="CH14" s="682">
        <f t="shared" si="16"/>
        <v>11118</v>
      </c>
      <c r="CI14" s="287">
        <v>898</v>
      </c>
      <c r="CJ14" s="287">
        <v>606</v>
      </c>
      <c r="CK14" s="287">
        <v>912</v>
      </c>
      <c r="CL14" s="287">
        <v>657</v>
      </c>
      <c r="CM14" s="287">
        <v>1013</v>
      </c>
      <c r="CN14" s="287">
        <v>1035</v>
      </c>
      <c r="CO14" s="287">
        <v>1003</v>
      </c>
      <c r="CP14" s="287">
        <v>1024</v>
      </c>
      <c r="CQ14" s="287">
        <v>936</v>
      </c>
      <c r="CR14" s="287">
        <v>938</v>
      </c>
      <c r="CS14" s="287">
        <v>1071</v>
      </c>
      <c r="CT14" s="287">
        <v>1025</v>
      </c>
      <c r="CU14" s="28" t="s">
        <v>98</v>
      </c>
      <c r="CV14" s="682">
        <f t="shared" si="17"/>
        <v>1767.518</v>
      </c>
      <c r="CW14" s="287">
        <v>122.378</v>
      </c>
      <c r="CX14" s="287">
        <v>74.819999999999993</v>
      </c>
      <c r="CY14" s="287">
        <v>157.63999999999999</v>
      </c>
      <c r="CZ14" s="287">
        <v>81.727000000000004</v>
      </c>
      <c r="DA14" s="287">
        <v>175.50900000000001</v>
      </c>
      <c r="DB14" s="287">
        <v>186.886</v>
      </c>
      <c r="DC14" s="287">
        <v>165.22900000000001</v>
      </c>
      <c r="DD14" s="287">
        <v>175.011</v>
      </c>
      <c r="DE14" s="287">
        <v>153.30700000000002</v>
      </c>
      <c r="DF14" s="287">
        <v>148.17599999999999</v>
      </c>
      <c r="DG14" s="287">
        <v>163.07599999999999</v>
      </c>
      <c r="DH14" s="287">
        <v>163.75900000000001</v>
      </c>
      <c r="DI14" s="28" t="s">
        <v>98</v>
      </c>
      <c r="DJ14" s="688">
        <f t="shared" si="11"/>
        <v>158.97805360676381</v>
      </c>
      <c r="DK14" s="286">
        <f t="shared" si="11"/>
        <v>136.27839643652561</v>
      </c>
      <c r="DL14" s="286">
        <f t="shared" si="11"/>
        <v>123.46534653465345</v>
      </c>
      <c r="DM14" s="286">
        <f t="shared" si="11"/>
        <v>172.85087719298244</v>
      </c>
      <c r="DN14" s="286">
        <f t="shared" si="11"/>
        <v>124.39421613394217</v>
      </c>
      <c r="DO14" s="286">
        <f t="shared" si="11"/>
        <v>173.25666337611057</v>
      </c>
      <c r="DP14" s="286">
        <f t="shared" si="11"/>
        <v>180.56618357487923</v>
      </c>
      <c r="DQ14" s="286">
        <f t="shared" si="11"/>
        <v>164.73479561316054</v>
      </c>
      <c r="DR14" s="286">
        <f t="shared" si="11"/>
        <v>170.9091796875</v>
      </c>
      <c r="DS14" s="286">
        <f t="shared" si="11"/>
        <v>163.78952991452994</v>
      </c>
      <c r="DT14" s="286">
        <f t="shared" si="11"/>
        <v>157.97014925373131</v>
      </c>
      <c r="DU14" s="286">
        <f t="shared" si="11"/>
        <v>152.26517273576096</v>
      </c>
      <c r="DV14" s="286">
        <f t="shared" si="11"/>
        <v>159.7648780487805</v>
      </c>
    </row>
    <row r="15" spans="1:126" ht="12.5" customHeight="1">
      <c r="A15" s="28" t="s">
        <v>99</v>
      </c>
      <c r="B15" s="682">
        <f t="shared" si="12"/>
        <v>54</v>
      </c>
      <c r="C15" s="287">
        <v>4</v>
      </c>
      <c r="D15" s="287">
        <v>4</v>
      </c>
      <c r="E15" s="287">
        <v>5</v>
      </c>
      <c r="F15" s="287">
        <v>6</v>
      </c>
      <c r="G15" s="287">
        <v>4</v>
      </c>
      <c r="H15" s="287">
        <v>4</v>
      </c>
      <c r="I15" s="287">
        <v>4</v>
      </c>
      <c r="J15" s="287">
        <v>4</v>
      </c>
      <c r="K15" s="287">
        <v>3</v>
      </c>
      <c r="L15" s="287">
        <v>4</v>
      </c>
      <c r="M15" s="287">
        <v>7</v>
      </c>
      <c r="N15" s="287">
        <v>5</v>
      </c>
      <c r="O15" s="28" t="s">
        <v>99</v>
      </c>
      <c r="P15" s="683">
        <f t="shared" si="13"/>
        <v>0.89017000000000002</v>
      </c>
      <c r="Q15" s="291">
        <v>6.5069999999999989E-2</v>
      </c>
      <c r="R15" s="291">
        <v>6.4850000000000005E-2</v>
      </c>
      <c r="S15" s="291">
        <v>8.3290000000000003E-2</v>
      </c>
      <c r="T15" s="291">
        <v>0.10221999999999999</v>
      </c>
      <c r="U15" s="291">
        <v>6.6860000000000003E-2</v>
      </c>
      <c r="V15" s="291">
        <v>6.6860000000000003E-2</v>
      </c>
      <c r="W15" s="291">
        <v>6.6110000000000002E-2</v>
      </c>
      <c r="X15" s="291">
        <v>6.3769999999999993E-2</v>
      </c>
      <c r="Y15" s="291">
        <v>4.9239999999999992E-2</v>
      </c>
      <c r="Z15" s="291">
        <v>6.2800000000000009E-2</v>
      </c>
      <c r="AA15" s="291">
        <v>0.11459999999999999</v>
      </c>
      <c r="AB15" s="291">
        <v>8.4499999999999992E-2</v>
      </c>
      <c r="AC15" s="28" t="s">
        <v>99</v>
      </c>
      <c r="AD15" s="684">
        <f t="shared" si="9"/>
        <v>16.48462962962963</v>
      </c>
      <c r="AE15" s="288">
        <f t="shared" si="9"/>
        <v>16.267499999999998</v>
      </c>
      <c r="AF15" s="288">
        <f t="shared" si="9"/>
        <v>16.212500000000002</v>
      </c>
      <c r="AG15" s="288">
        <f t="shared" si="9"/>
        <v>16.657999999999998</v>
      </c>
      <c r="AH15" s="288">
        <f t="shared" si="9"/>
        <v>17.036666666666665</v>
      </c>
      <c r="AI15" s="288">
        <f t="shared" si="9"/>
        <v>16.715</v>
      </c>
      <c r="AJ15" s="288">
        <f t="shared" si="9"/>
        <v>16.715</v>
      </c>
      <c r="AK15" s="288">
        <f t="shared" si="9"/>
        <v>16.5275</v>
      </c>
      <c r="AL15" s="288">
        <f t="shared" si="9"/>
        <v>15.942499999999999</v>
      </c>
      <c r="AM15" s="288">
        <f t="shared" si="9"/>
        <v>16.41333333333333</v>
      </c>
      <c r="AN15" s="288">
        <f t="shared" si="9"/>
        <v>15.700000000000003</v>
      </c>
      <c r="AO15" s="288">
        <f t="shared" si="9"/>
        <v>16.37142857142857</v>
      </c>
      <c r="AP15" s="288">
        <f t="shared" si="9"/>
        <v>16.899999999999999</v>
      </c>
      <c r="AQ15" s="28" t="s">
        <v>99</v>
      </c>
      <c r="AR15" s="685">
        <f t="shared" si="14"/>
        <v>15995</v>
      </c>
      <c r="AS15" s="173">
        <v>1372</v>
      </c>
      <c r="AT15" s="173">
        <v>1036</v>
      </c>
      <c r="AU15" s="173">
        <v>1132</v>
      </c>
      <c r="AV15" s="173">
        <v>1264</v>
      </c>
      <c r="AW15" s="173">
        <v>1356</v>
      </c>
      <c r="AX15" s="173">
        <v>1284</v>
      </c>
      <c r="AY15" s="173">
        <v>1425</v>
      </c>
      <c r="AZ15" s="173">
        <v>1310</v>
      </c>
      <c r="BA15" s="173">
        <v>1447</v>
      </c>
      <c r="BB15" s="173">
        <v>1447</v>
      </c>
      <c r="BC15" s="173">
        <v>1462</v>
      </c>
      <c r="BD15" s="173">
        <v>1460</v>
      </c>
      <c r="BE15" s="28" t="s">
        <v>99</v>
      </c>
      <c r="BF15" s="682">
        <f t="shared" si="15"/>
        <v>960.1611200000001</v>
      </c>
      <c r="BG15" s="287">
        <v>78.342410000000001</v>
      </c>
      <c r="BH15" s="287">
        <v>61.688800000000001</v>
      </c>
      <c r="BI15" s="287">
        <v>66.514849999999996</v>
      </c>
      <c r="BJ15" s="287">
        <v>73.6357</v>
      </c>
      <c r="BK15" s="287">
        <v>79.73717000000002</v>
      </c>
      <c r="BL15" s="287">
        <v>73.804520000000011</v>
      </c>
      <c r="BM15" s="287">
        <v>82.82777999999999</v>
      </c>
      <c r="BN15" s="287">
        <v>74.741530000000012</v>
      </c>
      <c r="BO15" s="287">
        <v>74.790440000000004</v>
      </c>
      <c r="BP15" s="287">
        <v>84.304029999999997</v>
      </c>
      <c r="BQ15" s="287">
        <v>124.75314</v>
      </c>
      <c r="BR15" s="287">
        <v>85.020750000000007</v>
      </c>
      <c r="BS15" s="28" t="s">
        <v>99</v>
      </c>
      <c r="BT15" s="688">
        <f t="shared" si="10"/>
        <v>60.02882900906534</v>
      </c>
      <c r="BU15" s="286">
        <f t="shared" si="10"/>
        <v>57.100881924198255</v>
      </c>
      <c r="BV15" s="286">
        <f t="shared" si="10"/>
        <v>59.545173745173749</v>
      </c>
      <c r="BW15" s="286">
        <f t="shared" si="10"/>
        <v>58.758701413427559</v>
      </c>
      <c r="BX15" s="286">
        <f t="shared" si="10"/>
        <v>58.256091772151898</v>
      </c>
      <c r="BY15" s="286">
        <f t="shared" si="10"/>
        <v>58.803222713864322</v>
      </c>
      <c r="BZ15" s="286">
        <f t="shared" si="10"/>
        <v>57.480155763239885</v>
      </c>
      <c r="CA15" s="286">
        <f t="shared" si="10"/>
        <v>58.124757894736831</v>
      </c>
      <c r="CB15" s="286">
        <f t="shared" si="10"/>
        <v>57.05460305343513</v>
      </c>
      <c r="CC15" s="286">
        <f t="shared" si="10"/>
        <v>51.686551485832759</v>
      </c>
      <c r="CD15" s="286">
        <f t="shared" si="10"/>
        <v>58.261250863856247</v>
      </c>
      <c r="CE15" s="286">
        <f t="shared" si="10"/>
        <v>85.330465116279072</v>
      </c>
      <c r="CF15" s="286">
        <f t="shared" si="10"/>
        <v>58.233390410958911</v>
      </c>
      <c r="CG15" s="28" t="s">
        <v>99</v>
      </c>
      <c r="CH15" s="682">
        <f t="shared" si="16"/>
        <v>14782</v>
      </c>
      <c r="CI15" s="287">
        <v>1330</v>
      </c>
      <c r="CJ15" s="287">
        <v>1029</v>
      </c>
      <c r="CK15" s="287">
        <v>1068</v>
      </c>
      <c r="CL15" s="287">
        <v>1179</v>
      </c>
      <c r="CM15" s="287">
        <v>1267</v>
      </c>
      <c r="CN15" s="287">
        <v>1116</v>
      </c>
      <c r="CO15" s="287">
        <v>1256</v>
      </c>
      <c r="CP15" s="287">
        <v>1188</v>
      </c>
      <c r="CQ15" s="287">
        <v>1328</v>
      </c>
      <c r="CR15" s="287">
        <v>1352</v>
      </c>
      <c r="CS15" s="287">
        <v>1289</v>
      </c>
      <c r="CT15" s="287">
        <v>1380</v>
      </c>
      <c r="CU15" s="28" t="s">
        <v>99</v>
      </c>
      <c r="CV15" s="682">
        <f t="shared" si="17"/>
        <v>2306.28478</v>
      </c>
      <c r="CW15" s="287">
        <v>205.87883999999997</v>
      </c>
      <c r="CX15" s="287">
        <v>162.35509000000002</v>
      </c>
      <c r="CY15" s="287">
        <v>168.13902999999999</v>
      </c>
      <c r="CZ15" s="287">
        <v>184.59451999999999</v>
      </c>
      <c r="DA15" s="287">
        <v>198.89940000000001</v>
      </c>
      <c r="DB15" s="287">
        <v>154.48044000000002</v>
      </c>
      <c r="DC15" s="287">
        <v>194.17275999999998</v>
      </c>
      <c r="DD15" s="287">
        <v>177.02744999999999</v>
      </c>
      <c r="DE15" s="287">
        <v>206.90727999999996</v>
      </c>
      <c r="DF15" s="287">
        <v>237.93888999999996</v>
      </c>
      <c r="DG15" s="287">
        <v>200.68983000000003</v>
      </c>
      <c r="DH15" s="287">
        <v>215.20125000000002</v>
      </c>
      <c r="DI15" s="28" t="s">
        <v>99</v>
      </c>
      <c r="DJ15" s="688">
        <f t="shared" si="11"/>
        <v>156.01980652144502</v>
      </c>
      <c r="DK15" s="286">
        <f t="shared" si="11"/>
        <v>154.79612030075185</v>
      </c>
      <c r="DL15" s="286">
        <f t="shared" si="11"/>
        <v>157.77948493683189</v>
      </c>
      <c r="DM15" s="286">
        <f t="shared" si="11"/>
        <v>157.43354868913855</v>
      </c>
      <c r="DN15" s="286">
        <f t="shared" si="11"/>
        <v>156.56871925360474</v>
      </c>
      <c r="DO15" s="286">
        <f t="shared" si="11"/>
        <v>156.98453038674035</v>
      </c>
      <c r="DP15" s="286">
        <f t="shared" si="11"/>
        <v>138.42333333333335</v>
      </c>
      <c r="DQ15" s="286">
        <f t="shared" si="11"/>
        <v>154.59614649681527</v>
      </c>
      <c r="DR15" s="286">
        <f t="shared" si="11"/>
        <v>149.01300505050506</v>
      </c>
      <c r="DS15" s="286">
        <f t="shared" si="11"/>
        <v>155.80367469879513</v>
      </c>
      <c r="DT15" s="286">
        <f t="shared" si="11"/>
        <v>175.99030325443783</v>
      </c>
      <c r="DU15" s="286">
        <f t="shared" si="11"/>
        <v>155.6942048099302</v>
      </c>
      <c r="DV15" s="286">
        <f t="shared" si="11"/>
        <v>155.94293478260872</v>
      </c>
    </row>
    <row r="16" spans="1:126" ht="12.5" customHeight="1">
      <c r="A16" s="28" t="s">
        <v>253</v>
      </c>
      <c r="B16" s="682">
        <f t="shared" si="12"/>
        <v>1493</v>
      </c>
      <c r="C16" s="287">
        <v>121</v>
      </c>
      <c r="D16" s="287">
        <v>87</v>
      </c>
      <c r="E16" s="287">
        <v>136</v>
      </c>
      <c r="F16" s="287">
        <v>104</v>
      </c>
      <c r="G16" s="287">
        <v>103</v>
      </c>
      <c r="H16" s="287">
        <v>101</v>
      </c>
      <c r="I16" s="287">
        <v>97</v>
      </c>
      <c r="J16" s="287">
        <v>110</v>
      </c>
      <c r="K16" s="287">
        <v>113</v>
      </c>
      <c r="L16" s="287">
        <v>123</v>
      </c>
      <c r="M16" s="287">
        <v>145</v>
      </c>
      <c r="N16" s="287">
        <v>253</v>
      </c>
      <c r="O16" s="28" t="s">
        <v>253</v>
      </c>
      <c r="P16" s="683">
        <f t="shared" si="13"/>
        <v>25.353999999999999</v>
      </c>
      <c r="Q16" s="291">
        <v>2.1720000000000002</v>
      </c>
      <c r="R16" s="291">
        <v>1.452</v>
      </c>
      <c r="S16" s="291">
        <v>2.2359999999999998</v>
      </c>
      <c r="T16" s="291">
        <v>1.9500000000000002</v>
      </c>
      <c r="U16" s="291">
        <v>1.698</v>
      </c>
      <c r="V16" s="291">
        <v>1.7290000000000001</v>
      </c>
      <c r="W16" s="291">
        <v>1.597</v>
      </c>
      <c r="X16" s="291">
        <v>1.835</v>
      </c>
      <c r="Y16" s="291">
        <v>1.923</v>
      </c>
      <c r="Z16" s="291">
        <v>2.093</v>
      </c>
      <c r="AA16" s="291">
        <v>2.6390000000000002</v>
      </c>
      <c r="AB16" s="291">
        <v>4.03</v>
      </c>
      <c r="AC16" s="28" t="s">
        <v>253</v>
      </c>
      <c r="AD16" s="684">
        <f t="shared" si="9"/>
        <v>16.98191560616209</v>
      </c>
      <c r="AE16" s="288">
        <f t="shared" si="9"/>
        <v>17.950413223140497</v>
      </c>
      <c r="AF16" s="288">
        <f t="shared" si="9"/>
        <v>16.689655172413794</v>
      </c>
      <c r="AG16" s="288">
        <f t="shared" si="9"/>
        <v>16.441176470588232</v>
      </c>
      <c r="AH16" s="288">
        <f t="shared" si="9"/>
        <v>18.750000000000004</v>
      </c>
      <c r="AI16" s="288">
        <f t="shared" si="9"/>
        <v>16.485436893203882</v>
      </c>
      <c r="AJ16" s="288">
        <f t="shared" si="9"/>
        <v>17.118811881188119</v>
      </c>
      <c r="AK16" s="288">
        <f t="shared" si="9"/>
        <v>16.463917525773198</v>
      </c>
      <c r="AL16" s="288">
        <f t="shared" si="9"/>
        <v>16.681818181818183</v>
      </c>
      <c r="AM16" s="288">
        <f t="shared" si="9"/>
        <v>17.017699115044248</v>
      </c>
      <c r="AN16" s="288">
        <f t="shared" si="9"/>
        <v>17.016260162601625</v>
      </c>
      <c r="AO16" s="288">
        <f t="shared" si="9"/>
        <v>18.2</v>
      </c>
      <c r="AP16" s="288">
        <f t="shared" si="9"/>
        <v>15.928853754940715</v>
      </c>
      <c r="AQ16" s="28" t="s">
        <v>253</v>
      </c>
      <c r="AR16" s="685">
        <f t="shared" si="14"/>
        <v>11857</v>
      </c>
      <c r="AS16" s="173">
        <v>940</v>
      </c>
      <c r="AT16" s="173">
        <v>932</v>
      </c>
      <c r="AU16" s="173">
        <v>923</v>
      </c>
      <c r="AV16" s="173">
        <v>823</v>
      </c>
      <c r="AW16" s="173">
        <v>877</v>
      </c>
      <c r="AX16" s="173">
        <v>942</v>
      </c>
      <c r="AY16" s="173">
        <v>1120</v>
      </c>
      <c r="AZ16" s="173">
        <v>1171</v>
      </c>
      <c r="BA16" s="173">
        <v>719</v>
      </c>
      <c r="BB16" s="173">
        <v>967</v>
      </c>
      <c r="BC16" s="173">
        <v>1055</v>
      </c>
      <c r="BD16" s="173">
        <v>1388</v>
      </c>
      <c r="BE16" s="28" t="s">
        <v>253</v>
      </c>
      <c r="BF16" s="682">
        <f t="shared" si="15"/>
        <v>653.64399999999989</v>
      </c>
      <c r="BG16" s="287">
        <v>57.673999999999999</v>
      </c>
      <c r="BH16" s="287">
        <v>56.603999999999999</v>
      </c>
      <c r="BI16" s="287">
        <v>51.314999999999998</v>
      </c>
      <c r="BJ16" s="287">
        <v>46.506</v>
      </c>
      <c r="BK16" s="287">
        <v>48.085999999999999</v>
      </c>
      <c r="BL16" s="287">
        <v>52.594999999999999</v>
      </c>
      <c r="BM16" s="287">
        <v>59.748000000000005</v>
      </c>
      <c r="BN16" s="287">
        <v>65.141999999999996</v>
      </c>
      <c r="BO16" s="287">
        <v>36.795999999999999</v>
      </c>
      <c r="BP16" s="287">
        <v>51.134</v>
      </c>
      <c r="BQ16" s="287">
        <v>55.54</v>
      </c>
      <c r="BR16" s="287">
        <v>72.504000000000005</v>
      </c>
      <c r="BS16" s="28" t="s">
        <v>253</v>
      </c>
      <c r="BT16" s="688">
        <f t="shared" si="10"/>
        <v>55.12726659357341</v>
      </c>
      <c r="BU16" s="286">
        <f t="shared" si="10"/>
        <v>61.355319148936168</v>
      </c>
      <c r="BV16" s="286">
        <f t="shared" si="10"/>
        <v>60.733905579399135</v>
      </c>
      <c r="BW16" s="286">
        <f t="shared" si="10"/>
        <v>55.595882990249187</v>
      </c>
      <c r="BX16" s="286">
        <f t="shared" si="10"/>
        <v>56.507897934386392</v>
      </c>
      <c r="BY16" s="286">
        <f t="shared" si="10"/>
        <v>54.830102622576966</v>
      </c>
      <c r="BZ16" s="286">
        <f t="shared" si="10"/>
        <v>55.833333333333329</v>
      </c>
      <c r="CA16" s="286">
        <f t="shared" si="10"/>
        <v>53.346428571428575</v>
      </c>
      <c r="CB16" s="286">
        <f t="shared" si="10"/>
        <v>55.629376601195553</v>
      </c>
      <c r="CC16" s="286">
        <f t="shared" si="10"/>
        <v>51.176634214186372</v>
      </c>
      <c r="CD16" s="286">
        <f t="shared" si="10"/>
        <v>52.87900723888314</v>
      </c>
      <c r="CE16" s="286">
        <f t="shared" si="10"/>
        <v>52.644549763033176</v>
      </c>
      <c r="CF16" s="286">
        <f t="shared" si="10"/>
        <v>52.236311239193093</v>
      </c>
      <c r="CG16" s="28" t="s">
        <v>253</v>
      </c>
      <c r="CH16" s="682">
        <f t="shared" si="16"/>
        <v>16605</v>
      </c>
      <c r="CI16" s="287">
        <v>1728</v>
      </c>
      <c r="CJ16" s="287">
        <v>1650</v>
      </c>
      <c r="CK16" s="287">
        <v>1500</v>
      </c>
      <c r="CL16" s="287">
        <v>1589</v>
      </c>
      <c r="CM16" s="287">
        <v>1544</v>
      </c>
      <c r="CN16" s="287">
        <v>1620</v>
      </c>
      <c r="CO16" s="287">
        <v>1858</v>
      </c>
      <c r="CP16" s="287">
        <v>1658</v>
      </c>
      <c r="CQ16" s="287">
        <v>674</v>
      </c>
      <c r="CR16" s="287">
        <v>766</v>
      </c>
      <c r="CS16" s="287">
        <v>906</v>
      </c>
      <c r="CT16" s="287">
        <v>1112</v>
      </c>
      <c r="CU16" s="28" t="s">
        <v>253</v>
      </c>
      <c r="CV16" s="682">
        <f t="shared" si="17"/>
        <v>1999.598</v>
      </c>
      <c r="CW16" s="287">
        <v>211.16800000000001</v>
      </c>
      <c r="CX16" s="287">
        <v>198.006</v>
      </c>
      <c r="CY16" s="287">
        <v>170.255</v>
      </c>
      <c r="CZ16" s="287">
        <v>183.78800000000001</v>
      </c>
      <c r="DA16" s="287">
        <v>176.232</v>
      </c>
      <c r="DB16" s="287">
        <v>188.43799999999999</v>
      </c>
      <c r="DC16" s="287">
        <v>218.62299999999999</v>
      </c>
      <c r="DD16" s="287">
        <v>191.84800000000001</v>
      </c>
      <c r="DE16" s="287">
        <v>88.24</v>
      </c>
      <c r="DF16" s="287">
        <v>102.40400000000001</v>
      </c>
      <c r="DG16" s="287">
        <v>124.114</v>
      </c>
      <c r="DH16" s="287">
        <v>146.482</v>
      </c>
      <c r="DI16" s="28" t="s">
        <v>253</v>
      </c>
      <c r="DJ16" s="688">
        <f t="shared" si="11"/>
        <v>120.42143932550437</v>
      </c>
      <c r="DK16" s="286">
        <f t="shared" si="11"/>
        <v>122.20370370370371</v>
      </c>
      <c r="DL16" s="286">
        <f t="shared" si="11"/>
        <v>120.00363636363637</v>
      </c>
      <c r="DM16" s="286">
        <f t="shared" si="11"/>
        <v>113.50333333333333</v>
      </c>
      <c r="DN16" s="286">
        <f t="shared" si="11"/>
        <v>115.6626809314034</v>
      </c>
      <c r="DO16" s="286">
        <f t="shared" si="11"/>
        <v>114.139896373057</v>
      </c>
      <c r="DP16" s="286">
        <f t="shared" si="11"/>
        <v>116.31975308641974</v>
      </c>
      <c r="DQ16" s="286">
        <f t="shared" si="11"/>
        <v>117.66576964477933</v>
      </c>
      <c r="DR16" s="286">
        <f t="shared" si="11"/>
        <v>115.71049457177322</v>
      </c>
      <c r="DS16" s="286">
        <f t="shared" si="11"/>
        <v>130.91988130563797</v>
      </c>
      <c r="DT16" s="286">
        <f t="shared" si="11"/>
        <v>133.68668407310707</v>
      </c>
      <c r="DU16" s="286">
        <f t="shared" si="11"/>
        <v>136.99116997792495</v>
      </c>
      <c r="DV16" s="286">
        <f t="shared" si="11"/>
        <v>131.72841726618705</v>
      </c>
    </row>
    <row r="17" spans="1:126" ht="12.5" customHeight="1">
      <c r="A17" s="28" t="s">
        <v>254</v>
      </c>
      <c r="B17" s="682">
        <f t="shared" si="12"/>
        <v>34008</v>
      </c>
      <c r="C17" s="287">
        <v>3239</v>
      </c>
      <c r="D17" s="287">
        <v>2850</v>
      </c>
      <c r="E17" s="287">
        <v>2621</v>
      </c>
      <c r="F17" s="287">
        <v>2453</v>
      </c>
      <c r="G17" s="287">
        <v>2292</v>
      </c>
      <c r="H17" s="287">
        <v>2533</v>
      </c>
      <c r="I17" s="287">
        <v>4207</v>
      </c>
      <c r="J17" s="287">
        <v>2290</v>
      </c>
      <c r="K17" s="287">
        <v>2254</v>
      </c>
      <c r="L17" s="287">
        <v>3770</v>
      </c>
      <c r="M17" s="287">
        <v>2399</v>
      </c>
      <c r="N17" s="287">
        <v>3100</v>
      </c>
      <c r="O17" s="28" t="s">
        <v>254</v>
      </c>
      <c r="P17" s="683">
        <f t="shared" si="13"/>
        <v>502.28760502313725</v>
      </c>
      <c r="Q17" s="291">
        <v>43.839729205825726</v>
      </c>
      <c r="R17" s="291">
        <v>43.941115169750191</v>
      </c>
      <c r="S17" s="291">
        <v>44.064874657276818</v>
      </c>
      <c r="T17" s="291">
        <v>41.717224000000002</v>
      </c>
      <c r="U17" s="291">
        <v>42.822398</v>
      </c>
      <c r="V17" s="291">
        <v>40.501329108394927</v>
      </c>
      <c r="W17" s="291">
        <v>41.164735262253004</v>
      </c>
      <c r="X17" s="291">
        <v>44.190917786735071</v>
      </c>
      <c r="Y17" s="291">
        <v>41.897182206985796</v>
      </c>
      <c r="Z17" s="291">
        <v>40.573961763</v>
      </c>
      <c r="AA17" s="291">
        <v>38.950637228915667</v>
      </c>
      <c r="AB17" s="291">
        <v>38.623500633999996</v>
      </c>
      <c r="AC17" s="28" t="s">
        <v>254</v>
      </c>
      <c r="AD17" s="684">
        <f t="shared" si="9"/>
        <v>14.769689632531676</v>
      </c>
      <c r="AE17" s="288">
        <f t="shared" si="9"/>
        <v>13.534958075278087</v>
      </c>
      <c r="AF17" s="288">
        <f t="shared" si="9"/>
        <v>15.417935147280769</v>
      </c>
      <c r="AG17" s="288">
        <f t="shared" si="9"/>
        <v>16.81223756477559</v>
      </c>
      <c r="AH17" s="288">
        <f t="shared" si="9"/>
        <v>17.006613942111702</v>
      </c>
      <c r="AI17" s="288">
        <f t="shared" si="9"/>
        <v>18.68341972076789</v>
      </c>
      <c r="AJ17" s="288">
        <f t="shared" si="9"/>
        <v>15.989470631028395</v>
      </c>
      <c r="AK17" s="288">
        <f t="shared" si="9"/>
        <v>9.7848194110418358</v>
      </c>
      <c r="AL17" s="288">
        <f t="shared" si="9"/>
        <v>19.297344011674703</v>
      </c>
      <c r="AM17" s="288">
        <f t="shared" si="9"/>
        <v>18.587924670357499</v>
      </c>
      <c r="AN17" s="288">
        <f t="shared" si="9"/>
        <v>10.762324075066314</v>
      </c>
      <c r="AO17" s="288">
        <f t="shared" si="9"/>
        <v>16.236197260906906</v>
      </c>
      <c r="AP17" s="288">
        <f t="shared" si="9"/>
        <v>12.459193752903225</v>
      </c>
      <c r="AQ17" s="28" t="s">
        <v>254</v>
      </c>
      <c r="AR17" s="685">
        <f t="shared" si="14"/>
        <v>17874</v>
      </c>
      <c r="AS17" s="173">
        <v>1619</v>
      </c>
      <c r="AT17" s="173">
        <v>1413</v>
      </c>
      <c r="AU17" s="173">
        <v>1534</v>
      </c>
      <c r="AV17" s="173">
        <v>1496</v>
      </c>
      <c r="AW17" s="173">
        <v>1607</v>
      </c>
      <c r="AX17" s="173">
        <v>1409</v>
      </c>
      <c r="AY17" s="173">
        <v>1601</v>
      </c>
      <c r="AZ17" s="173">
        <v>1425</v>
      </c>
      <c r="BA17" s="173">
        <v>1462</v>
      </c>
      <c r="BB17" s="173">
        <v>1485</v>
      </c>
      <c r="BC17" s="173">
        <v>1218</v>
      </c>
      <c r="BD17" s="173">
        <v>1605</v>
      </c>
      <c r="BE17" s="28" t="s">
        <v>254</v>
      </c>
      <c r="BF17" s="682">
        <f t="shared" si="15"/>
        <v>562.11048715174252</v>
      </c>
      <c r="BG17" s="287">
        <v>56.52747505454542</v>
      </c>
      <c r="BH17" s="287">
        <v>44.409430641835826</v>
      </c>
      <c r="BI17" s="287">
        <v>48.096623474572155</v>
      </c>
      <c r="BJ17" s="287">
        <v>49.532059000000004</v>
      </c>
      <c r="BK17" s="287">
        <v>56.315729187999992</v>
      </c>
      <c r="BL17" s="287">
        <v>46.191519999999997</v>
      </c>
      <c r="BM17" s="287">
        <v>49.648478143138419</v>
      </c>
      <c r="BN17" s="287">
        <v>44.679193658000003</v>
      </c>
      <c r="BO17" s="287">
        <v>47.945438549443793</v>
      </c>
      <c r="BP17" s="287">
        <v>47.921691650018246</v>
      </c>
      <c r="BQ17" s="287">
        <v>16.25394379218865</v>
      </c>
      <c r="BR17" s="287">
        <v>54.588903999999999</v>
      </c>
      <c r="BS17" s="28" t="s">
        <v>254</v>
      </c>
      <c r="BT17" s="688">
        <f t="shared" si="10"/>
        <v>31.448499896595191</v>
      </c>
      <c r="BU17" s="286">
        <f t="shared" si="10"/>
        <v>34.915055623561102</v>
      </c>
      <c r="BV17" s="286">
        <f t="shared" si="10"/>
        <v>31.429179505899381</v>
      </c>
      <c r="BW17" s="286">
        <f t="shared" si="10"/>
        <v>31.353731078599839</v>
      </c>
      <c r="BX17" s="286">
        <f t="shared" si="10"/>
        <v>33.109665106951873</v>
      </c>
      <c r="BY17" s="286">
        <f t="shared" si="10"/>
        <v>35.044013184816421</v>
      </c>
      <c r="BZ17" s="286">
        <f t="shared" si="10"/>
        <v>32.783193754435764</v>
      </c>
      <c r="CA17" s="286">
        <f t="shared" si="10"/>
        <v>31.010917016326307</v>
      </c>
      <c r="CB17" s="286">
        <f t="shared" si="10"/>
        <v>31.353820110877194</v>
      </c>
      <c r="CC17" s="286">
        <f t="shared" si="10"/>
        <v>32.794417612478661</v>
      </c>
      <c r="CD17" s="286">
        <f t="shared" si="10"/>
        <v>32.270499427621715</v>
      </c>
      <c r="CE17" s="286">
        <f t="shared" si="10"/>
        <v>13.344781438578531</v>
      </c>
      <c r="CF17" s="286">
        <f t="shared" si="10"/>
        <v>34.011778193146412</v>
      </c>
      <c r="CG17" s="28" t="s">
        <v>254</v>
      </c>
      <c r="CH17" s="682">
        <f t="shared" si="16"/>
        <v>29373</v>
      </c>
      <c r="CI17" s="287">
        <v>2512</v>
      </c>
      <c r="CJ17" s="287">
        <v>2320</v>
      </c>
      <c r="CK17" s="287">
        <v>2427</v>
      </c>
      <c r="CL17" s="287">
        <v>2396</v>
      </c>
      <c r="CM17" s="287">
        <v>2433</v>
      </c>
      <c r="CN17" s="287">
        <v>2375</v>
      </c>
      <c r="CO17" s="287">
        <v>2430</v>
      </c>
      <c r="CP17" s="287">
        <v>2353</v>
      </c>
      <c r="CQ17" s="287">
        <v>2415</v>
      </c>
      <c r="CR17" s="287">
        <v>2497</v>
      </c>
      <c r="CS17" s="287">
        <v>2604</v>
      </c>
      <c r="CT17" s="287">
        <v>2611</v>
      </c>
      <c r="CU17" s="28" t="s">
        <v>254</v>
      </c>
      <c r="CV17" s="682">
        <f t="shared" si="17"/>
        <v>3770.1757628157829</v>
      </c>
      <c r="CW17" s="287">
        <v>320.70866916233899</v>
      </c>
      <c r="CX17" s="287">
        <v>301.45364483971468</v>
      </c>
      <c r="CY17" s="287">
        <v>308.37986999999998</v>
      </c>
      <c r="CZ17" s="287">
        <v>309.44761579999999</v>
      </c>
      <c r="DA17" s="287">
        <v>314.18045000000001</v>
      </c>
      <c r="DB17" s="287">
        <v>299.11118255110654</v>
      </c>
      <c r="DC17" s="287">
        <v>319.13891851099999</v>
      </c>
      <c r="DD17" s="287">
        <v>304.85713223762258</v>
      </c>
      <c r="DE17" s="287">
        <v>309.94489630399994</v>
      </c>
      <c r="DF17" s="287">
        <v>310.43649979999998</v>
      </c>
      <c r="DG17" s="287">
        <v>325.05374870000003</v>
      </c>
      <c r="DH17" s="287">
        <v>347.46313491000001</v>
      </c>
      <c r="DI17" s="28" t="s">
        <v>254</v>
      </c>
      <c r="DJ17" s="688">
        <f t="shared" si="11"/>
        <v>128.35514802082807</v>
      </c>
      <c r="DK17" s="286">
        <f t="shared" si="11"/>
        <v>127.67064855188653</v>
      </c>
      <c r="DL17" s="286">
        <f t="shared" si="11"/>
        <v>129.93691587918738</v>
      </c>
      <c r="DM17" s="286">
        <f t="shared" si="11"/>
        <v>127.0621631644005</v>
      </c>
      <c r="DN17" s="286">
        <f t="shared" si="11"/>
        <v>129.15175951585977</v>
      </c>
      <c r="DO17" s="286">
        <f t="shared" si="11"/>
        <v>129.13294286888615</v>
      </c>
      <c r="DP17" s="286">
        <f t="shared" si="11"/>
        <v>125.94155054783432</v>
      </c>
      <c r="DQ17" s="286">
        <f t="shared" si="11"/>
        <v>131.33288827613168</v>
      </c>
      <c r="DR17" s="286">
        <f t="shared" si="11"/>
        <v>129.56104217493521</v>
      </c>
      <c r="DS17" s="286">
        <f t="shared" si="11"/>
        <v>128.34157196852999</v>
      </c>
      <c r="DT17" s="286">
        <f t="shared" si="11"/>
        <v>124.32378846615939</v>
      </c>
      <c r="DU17" s="286">
        <f t="shared" si="11"/>
        <v>124.82862853302612</v>
      </c>
      <c r="DV17" s="286">
        <f t="shared" si="11"/>
        <v>133.07665067407123</v>
      </c>
    </row>
    <row r="18" spans="1:126" ht="12.5" customHeight="1">
      <c r="A18" s="28" t="s">
        <v>255</v>
      </c>
      <c r="B18" s="682">
        <f t="shared" si="12"/>
        <v>67122</v>
      </c>
      <c r="C18" s="287">
        <v>5238</v>
      </c>
      <c r="D18" s="287">
        <v>5395</v>
      </c>
      <c r="E18" s="287">
        <v>5165</v>
      </c>
      <c r="F18" s="287">
        <v>5998</v>
      </c>
      <c r="G18" s="287">
        <v>5872</v>
      </c>
      <c r="H18" s="287">
        <v>6466</v>
      </c>
      <c r="I18" s="287">
        <v>2169</v>
      </c>
      <c r="J18" s="287">
        <v>6529</v>
      </c>
      <c r="K18" s="287">
        <v>6496</v>
      </c>
      <c r="L18" s="287">
        <v>5565</v>
      </c>
      <c r="M18" s="287">
        <v>6210</v>
      </c>
      <c r="N18" s="287">
        <v>6019</v>
      </c>
      <c r="O18" s="28" t="s">
        <v>255</v>
      </c>
      <c r="P18" s="683">
        <f t="shared" si="13"/>
        <v>920.36659999999995</v>
      </c>
      <c r="Q18" s="291">
        <v>71.604199999999992</v>
      </c>
      <c r="R18" s="291">
        <v>72.884799999999998</v>
      </c>
      <c r="S18" s="291">
        <v>69.728499999999997</v>
      </c>
      <c r="T18" s="291">
        <v>82.524000000000001</v>
      </c>
      <c r="U18" s="291">
        <v>79.759</v>
      </c>
      <c r="V18" s="291">
        <v>90.673099999999991</v>
      </c>
      <c r="W18" s="291">
        <v>33.602000000000004</v>
      </c>
      <c r="X18" s="291">
        <v>91.208199999999991</v>
      </c>
      <c r="Y18" s="291">
        <v>90.826499999999996</v>
      </c>
      <c r="Z18" s="291">
        <v>77.58</v>
      </c>
      <c r="AA18" s="291">
        <v>86.563099999999991</v>
      </c>
      <c r="AB18" s="291">
        <v>73.413200000000003</v>
      </c>
      <c r="AC18" s="28" t="s">
        <v>255</v>
      </c>
      <c r="AD18" s="684">
        <f t="shared" si="9"/>
        <v>13.711847084413455</v>
      </c>
      <c r="AE18" s="288">
        <f t="shared" si="9"/>
        <v>13.670141275295913</v>
      </c>
      <c r="AF18" s="288">
        <f t="shared" si="9"/>
        <v>13.509694161260427</v>
      </c>
      <c r="AG18" s="288">
        <f t="shared" si="9"/>
        <v>13.500193610842206</v>
      </c>
      <c r="AH18" s="288">
        <f t="shared" si="9"/>
        <v>13.758586195398467</v>
      </c>
      <c r="AI18" s="288">
        <f t="shared" si="9"/>
        <v>13.582935967302452</v>
      </c>
      <c r="AJ18" s="288">
        <f t="shared" si="9"/>
        <v>14.023059078255487</v>
      </c>
      <c r="AK18" s="288">
        <f t="shared" si="9"/>
        <v>15.491931765790689</v>
      </c>
      <c r="AL18" s="288">
        <f t="shared" si="9"/>
        <v>13.969704395772705</v>
      </c>
      <c r="AM18" s="288">
        <f t="shared" si="9"/>
        <v>13.981911945812808</v>
      </c>
      <c r="AN18" s="288">
        <f t="shared" si="9"/>
        <v>13.940700808625337</v>
      </c>
      <c r="AO18" s="288">
        <f t="shared" si="9"/>
        <v>13.939307568438002</v>
      </c>
      <c r="AP18" s="288">
        <f t="shared" si="9"/>
        <v>12.196909785678685</v>
      </c>
      <c r="AQ18" s="28" t="s">
        <v>255</v>
      </c>
      <c r="AR18" s="685">
        <f t="shared" si="14"/>
        <v>1394375</v>
      </c>
      <c r="AS18" s="173">
        <v>88769</v>
      </c>
      <c r="AT18" s="173">
        <v>101099</v>
      </c>
      <c r="AU18" s="173">
        <v>114694</v>
      </c>
      <c r="AV18" s="173">
        <v>120621</v>
      </c>
      <c r="AW18" s="173">
        <v>127464</v>
      </c>
      <c r="AX18" s="173">
        <v>126093</v>
      </c>
      <c r="AY18" s="173">
        <v>105745</v>
      </c>
      <c r="AZ18" s="173">
        <v>118576</v>
      </c>
      <c r="BA18" s="173">
        <v>117128</v>
      </c>
      <c r="BB18" s="173">
        <v>114259</v>
      </c>
      <c r="BC18" s="173">
        <v>111980</v>
      </c>
      <c r="BD18" s="173">
        <v>147947</v>
      </c>
      <c r="BE18" s="28" t="s">
        <v>255</v>
      </c>
      <c r="BF18" s="682">
        <f t="shared" si="15"/>
        <v>107893.66592817311</v>
      </c>
      <c r="BG18" s="287">
        <v>6984.2080000000005</v>
      </c>
      <c r="BH18" s="287">
        <v>7837.7023045916958</v>
      </c>
      <c r="BI18" s="287">
        <v>8940.2345220932293</v>
      </c>
      <c r="BJ18" s="287">
        <v>9453.1252277710701</v>
      </c>
      <c r="BK18" s="287">
        <v>9954.8858708568605</v>
      </c>
      <c r="BL18" s="287">
        <v>9692.9171822835688</v>
      </c>
      <c r="BM18" s="287">
        <v>8022.0202800000006</v>
      </c>
      <c r="BN18" s="287">
        <v>9294.3313816567479</v>
      </c>
      <c r="BO18" s="287">
        <v>9096.6613684316999</v>
      </c>
      <c r="BP18" s="287">
        <v>8813.3809968289206</v>
      </c>
      <c r="BQ18" s="287">
        <v>8689.8898936593032</v>
      </c>
      <c r="BR18" s="287">
        <v>11114.3089</v>
      </c>
      <c r="BS18" s="28" t="s">
        <v>255</v>
      </c>
      <c r="BT18" s="688">
        <f t="shared" si="10"/>
        <v>77.377797169465254</v>
      </c>
      <c r="BU18" s="286">
        <f t="shared" si="10"/>
        <v>78.67845756964708</v>
      </c>
      <c r="BV18" s="286">
        <f t="shared" si="10"/>
        <v>77.52502304267793</v>
      </c>
      <c r="BW18" s="286">
        <f t="shared" si="10"/>
        <v>77.948580763538018</v>
      </c>
      <c r="BX18" s="286">
        <f t="shared" si="10"/>
        <v>78.370476349649479</v>
      </c>
      <c r="BY18" s="286">
        <f t="shared" si="10"/>
        <v>78.099587890360098</v>
      </c>
      <c r="BZ18" s="286">
        <f t="shared" si="10"/>
        <v>76.87117589623189</v>
      </c>
      <c r="CA18" s="286">
        <f t="shared" si="10"/>
        <v>75.861934654120759</v>
      </c>
      <c r="CB18" s="286">
        <f t="shared" si="10"/>
        <v>78.382905323646852</v>
      </c>
      <c r="CC18" s="286">
        <f t="shared" si="10"/>
        <v>77.664276419231101</v>
      </c>
      <c r="CD18" s="286">
        <f t="shared" si="10"/>
        <v>77.135114055163442</v>
      </c>
      <c r="CE18" s="286">
        <f t="shared" si="10"/>
        <v>77.602160150556372</v>
      </c>
      <c r="CF18" s="286">
        <f t="shared" si="10"/>
        <v>75.123584121340755</v>
      </c>
      <c r="CG18" s="28" t="s">
        <v>255</v>
      </c>
      <c r="CH18" s="682">
        <f t="shared" si="16"/>
        <v>351333</v>
      </c>
      <c r="CI18" s="287">
        <v>27989</v>
      </c>
      <c r="CJ18" s="287">
        <v>27638</v>
      </c>
      <c r="CK18" s="287">
        <v>30245</v>
      </c>
      <c r="CL18" s="287">
        <v>28991</v>
      </c>
      <c r="CM18" s="287">
        <v>29109</v>
      </c>
      <c r="CN18" s="287">
        <v>29955</v>
      </c>
      <c r="CO18" s="287">
        <v>26153</v>
      </c>
      <c r="CP18" s="287">
        <v>33025</v>
      </c>
      <c r="CQ18" s="287">
        <v>30719</v>
      </c>
      <c r="CR18" s="287">
        <v>29277</v>
      </c>
      <c r="CS18" s="287">
        <v>28860</v>
      </c>
      <c r="CT18" s="287">
        <v>29372</v>
      </c>
      <c r="CU18" s="28" t="s">
        <v>255</v>
      </c>
      <c r="CV18" s="682">
        <f t="shared" si="17"/>
        <v>84369.808233622549</v>
      </c>
      <c r="CW18" s="287">
        <v>6780.5054999999993</v>
      </c>
      <c r="CX18" s="287">
        <v>6591.393</v>
      </c>
      <c r="CY18" s="287">
        <v>7207.5826999999999</v>
      </c>
      <c r="CZ18" s="287">
        <v>6958.7314999999999</v>
      </c>
      <c r="DA18" s="287">
        <v>7015.5364999999993</v>
      </c>
      <c r="DB18" s="287">
        <v>7213.627533622559</v>
      </c>
      <c r="DC18" s="287">
        <v>6165.5199999999995</v>
      </c>
      <c r="DD18" s="287">
        <v>7924.2974999999997</v>
      </c>
      <c r="DE18" s="287">
        <v>7255.4295000000002</v>
      </c>
      <c r="DF18" s="287">
        <v>7081.7109999999993</v>
      </c>
      <c r="DG18" s="287">
        <v>7018.2285000000002</v>
      </c>
      <c r="DH18" s="287">
        <v>7157.2449999999999</v>
      </c>
      <c r="DI18" s="28" t="s">
        <v>255</v>
      </c>
      <c r="DJ18" s="688">
        <f t="shared" si="11"/>
        <v>240.1419970046154</v>
      </c>
      <c r="DK18" s="286">
        <f t="shared" si="11"/>
        <v>242.25608274679337</v>
      </c>
      <c r="DL18" s="286">
        <f t="shared" si="11"/>
        <v>238.49023084159489</v>
      </c>
      <c r="DM18" s="286">
        <f t="shared" si="11"/>
        <v>238.30658621259713</v>
      </c>
      <c r="DN18" s="286">
        <f t="shared" si="11"/>
        <v>240.03075092270015</v>
      </c>
      <c r="DO18" s="286">
        <f t="shared" si="11"/>
        <v>241.00918959771889</v>
      </c>
      <c r="DP18" s="286">
        <f t="shared" si="11"/>
        <v>240.81547433225035</v>
      </c>
      <c r="DQ18" s="286">
        <f t="shared" si="11"/>
        <v>235.74809773257368</v>
      </c>
      <c r="DR18" s="286">
        <f t="shared" si="11"/>
        <v>239.94844814534443</v>
      </c>
      <c r="DS18" s="286">
        <f t="shared" si="11"/>
        <v>236.18703408314073</v>
      </c>
      <c r="DT18" s="286">
        <f t="shared" si="11"/>
        <v>241.88649793353142</v>
      </c>
      <c r="DU18" s="286">
        <f t="shared" si="11"/>
        <v>243.1818607068607</v>
      </c>
      <c r="DV18" s="286">
        <f t="shared" si="11"/>
        <v>243.67577965409231</v>
      </c>
    </row>
    <row r="19" spans="1:126" ht="12.5" customHeight="1">
      <c r="A19" s="28" t="s">
        <v>256</v>
      </c>
      <c r="B19" s="682">
        <f t="shared" si="12"/>
        <v>2384</v>
      </c>
      <c r="C19" s="287">
        <v>197</v>
      </c>
      <c r="D19" s="287">
        <v>214</v>
      </c>
      <c r="E19" s="287">
        <v>222</v>
      </c>
      <c r="F19" s="287">
        <v>175</v>
      </c>
      <c r="G19" s="287">
        <v>211</v>
      </c>
      <c r="H19" s="287">
        <v>231</v>
      </c>
      <c r="I19" s="287">
        <v>245</v>
      </c>
      <c r="J19" s="287">
        <v>187</v>
      </c>
      <c r="K19" s="287">
        <v>169</v>
      </c>
      <c r="L19" s="287">
        <v>174</v>
      </c>
      <c r="M19" s="287">
        <v>186</v>
      </c>
      <c r="N19" s="287">
        <v>173</v>
      </c>
      <c r="O19" s="28" t="s">
        <v>256</v>
      </c>
      <c r="P19" s="683">
        <f t="shared" si="13"/>
        <v>29.245000000000005</v>
      </c>
      <c r="Q19" s="291">
        <v>2.3810000000000002</v>
      </c>
      <c r="R19" s="291">
        <v>2.5940000000000003</v>
      </c>
      <c r="S19" s="291">
        <v>2.7450000000000001</v>
      </c>
      <c r="T19" s="291">
        <v>2.7490000000000001</v>
      </c>
      <c r="U19" s="291">
        <v>2.8719999999999999</v>
      </c>
      <c r="V19" s="291">
        <v>2.8730000000000002</v>
      </c>
      <c r="W19" s="291">
        <v>3.1930000000000001</v>
      </c>
      <c r="X19" s="291">
        <v>2.1669999999999998</v>
      </c>
      <c r="Y19" s="291">
        <v>1.9990000000000001</v>
      </c>
      <c r="Z19" s="291">
        <v>1.9510000000000001</v>
      </c>
      <c r="AA19" s="291">
        <v>1.8580000000000001</v>
      </c>
      <c r="AB19" s="291">
        <v>1.863</v>
      </c>
      <c r="AC19" s="28" t="s">
        <v>256</v>
      </c>
      <c r="AD19" s="684">
        <f t="shared" si="9"/>
        <v>12.267197986577184</v>
      </c>
      <c r="AE19" s="288">
        <f t="shared" si="9"/>
        <v>12.086294416243657</v>
      </c>
      <c r="AF19" s="288">
        <f t="shared" si="9"/>
        <v>12.121495327102805</v>
      </c>
      <c r="AG19" s="288">
        <f t="shared" si="9"/>
        <v>12.364864864864865</v>
      </c>
      <c r="AH19" s="288">
        <f t="shared" si="9"/>
        <v>15.70857142857143</v>
      </c>
      <c r="AI19" s="288">
        <f t="shared" si="9"/>
        <v>13.611374407582939</v>
      </c>
      <c r="AJ19" s="288">
        <f t="shared" si="9"/>
        <v>12.437229437229437</v>
      </c>
      <c r="AK19" s="288">
        <f t="shared" si="9"/>
        <v>13.03265306122449</v>
      </c>
      <c r="AL19" s="288">
        <f t="shared" si="9"/>
        <v>11.588235294117645</v>
      </c>
      <c r="AM19" s="288">
        <f t="shared" si="9"/>
        <v>11.828402366863905</v>
      </c>
      <c r="AN19" s="288">
        <f t="shared" si="9"/>
        <v>11.212643678160919</v>
      </c>
      <c r="AO19" s="288">
        <f t="shared" si="9"/>
        <v>9.9892473118279579</v>
      </c>
      <c r="AP19" s="288">
        <f t="shared" si="9"/>
        <v>10.76878612716763</v>
      </c>
      <c r="AQ19" s="28" t="s">
        <v>256</v>
      </c>
      <c r="AR19" s="685">
        <f t="shared" si="14"/>
        <v>19261</v>
      </c>
      <c r="AS19" s="173">
        <v>1471</v>
      </c>
      <c r="AT19" s="173">
        <v>1602</v>
      </c>
      <c r="AU19" s="173">
        <v>1454</v>
      </c>
      <c r="AV19" s="173">
        <v>1269</v>
      </c>
      <c r="AW19" s="173">
        <v>1510</v>
      </c>
      <c r="AX19" s="173">
        <v>1594</v>
      </c>
      <c r="AY19" s="173">
        <v>1864</v>
      </c>
      <c r="AZ19" s="173">
        <v>1817</v>
      </c>
      <c r="BA19" s="173">
        <v>1875</v>
      </c>
      <c r="BB19" s="173">
        <v>1419</v>
      </c>
      <c r="BC19" s="173">
        <v>1653</v>
      </c>
      <c r="BD19" s="173">
        <v>1733</v>
      </c>
      <c r="BE19" s="28" t="s">
        <v>256</v>
      </c>
      <c r="BF19" s="682">
        <f t="shared" si="15"/>
        <v>1397.8607000000004</v>
      </c>
      <c r="BG19" s="287">
        <v>108.70400000000001</v>
      </c>
      <c r="BH19" s="287">
        <v>118.85339999999999</v>
      </c>
      <c r="BI19" s="287">
        <v>110.20349999999999</v>
      </c>
      <c r="BJ19" s="287">
        <v>94.01</v>
      </c>
      <c r="BK19" s="287">
        <v>114.18</v>
      </c>
      <c r="BL19" s="287">
        <v>113.922</v>
      </c>
      <c r="BM19" s="287">
        <v>135.68700000000001</v>
      </c>
      <c r="BN19" s="287">
        <v>128.56</v>
      </c>
      <c r="BO19" s="287">
        <v>135.8022</v>
      </c>
      <c r="BP19" s="287">
        <v>101.88200000000001</v>
      </c>
      <c r="BQ19" s="287">
        <v>114.7606</v>
      </c>
      <c r="BR19" s="287">
        <v>121.29599999999999</v>
      </c>
      <c r="BS19" s="28" t="s">
        <v>256</v>
      </c>
      <c r="BT19" s="688">
        <f t="shared" si="10"/>
        <v>72.574669020300107</v>
      </c>
      <c r="BU19" s="286">
        <f t="shared" si="10"/>
        <v>73.898028552005442</v>
      </c>
      <c r="BV19" s="286">
        <f t="shared" si="10"/>
        <v>74.190636704119854</v>
      </c>
      <c r="BW19" s="286">
        <f t="shared" si="10"/>
        <v>75.793328748280601</v>
      </c>
      <c r="BX19" s="286">
        <f t="shared" si="10"/>
        <v>74.081954294720248</v>
      </c>
      <c r="BY19" s="286">
        <f t="shared" si="10"/>
        <v>75.61589403973511</v>
      </c>
      <c r="BZ19" s="286">
        <f t="shared" si="10"/>
        <v>71.469259723964868</v>
      </c>
      <c r="CA19" s="286">
        <f t="shared" si="10"/>
        <v>72.793454935622321</v>
      </c>
      <c r="CB19" s="286">
        <f t="shared" si="10"/>
        <v>70.753990093560816</v>
      </c>
      <c r="CC19" s="286">
        <f t="shared" si="10"/>
        <v>72.427839999999989</v>
      </c>
      <c r="CD19" s="286">
        <f t="shared" si="10"/>
        <v>71.798449612403104</v>
      </c>
      <c r="CE19" s="286">
        <f t="shared" si="10"/>
        <v>69.425650332728367</v>
      </c>
      <c r="CF19" s="286">
        <f t="shared" si="10"/>
        <v>69.991921523369868</v>
      </c>
      <c r="CG19" s="28" t="s">
        <v>256</v>
      </c>
      <c r="CH19" s="682">
        <f t="shared" si="16"/>
        <v>19862</v>
      </c>
      <c r="CI19" s="11">
        <v>1912</v>
      </c>
      <c r="CJ19" s="287">
        <v>1710</v>
      </c>
      <c r="CK19" s="287">
        <v>1334</v>
      </c>
      <c r="CL19" s="287">
        <v>1248</v>
      </c>
      <c r="CM19" s="287">
        <v>1345</v>
      </c>
      <c r="CN19" s="287">
        <v>1314</v>
      </c>
      <c r="CO19" s="287">
        <v>1448</v>
      </c>
      <c r="CP19" s="287">
        <v>1616</v>
      </c>
      <c r="CQ19" s="287">
        <v>1978</v>
      </c>
      <c r="CR19" s="287">
        <v>1772</v>
      </c>
      <c r="CS19" s="287">
        <v>2108</v>
      </c>
      <c r="CT19" s="287">
        <v>2077</v>
      </c>
      <c r="CU19" s="28" t="s">
        <v>256</v>
      </c>
      <c r="CV19" s="682">
        <f t="shared" si="17"/>
        <v>3283.2151500000004</v>
      </c>
      <c r="CW19" s="287">
        <v>345.45400000000001</v>
      </c>
      <c r="CX19" s="287">
        <v>308.142</v>
      </c>
      <c r="CY19" s="287">
        <v>216.08199999999999</v>
      </c>
      <c r="CZ19" s="287">
        <v>237.001</v>
      </c>
      <c r="DA19" s="287">
        <v>206.13785000000001</v>
      </c>
      <c r="DB19" s="287">
        <v>232.87650000000002</v>
      </c>
      <c r="DC19" s="287">
        <v>281.51549999999997</v>
      </c>
      <c r="DD19" s="287">
        <v>231.28980000000001</v>
      </c>
      <c r="DE19" s="287">
        <v>305.60599999999999</v>
      </c>
      <c r="DF19" s="287">
        <v>276.91699999999997</v>
      </c>
      <c r="DG19" s="287">
        <v>324.28449999999998</v>
      </c>
      <c r="DH19" s="287">
        <v>317.90899999999999</v>
      </c>
      <c r="DI19" s="28" t="s">
        <v>256</v>
      </c>
      <c r="DJ19" s="688">
        <f t="shared" si="11"/>
        <v>165.30133672339142</v>
      </c>
      <c r="DK19" s="286">
        <f>(CW19/CI20)*1000</f>
        <v>211.93496932515339</v>
      </c>
      <c r="DL19" s="286">
        <f t="shared" si="11"/>
        <v>180.2</v>
      </c>
      <c r="DM19" s="286">
        <f t="shared" si="11"/>
        <v>161.98050974512742</v>
      </c>
      <c r="DN19" s="286">
        <f t="shared" si="11"/>
        <v>189.90464743589743</v>
      </c>
      <c r="DO19" s="286">
        <f t="shared" si="11"/>
        <v>153.26234200743497</v>
      </c>
      <c r="DP19" s="286">
        <f t="shared" si="11"/>
        <v>177.22716894977171</v>
      </c>
      <c r="DQ19" s="286">
        <f t="shared" si="11"/>
        <v>194.4167817679558</v>
      </c>
      <c r="DR19" s="286">
        <f t="shared" si="11"/>
        <v>143.12487623762377</v>
      </c>
      <c r="DS19" s="286">
        <f t="shared" si="11"/>
        <v>154.5025278058645</v>
      </c>
      <c r="DT19" s="286">
        <f t="shared" si="11"/>
        <v>156.27370203160271</v>
      </c>
      <c r="DU19" s="286">
        <f t="shared" si="11"/>
        <v>153.83515180265653</v>
      </c>
      <c r="DV19" s="286">
        <f t="shared" si="11"/>
        <v>153.0616273471353</v>
      </c>
    </row>
    <row r="20" spans="1:126" ht="12.5" customHeight="1">
      <c r="A20" s="28" t="s">
        <v>257</v>
      </c>
      <c r="B20" s="682">
        <f t="shared" si="12"/>
        <v>25901</v>
      </c>
      <c r="C20" s="287">
        <v>2539</v>
      </c>
      <c r="D20" s="287">
        <v>2215</v>
      </c>
      <c r="E20" s="287">
        <v>1971</v>
      </c>
      <c r="F20" s="287">
        <v>1838</v>
      </c>
      <c r="G20" s="287">
        <v>1872</v>
      </c>
      <c r="H20" s="287">
        <v>2178</v>
      </c>
      <c r="I20" s="287">
        <v>2389</v>
      </c>
      <c r="J20" s="287">
        <v>2025</v>
      </c>
      <c r="K20" s="287">
        <v>1944</v>
      </c>
      <c r="L20" s="287">
        <v>2016</v>
      </c>
      <c r="M20" s="287">
        <v>2224</v>
      </c>
      <c r="N20" s="287">
        <v>2690</v>
      </c>
      <c r="O20" s="28" t="s">
        <v>257</v>
      </c>
      <c r="P20" s="683">
        <f t="shared" si="13"/>
        <v>388.19973999999991</v>
      </c>
      <c r="Q20" s="291">
        <v>31.61233</v>
      </c>
      <c r="R20" s="291">
        <v>28.116919999999997</v>
      </c>
      <c r="S20" s="291">
        <v>27.938420000000001</v>
      </c>
      <c r="T20" s="291">
        <v>25.810009999999998</v>
      </c>
      <c r="U20" s="291">
        <v>25.953849999999999</v>
      </c>
      <c r="V20" s="291">
        <v>32.366349999999997</v>
      </c>
      <c r="W20" s="291">
        <v>36.416260000000001</v>
      </c>
      <c r="X20" s="291">
        <v>34.671410000000002</v>
      </c>
      <c r="Y20" s="291">
        <v>32.019280000000002</v>
      </c>
      <c r="Z20" s="291">
        <v>31.28783</v>
      </c>
      <c r="AA20" s="291">
        <v>35.930169999999997</v>
      </c>
      <c r="AB20" s="291">
        <v>46.076909999999998</v>
      </c>
      <c r="AC20" s="28" t="s">
        <v>257</v>
      </c>
      <c r="AD20" s="684">
        <f t="shared" si="9"/>
        <v>14.987828269178792</v>
      </c>
      <c r="AE20" s="288">
        <f t="shared" si="9"/>
        <v>12.450701063410792</v>
      </c>
      <c r="AF20" s="288">
        <f t="shared" si="9"/>
        <v>12.693869074492099</v>
      </c>
      <c r="AG20" s="288">
        <f t="shared" si="9"/>
        <v>14.174743784880771</v>
      </c>
      <c r="AH20" s="288">
        <f t="shared" si="9"/>
        <v>14.042442872687705</v>
      </c>
      <c r="AI20" s="288">
        <f t="shared" si="9"/>
        <v>13.86423611111111</v>
      </c>
      <c r="AJ20" s="288">
        <f t="shared" si="9"/>
        <v>14.86058310376492</v>
      </c>
      <c r="AK20" s="288">
        <f t="shared" si="9"/>
        <v>15.24330682293847</v>
      </c>
      <c r="AL20" s="288">
        <f t="shared" si="9"/>
        <v>17.121683950617285</v>
      </c>
      <c r="AM20" s="288">
        <f t="shared" si="9"/>
        <v>16.47082304526749</v>
      </c>
      <c r="AN20" s="288">
        <f t="shared" si="9"/>
        <v>15.519756944444444</v>
      </c>
      <c r="AO20" s="288">
        <f t="shared" si="9"/>
        <v>16.155651978417264</v>
      </c>
      <c r="AP20" s="288">
        <f t="shared" si="9"/>
        <v>17.128962825278808</v>
      </c>
      <c r="AQ20" s="28" t="s">
        <v>257</v>
      </c>
      <c r="AR20" s="685">
        <f t="shared" si="14"/>
        <v>30208</v>
      </c>
      <c r="AS20" s="173">
        <v>3460</v>
      </c>
      <c r="AT20" s="173">
        <v>2775</v>
      </c>
      <c r="AU20" s="173">
        <v>2901</v>
      </c>
      <c r="AV20" s="173">
        <v>2902</v>
      </c>
      <c r="AW20" s="173">
        <v>2924</v>
      </c>
      <c r="AX20" s="173">
        <v>2594</v>
      </c>
      <c r="AY20" s="173">
        <v>2767</v>
      </c>
      <c r="AZ20" s="173">
        <v>1885</v>
      </c>
      <c r="BA20" s="173">
        <v>1775</v>
      </c>
      <c r="BB20" s="173">
        <v>1815</v>
      </c>
      <c r="BC20" s="173">
        <v>2087</v>
      </c>
      <c r="BD20" s="173">
        <v>2323</v>
      </c>
      <c r="BE20" s="28" t="s">
        <v>257</v>
      </c>
      <c r="BF20" s="682">
        <f t="shared" si="15"/>
        <v>1383.9152000000001</v>
      </c>
      <c r="BG20" s="287">
        <v>162.51273</v>
      </c>
      <c r="BH20" s="287">
        <v>128.49157000000002</v>
      </c>
      <c r="BI20" s="287">
        <v>138.63891999999998</v>
      </c>
      <c r="BJ20" s="287">
        <v>137.94761</v>
      </c>
      <c r="BK20" s="287">
        <v>139.14727999999999</v>
      </c>
      <c r="BL20" s="287">
        <v>122.50675999999999</v>
      </c>
      <c r="BM20" s="287">
        <v>130.69132000000002</v>
      </c>
      <c r="BN20" s="287">
        <v>81.514150000000001</v>
      </c>
      <c r="BO20" s="287">
        <v>77.282489999999996</v>
      </c>
      <c r="BP20" s="287">
        <v>79.430250000000001</v>
      </c>
      <c r="BQ20" s="287">
        <v>88.363609999999994</v>
      </c>
      <c r="BR20" s="287">
        <v>97.388509999999997</v>
      </c>
      <c r="BS20" s="28" t="s">
        <v>257</v>
      </c>
      <c r="BT20" s="688">
        <f t="shared" si="10"/>
        <v>45.812870762711874</v>
      </c>
      <c r="BU20" s="286">
        <f t="shared" si="10"/>
        <v>46.968997109826589</v>
      </c>
      <c r="BV20" s="286">
        <f t="shared" si="10"/>
        <v>46.303268468468474</v>
      </c>
      <c r="BW20" s="286">
        <f t="shared" si="10"/>
        <v>47.790044812133736</v>
      </c>
      <c r="BX20" s="286">
        <f t="shared" si="10"/>
        <v>47.535358373535495</v>
      </c>
      <c r="BY20" s="286">
        <f t="shared" si="10"/>
        <v>47.587989056087551</v>
      </c>
      <c r="BZ20" s="286">
        <f t="shared" si="10"/>
        <v>47.226969930609087</v>
      </c>
      <c r="CA20" s="286">
        <f t="shared" si="10"/>
        <v>47.232135887242507</v>
      </c>
      <c r="CB20" s="286">
        <f t="shared" si="10"/>
        <v>43.243580901856767</v>
      </c>
      <c r="CC20" s="286">
        <f t="shared" si="10"/>
        <v>43.539430985915494</v>
      </c>
      <c r="CD20" s="286">
        <f t="shared" si="10"/>
        <v>43.763223140495867</v>
      </c>
      <c r="CE20" s="286">
        <f t="shared" si="10"/>
        <v>42.340014374700523</v>
      </c>
      <c r="CF20" s="286">
        <f t="shared" si="10"/>
        <v>41.923594489883769</v>
      </c>
      <c r="CG20" s="28" t="s">
        <v>257</v>
      </c>
      <c r="CH20" s="682">
        <f>SUM(CI20:CT20)</f>
        <v>20132</v>
      </c>
      <c r="CI20" s="287">
        <v>1630</v>
      </c>
      <c r="CJ20" s="287">
        <v>1547</v>
      </c>
      <c r="CK20" s="287">
        <v>1623</v>
      </c>
      <c r="CL20" s="287">
        <v>1602</v>
      </c>
      <c r="CM20" s="287">
        <v>1643</v>
      </c>
      <c r="CN20" s="287">
        <v>1642</v>
      </c>
      <c r="CO20" s="287">
        <v>1640</v>
      </c>
      <c r="CP20" s="287">
        <v>1689</v>
      </c>
      <c r="CQ20" s="287">
        <v>1708</v>
      </c>
      <c r="CR20" s="287">
        <v>1750</v>
      </c>
      <c r="CS20" s="287">
        <v>1795</v>
      </c>
      <c r="CT20" s="287">
        <v>1863</v>
      </c>
      <c r="CU20" s="28" t="s">
        <v>257</v>
      </c>
      <c r="CV20" s="682">
        <f t="shared" si="17"/>
        <v>2926.3353000000002</v>
      </c>
      <c r="CW20" s="287">
        <v>237.85879</v>
      </c>
      <c r="CX20" s="287">
        <v>232.86340000000001</v>
      </c>
      <c r="CY20" s="287">
        <v>246.72461999999999</v>
      </c>
      <c r="CZ20" s="287">
        <v>242.91645</v>
      </c>
      <c r="DA20" s="287">
        <v>248.67122999999998</v>
      </c>
      <c r="DB20" s="287">
        <v>248.78083999999998</v>
      </c>
      <c r="DC20" s="287">
        <v>246.49027999999998</v>
      </c>
      <c r="DD20" s="287">
        <v>235.60889</v>
      </c>
      <c r="DE20" s="287">
        <v>238.91806</v>
      </c>
      <c r="DF20" s="287">
        <v>242.55561999999998</v>
      </c>
      <c r="DG20" s="287">
        <v>247.82684</v>
      </c>
      <c r="DH20" s="287">
        <v>257.12027999999998</v>
      </c>
      <c r="DI20" s="28" t="s">
        <v>257</v>
      </c>
      <c r="DJ20" s="688">
        <f t="shared" si="11"/>
        <v>145.35740611961057</v>
      </c>
      <c r="DK20" s="286" t="e">
        <f>(CW20/#REF!)*1000</f>
        <v>#REF!</v>
      </c>
      <c r="DL20" s="286">
        <f t="shared" si="11"/>
        <v>150.52579185520364</v>
      </c>
      <c r="DM20" s="286">
        <f t="shared" si="11"/>
        <v>152.01763401109056</v>
      </c>
      <c r="DN20" s="286">
        <f t="shared" si="11"/>
        <v>151.63323970037453</v>
      </c>
      <c r="DO20" s="286">
        <f t="shared" si="11"/>
        <v>151.35193548387096</v>
      </c>
      <c r="DP20" s="286">
        <f t="shared" si="11"/>
        <v>151.51086479902557</v>
      </c>
      <c r="DQ20" s="286">
        <f t="shared" si="11"/>
        <v>150.29895121951216</v>
      </c>
      <c r="DR20" s="286">
        <f t="shared" si="11"/>
        <v>139.49608644168146</v>
      </c>
      <c r="DS20" s="286">
        <f t="shared" si="11"/>
        <v>139.8817681498829</v>
      </c>
      <c r="DT20" s="286">
        <f t="shared" si="11"/>
        <v>138.6032114285714</v>
      </c>
      <c r="DU20" s="286">
        <f t="shared" si="11"/>
        <v>138.06509192200559</v>
      </c>
      <c r="DV20" s="286">
        <f t="shared" si="11"/>
        <v>138.01410628019323</v>
      </c>
    </row>
    <row r="21" spans="1:126" ht="12.5" customHeight="1">
      <c r="A21" s="28" t="s">
        <v>258</v>
      </c>
      <c r="B21" s="682">
        <f t="shared" si="12"/>
        <v>2906</v>
      </c>
      <c r="C21" s="287">
        <v>219</v>
      </c>
      <c r="D21" s="287">
        <v>203</v>
      </c>
      <c r="E21" s="287">
        <v>223</v>
      </c>
      <c r="F21" s="287">
        <v>232</v>
      </c>
      <c r="G21" s="287">
        <v>218</v>
      </c>
      <c r="H21" s="287">
        <v>335</v>
      </c>
      <c r="I21" s="287">
        <v>308</v>
      </c>
      <c r="J21" s="287">
        <v>288</v>
      </c>
      <c r="K21" s="287">
        <v>186</v>
      </c>
      <c r="L21" s="287">
        <v>209</v>
      </c>
      <c r="M21" s="287">
        <v>225</v>
      </c>
      <c r="N21" s="287">
        <v>260</v>
      </c>
      <c r="O21" s="28" t="s">
        <v>258</v>
      </c>
      <c r="P21" s="683">
        <f t="shared" si="13"/>
        <v>42.282499999999999</v>
      </c>
      <c r="Q21" s="291">
        <v>3.1120000000000001</v>
      </c>
      <c r="R21" s="291">
        <v>2.964</v>
      </c>
      <c r="S21" s="291">
        <v>3.2029999999999998</v>
      </c>
      <c r="T21" s="291">
        <v>3.306</v>
      </c>
      <c r="U21" s="291">
        <v>3.2110000000000003</v>
      </c>
      <c r="V21" s="291">
        <v>4.5369999999999999</v>
      </c>
      <c r="W21" s="291">
        <v>4.4660000000000002</v>
      </c>
      <c r="X21" s="291">
        <v>4.1304999999999996</v>
      </c>
      <c r="Y21" s="291">
        <v>2.7395</v>
      </c>
      <c r="Z21" s="291">
        <v>3.0994999999999999</v>
      </c>
      <c r="AA21" s="291">
        <v>3.4859999999999998</v>
      </c>
      <c r="AB21" s="291">
        <v>4.0280000000000005</v>
      </c>
      <c r="AC21" s="28" t="s">
        <v>258</v>
      </c>
      <c r="AD21" s="684">
        <f t="shared" si="9"/>
        <v>14.550068823124569</v>
      </c>
      <c r="AE21" s="288">
        <f t="shared" si="9"/>
        <v>14.210045662100457</v>
      </c>
      <c r="AF21" s="288">
        <f t="shared" si="9"/>
        <v>14.600985221674877</v>
      </c>
      <c r="AG21" s="288">
        <f t="shared" si="9"/>
        <v>14.363228699551568</v>
      </c>
      <c r="AH21" s="288">
        <f t="shared" si="9"/>
        <v>14.25</v>
      </c>
      <c r="AI21" s="288">
        <f t="shared" si="9"/>
        <v>14.729357798165138</v>
      </c>
      <c r="AJ21" s="288">
        <f t="shared" si="9"/>
        <v>13.543283582089552</v>
      </c>
      <c r="AK21" s="288">
        <f t="shared" si="9"/>
        <v>14.5</v>
      </c>
      <c r="AL21" s="288">
        <f t="shared" si="9"/>
        <v>14.342013888888888</v>
      </c>
      <c r="AM21" s="288">
        <f t="shared" si="9"/>
        <v>14.728494623655916</v>
      </c>
      <c r="AN21" s="288">
        <f t="shared" si="9"/>
        <v>14.830143540669857</v>
      </c>
      <c r="AO21" s="288">
        <f t="shared" si="9"/>
        <v>15.493333333333332</v>
      </c>
      <c r="AP21" s="288">
        <f t="shared" si="9"/>
        <v>15.492307692307694</v>
      </c>
      <c r="AQ21" s="28" t="s">
        <v>258</v>
      </c>
      <c r="AR21" s="685">
        <f t="shared" si="14"/>
        <v>2641</v>
      </c>
      <c r="AS21" s="173">
        <v>160</v>
      </c>
      <c r="AT21" s="173">
        <v>149</v>
      </c>
      <c r="AU21" s="173">
        <v>193</v>
      </c>
      <c r="AV21" s="173">
        <v>184</v>
      </c>
      <c r="AW21" s="173">
        <v>175</v>
      </c>
      <c r="AX21" s="173">
        <v>220</v>
      </c>
      <c r="AY21" s="173">
        <v>381</v>
      </c>
      <c r="AZ21" s="173">
        <v>326</v>
      </c>
      <c r="BA21" s="173">
        <v>225</v>
      </c>
      <c r="BB21" s="173">
        <v>198</v>
      </c>
      <c r="BC21" s="173">
        <v>175</v>
      </c>
      <c r="BD21" s="173">
        <v>255</v>
      </c>
      <c r="BE21" s="28" t="s">
        <v>258</v>
      </c>
      <c r="BF21" s="682">
        <f t="shared" si="15"/>
        <v>145.96344999999999</v>
      </c>
      <c r="BG21" s="287">
        <v>8.6769999999999996</v>
      </c>
      <c r="BH21" s="287">
        <v>8.2189999999999994</v>
      </c>
      <c r="BI21" s="287">
        <v>11.41</v>
      </c>
      <c r="BJ21" s="287">
        <v>10.675999999999998</v>
      </c>
      <c r="BK21" s="287">
        <v>10.451999999999998</v>
      </c>
      <c r="BL21" s="287">
        <v>12.577</v>
      </c>
      <c r="BM21" s="287">
        <v>17.819800000000001</v>
      </c>
      <c r="BN21" s="287">
        <v>16.2514</v>
      </c>
      <c r="BO21" s="287">
        <v>13.46</v>
      </c>
      <c r="BP21" s="287">
        <v>11.77</v>
      </c>
      <c r="BQ21" s="287">
        <v>9.64</v>
      </c>
      <c r="BR21" s="287">
        <v>15.011249999999999</v>
      </c>
      <c r="BS21" s="28" t="s">
        <v>258</v>
      </c>
      <c r="BT21" s="688">
        <f t="shared" si="10"/>
        <v>55.268250662627793</v>
      </c>
      <c r="BU21" s="286">
        <f t="shared" si="10"/>
        <v>54.231249999999996</v>
      </c>
      <c r="BV21" s="286">
        <f t="shared" si="10"/>
        <v>55.161073825503351</v>
      </c>
      <c r="BW21" s="286">
        <f t="shared" si="10"/>
        <v>59.119170984455963</v>
      </c>
      <c r="BX21" s="286">
        <f t="shared" si="10"/>
        <v>58.021739130434774</v>
      </c>
      <c r="BY21" s="286">
        <f t="shared" si="10"/>
        <v>59.725714285714275</v>
      </c>
      <c r="BZ21" s="286">
        <f t="shared" si="10"/>
        <v>57.168181818181822</v>
      </c>
      <c r="CA21" s="286">
        <f t="shared" si="10"/>
        <v>46.771128608923888</v>
      </c>
      <c r="CB21" s="286">
        <f t="shared" si="10"/>
        <v>49.850920245398768</v>
      </c>
      <c r="CC21" s="286">
        <f t="shared" si="10"/>
        <v>59.82222222222223</v>
      </c>
      <c r="CD21" s="286">
        <f t="shared" si="10"/>
        <v>59.444444444444443</v>
      </c>
      <c r="CE21" s="286">
        <f t="shared" si="10"/>
        <v>55.085714285714289</v>
      </c>
      <c r="CF21" s="286">
        <f t="shared" si="10"/>
        <v>58.867647058823522</v>
      </c>
      <c r="CG21" s="28" t="s">
        <v>258</v>
      </c>
      <c r="CH21" s="682">
        <f t="shared" si="16"/>
        <v>5380</v>
      </c>
      <c r="CI21" s="287">
        <v>440</v>
      </c>
      <c r="CJ21" s="287">
        <v>369</v>
      </c>
      <c r="CK21" s="287">
        <v>348</v>
      </c>
      <c r="CL21" s="287">
        <v>382</v>
      </c>
      <c r="CM21" s="287">
        <v>604</v>
      </c>
      <c r="CN21" s="287">
        <v>620</v>
      </c>
      <c r="CO21" s="287">
        <v>684</v>
      </c>
      <c r="CP21" s="287">
        <v>424</v>
      </c>
      <c r="CQ21" s="287">
        <v>437</v>
      </c>
      <c r="CR21" s="287">
        <v>442</v>
      </c>
      <c r="CS21" s="287">
        <v>285</v>
      </c>
      <c r="CT21" s="287">
        <v>345</v>
      </c>
      <c r="CU21" s="28" t="s">
        <v>258</v>
      </c>
      <c r="CV21" s="682">
        <f t="shared" si="17"/>
        <v>1079.7049999999999</v>
      </c>
      <c r="CW21" s="287">
        <v>98.105999999999995</v>
      </c>
      <c r="CX21" s="287">
        <v>79.77</v>
      </c>
      <c r="CY21" s="287">
        <v>69.153999999999996</v>
      </c>
      <c r="CZ21" s="287">
        <v>75.025000000000006</v>
      </c>
      <c r="DA21" s="287">
        <v>117.163</v>
      </c>
      <c r="DB21" s="287">
        <v>118.55199999999999</v>
      </c>
      <c r="DC21" s="287">
        <v>129.52300000000002</v>
      </c>
      <c r="DD21" s="287">
        <v>92.045000000000002</v>
      </c>
      <c r="DE21" s="287">
        <v>96.027000000000001</v>
      </c>
      <c r="DF21" s="287">
        <v>96.69</v>
      </c>
      <c r="DG21" s="287">
        <v>22.274999999999999</v>
      </c>
      <c r="DH21" s="287">
        <v>85.375</v>
      </c>
      <c r="DI21" s="28" t="s">
        <v>258</v>
      </c>
      <c r="DJ21" s="688">
        <f t="shared" si="11"/>
        <v>200.68866171003717</v>
      </c>
      <c r="DK21" s="286">
        <f t="shared" si="11"/>
        <v>222.96818181818182</v>
      </c>
      <c r="DL21" s="286">
        <f t="shared" si="11"/>
        <v>216.17886178861787</v>
      </c>
      <c r="DM21" s="286">
        <f t="shared" si="11"/>
        <v>198.71839080459768</v>
      </c>
      <c r="DN21" s="286">
        <f t="shared" si="11"/>
        <v>196.40052356020942</v>
      </c>
      <c r="DO21" s="286">
        <f t="shared" si="11"/>
        <v>193.97847682119203</v>
      </c>
      <c r="DP21" s="286">
        <f t="shared" si="11"/>
        <v>191.21290322580646</v>
      </c>
      <c r="DQ21" s="286">
        <f t="shared" si="11"/>
        <v>189.36111111111114</v>
      </c>
      <c r="DR21" s="286">
        <f t="shared" si="11"/>
        <v>217.08726415094341</v>
      </c>
      <c r="DS21" s="286">
        <f t="shared" si="11"/>
        <v>219.74141876430207</v>
      </c>
      <c r="DT21" s="286">
        <f t="shared" si="11"/>
        <v>218.75565610859729</v>
      </c>
      <c r="DU21" s="286">
        <f t="shared" si="11"/>
        <v>78.15789473684211</v>
      </c>
      <c r="DV21" s="286">
        <f t="shared" si="11"/>
        <v>247.46376811594203</v>
      </c>
    </row>
    <row r="22" spans="1:126" ht="12.5" customHeight="1">
      <c r="A22" s="28" t="s">
        <v>259</v>
      </c>
      <c r="B22" s="682">
        <f t="shared" si="12"/>
        <v>1558</v>
      </c>
      <c r="C22" s="287">
        <v>120</v>
      </c>
      <c r="D22" s="287">
        <v>133</v>
      </c>
      <c r="E22" s="287">
        <v>125</v>
      </c>
      <c r="F22" s="287">
        <v>110</v>
      </c>
      <c r="G22" s="287">
        <v>125</v>
      </c>
      <c r="H22" s="287">
        <v>118</v>
      </c>
      <c r="I22" s="287">
        <v>130</v>
      </c>
      <c r="J22" s="287">
        <v>128</v>
      </c>
      <c r="K22" s="287">
        <v>134</v>
      </c>
      <c r="L22" s="287">
        <v>140</v>
      </c>
      <c r="M22" s="287">
        <v>145</v>
      </c>
      <c r="N22" s="287">
        <v>150</v>
      </c>
      <c r="O22" s="28" t="s">
        <v>259</v>
      </c>
      <c r="P22" s="683">
        <f t="shared" si="13"/>
        <v>25.952000000000005</v>
      </c>
      <c r="Q22" s="291">
        <v>2</v>
      </c>
      <c r="R22" s="291">
        <v>2.2040000000000002</v>
      </c>
      <c r="S22" s="291">
        <v>2.0960000000000001</v>
      </c>
      <c r="T22" s="291">
        <v>1.84</v>
      </c>
      <c r="U22" s="291">
        <v>2.09</v>
      </c>
      <c r="V22" s="291">
        <v>1.96</v>
      </c>
      <c r="W22" s="291">
        <v>2.16</v>
      </c>
      <c r="X22" s="291">
        <v>2.1340000000000003</v>
      </c>
      <c r="Y22" s="291">
        <v>2.234</v>
      </c>
      <c r="Z22" s="291">
        <v>2.34</v>
      </c>
      <c r="AA22" s="291">
        <v>2.41</v>
      </c>
      <c r="AB22" s="291">
        <v>2.484</v>
      </c>
      <c r="AC22" s="28" t="s">
        <v>259</v>
      </c>
      <c r="AD22" s="684">
        <f t="shared" si="9"/>
        <v>16.657252888318361</v>
      </c>
      <c r="AE22" s="288">
        <f t="shared" si="9"/>
        <v>16.666666666666668</v>
      </c>
      <c r="AF22" s="288">
        <f t="shared" si="9"/>
        <v>16.571428571428573</v>
      </c>
      <c r="AG22" s="288">
        <f t="shared" si="9"/>
        <v>16.768000000000001</v>
      </c>
      <c r="AH22" s="288">
        <f t="shared" si="9"/>
        <v>16.72727272727273</v>
      </c>
      <c r="AI22" s="288">
        <f t="shared" si="9"/>
        <v>16.72</v>
      </c>
      <c r="AJ22" s="288">
        <f t="shared" si="9"/>
        <v>16.610169491525422</v>
      </c>
      <c r="AK22" s="288">
        <f t="shared" si="9"/>
        <v>16.615384615384617</v>
      </c>
      <c r="AL22" s="288">
        <f t="shared" si="9"/>
        <v>16.671875000000004</v>
      </c>
      <c r="AM22" s="288">
        <f t="shared" si="9"/>
        <v>16.671641791044777</v>
      </c>
      <c r="AN22" s="288">
        <f t="shared" si="9"/>
        <v>16.714285714285712</v>
      </c>
      <c r="AO22" s="288">
        <f t="shared" si="9"/>
        <v>16.620689655172413</v>
      </c>
      <c r="AP22" s="288">
        <f t="shared" si="9"/>
        <v>16.559999999999999</v>
      </c>
      <c r="AQ22" s="28" t="s">
        <v>259</v>
      </c>
      <c r="AR22" s="685">
        <f t="shared" si="14"/>
        <v>10376</v>
      </c>
      <c r="AS22" s="173">
        <v>1058</v>
      </c>
      <c r="AT22" s="173">
        <v>1176</v>
      </c>
      <c r="AU22" s="173">
        <v>1166</v>
      </c>
      <c r="AV22" s="173">
        <v>947</v>
      </c>
      <c r="AW22" s="173">
        <v>1411</v>
      </c>
      <c r="AX22" s="173">
        <v>921</v>
      </c>
      <c r="AY22" s="173">
        <v>756</v>
      </c>
      <c r="AZ22" s="173">
        <v>683</v>
      </c>
      <c r="BA22" s="173">
        <v>637</v>
      </c>
      <c r="BB22" s="173">
        <v>451</v>
      </c>
      <c r="BC22" s="173">
        <v>513</v>
      </c>
      <c r="BD22" s="173">
        <v>657</v>
      </c>
      <c r="BE22" s="28" t="s">
        <v>259</v>
      </c>
      <c r="BF22" s="682">
        <f t="shared" si="15"/>
        <v>607.15200000000004</v>
      </c>
      <c r="BG22" s="287">
        <v>58.480000000000004</v>
      </c>
      <c r="BH22" s="287">
        <v>66.010000000000005</v>
      </c>
      <c r="BI22" s="287">
        <v>65.81</v>
      </c>
      <c r="BJ22" s="287">
        <v>54.58</v>
      </c>
      <c r="BK22" s="287">
        <v>89.82</v>
      </c>
      <c r="BL22" s="287">
        <v>55.414999999999999</v>
      </c>
      <c r="BM22" s="287">
        <v>45.453999999999994</v>
      </c>
      <c r="BN22" s="287">
        <v>39.378</v>
      </c>
      <c r="BO22" s="287">
        <v>36.817999999999998</v>
      </c>
      <c r="BP22" s="287">
        <v>27.029</v>
      </c>
      <c r="BQ22" s="287">
        <v>31.036999999999999</v>
      </c>
      <c r="BR22" s="287">
        <v>37.320999999999998</v>
      </c>
      <c r="BS22" s="28" t="s">
        <v>259</v>
      </c>
      <c r="BT22" s="688">
        <f t="shared" si="10"/>
        <v>58.515034695451043</v>
      </c>
      <c r="BU22" s="286">
        <f t="shared" si="10"/>
        <v>55.274102079395085</v>
      </c>
      <c r="BV22" s="286">
        <f t="shared" si="10"/>
        <v>56.130952380952387</v>
      </c>
      <c r="BW22" s="286">
        <f t="shared" si="10"/>
        <v>56.440823327615782</v>
      </c>
      <c r="BX22" s="286">
        <f t="shared" si="10"/>
        <v>57.63463569165787</v>
      </c>
      <c r="BY22" s="286">
        <f t="shared" si="10"/>
        <v>63.656980864635003</v>
      </c>
      <c r="BZ22" s="286">
        <f t="shared" si="10"/>
        <v>60.168295331161779</v>
      </c>
      <c r="CA22" s="286">
        <f t="shared" si="10"/>
        <v>60.124338624338613</v>
      </c>
      <c r="CB22" s="286">
        <f t="shared" si="10"/>
        <v>57.65446559297218</v>
      </c>
      <c r="CC22" s="286">
        <f t="shared" si="10"/>
        <v>57.799058084772369</v>
      </c>
      <c r="CD22" s="286">
        <f t="shared" si="10"/>
        <v>59.931263858093125</v>
      </c>
      <c r="CE22" s="286">
        <f t="shared" si="10"/>
        <v>60.500974658869396</v>
      </c>
      <c r="CF22" s="286">
        <f t="shared" si="10"/>
        <v>56.80517503805175</v>
      </c>
      <c r="CG22" s="28" t="s">
        <v>259</v>
      </c>
      <c r="CH22" s="682">
        <f t="shared" si="16"/>
        <v>11182</v>
      </c>
      <c r="CI22" s="287">
        <v>909</v>
      </c>
      <c r="CJ22" s="287">
        <v>870</v>
      </c>
      <c r="CK22" s="287">
        <v>792</v>
      </c>
      <c r="CL22" s="287">
        <v>752</v>
      </c>
      <c r="CM22" s="287">
        <v>1134</v>
      </c>
      <c r="CN22" s="287">
        <v>1191</v>
      </c>
      <c r="CO22" s="287">
        <v>841</v>
      </c>
      <c r="CP22" s="287">
        <v>905</v>
      </c>
      <c r="CQ22" s="287">
        <v>1071</v>
      </c>
      <c r="CR22" s="287">
        <v>920</v>
      </c>
      <c r="CS22" s="287">
        <v>872</v>
      </c>
      <c r="CT22" s="287">
        <v>925</v>
      </c>
      <c r="CU22" s="28" t="s">
        <v>259</v>
      </c>
      <c r="CV22" s="682">
        <f t="shared" si="17"/>
        <v>1852.4870000000001</v>
      </c>
      <c r="CW22" s="287">
        <v>152.048</v>
      </c>
      <c r="CX22" s="287">
        <v>144.21699999999998</v>
      </c>
      <c r="CY22" s="287">
        <v>129.798</v>
      </c>
      <c r="CZ22" s="287">
        <v>118.096</v>
      </c>
      <c r="DA22" s="287">
        <v>188.43299999999999</v>
      </c>
      <c r="DB22" s="287">
        <v>195.73599999999999</v>
      </c>
      <c r="DC22" s="287">
        <v>146.839</v>
      </c>
      <c r="DD22" s="287">
        <v>157.232</v>
      </c>
      <c r="DE22" s="287">
        <v>178.28399999999999</v>
      </c>
      <c r="DF22" s="287">
        <v>144.298</v>
      </c>
      <c r="DG22" s="287">
        <v>146.499</v>
      </c>
      <c r="DH22" s="287">
        <v>151.00700000000001</v>
      </c>
      <c r="DI22" s="28" t="s">
        <v>259</v>
      </c>
      <c r="DJ22" s="688">
        <f t="shared" si="11"/>
        <v>165.6668753353604</v>
      </c>
      <c r="DK22" s="286">
        <f t="shared" si="11"/>
        <v>167.26952695269526</v>
      </c>
      <c r="DL22" s="286">
        <f t="shared" si="11"/>
        <v>165.76666666666665</v>
      </c>
      <c r="DM22" s="286">
        <f t="shared" si="11"/>
        <v>163.88636363636363</v>
      </c>
      <c r="DN22" s="286">
        <f t="shared" si="11"/>
        <v>157.04255319148936</v>
      </c>
      <c r="DO22" s="286">
        <f t="shared" si="11"/>
        <v>166.16666666666666</v>
      </c>
      <c r="DP22" s="286">
        <f t="shared" si="11"/>
        <v>164.34592779177163</v>
      </c>
      <c r="DQ22" s="286">
        <f t="shared" si="11"/>
        <v>174.60047562425686</v>
      </c>
      <c r="DR22" s="286">
        <f t="shared" si="11"/>
        <v>173.73701657458562</v>
      </c>
      <c r="DS22" s="286">
        <f t="shared" si="11"/>
        <v>166.46498599439775</v>
      </c>
      <c r="DT22" s="286">
        <f t="shared" si="11"/>
        <v>156.84565217391307</v>
      </c>
      <c r="DU22" s="286">
        <f t="shared" si="11"/>
        <v>168.00344036697248</v>
      </c>
      <c r="DV22" s="286">
        <f t="shared" si="11"/>
        <v>163.2508108108108</v>
      </c>
    </row>
    <row r="23" spans="1:126" ht="12.5" customHeight="1">
      <c r="A23" s="28" t="s">
        <v>260</v>
      </c>
      <c r="B23" s="682">
        <f t="shared" si="12"/>
        <v>5423</v>
      </c>
      <c r="C23" s="287">
        <v>700</v>
      </c>
      <c r="D23" s="287">
        <v>635</v>
      </c>
      <c r="E23" s="287">
        <v>650</v>
      </c>
      <c r="F23" s="287">
        <v>615</v>
      </c>
      <c r="G23" s="287">
        <v>420</v>
      </c>
      <c r="H23" s="287">
        <v>355</v>
      </c>
      <c r="I23" s="287">
        <v>275</v>
      </c>
      <c r="J23" s="287">
        <v>265</v>
      </c>
      <c r="K23" s="287">
        <v>310</v>
      </c>
      <c r="L23" s="287">
        <v>380</v>
      </c>
      <c r="M23" s="287">
        <v>408</v>
      </c>
      <c r="N23" s="287">
        <v>410</v>
      </c>
      <c r="O23" s="28" t="s">
        <v>260</v>
      </c>
      <c r="P23" s="683">
        <f t="shared" si="13"/>
        <v>72.536749999999998</v>
      </c>
      <c r="Q23" s="291">
        <v>9.2800000000000011</v>
      </c>
      <c r="R23" s="291">
        <v>8.6702499999999993</v>
      </c>
      <c r="S23" s="291">
        <v>9.0079999999999991</v>
      </c>
      <c r="T23" s="291">
        <v>8.1950000000000003</v>
      </c>
      <c r="U23" s="291">
        <v>5.516</v>
      </c>
      <c r="V23" s="291">
        <v>4.7242499999999996</v>
      </c>
      <c r="W23" s="291">
        <v>3.5460000000000003</v>
      </c>
      <c r="X23" s="291">
        <v>3.343</v>
      </c>
      <c r="Y23" s="291">
        <v>4.008</v>
      </c>
      <c r="Z23" s="291">
        <v>5.0907499999999999</v>
      </c>
      <c r="AA23" s="291">
        <v>5.5730000000000004</v>
      </c>
      <c r="AB23" s="291">
        <v>5.5824999999999996</v>
      </c>
      <c r="AC23" s="28" t="s">
        <v>260</v>
      </c>
      <c r="AD23" s="684">
        <f t="shared" si="9"/>
        <v>13.375760649087221</v>
      </c>
      <c r="AE23" s="288">
        <f t="shared" si="9"/>
        <v>13.257142857142858</v>
      </c>
      <c r="AF23" s="288">
        <f t="shared" si="9"/>
        <v>13.653937007874015</v>
      </c>
      <c r="AG23" s="288">
        <f t="shared" si="9"/>
        <v>13.858461538461537</v>
      </c>
      <c r="AH23" s="288">
        <f t="shared" si="9"/>
        <v>13.325203252032521</v>
      </c>
      <c r="AI23" s="288">
        <f t="shared" si="9"/>
        <v>13.133333333333333</v>
      </c>
      <c r="AJ23" s="288">
        <f t="shared" si="9"/>
        <v>13.307746478873238</v>
      </c>
      <c r="AK23" s="288">
        <f t="shared" si="9"/>
        <v>12.894545454545455</v>
      </c>
      <c r="AL23" s="288">
        <f t="shared" si="9"/>
        <v>12.61509433962264</v>
      </c>
      <c r="AM23" s="288">
        <f t="shared" si="9"/>
        <v>12.929032258064517</v>
      </c>
      <c r="AN23" s="288">
        <f t="shared" si="9"/>
        <v>13.396710526315788</v>
      </c>
      <c r="AO23" s="288">
        <f t="shared" si="9"/>
        <v>13.659313725490197</v>
      </c>
      <c r="AP23" s="288">
        <f t="shared" si="9"/>
        <v>13.615853658536583</v>
      </c>
      <c r="AQ23" s="28" t="s">
        <v>260</v>
      </c>
      <c r="AR23" s="685">
        <f t="shared" si="14"/>
        <v>1948</v>
      </c>
      <c r="AS23" s="173">
        <v>255</v>
      </c>
      <c r="AT23" s="173">
        <v>275</v>
      </c>
      <c r="AU23" s="173">
        <v>210</v>
      </c>
      <c r="AV23" s="173">
        <v>195</v>
      </c>
      <c r="AW23" s="173">
        <v>155</v>
      </c>
      <c r="AX23" s="173">
        <v>145</v>
      </c>
      <c r="AY23" s="173">
        <v>135</v>
      </c>
      <c r="AZ23" s="173">
        <v>90</v>
      </c>
      <c r="BA23" s="173">
        <v>100</v>
      </c>
      <c r="BB23" s="173">
        <v>95</v>
      </c>
      <c r="BC23" s="173">
        <v>118</v>
      </c>
      <c r="BD23" s="173">
        <v>175</v>
      </c>
      <c r="BE23" s="28" t="s">
        <v>260</v>
      </c>
      <c r="BF23" s="682">
        <f t="shared" si="15"/>
        <v>101.25550000000001</v>
      </c>
      <c r="BG23" s="287">
        <v>13.209</v>
      </c>
      <c r="BH23" s="287">
        <v>14.274999999999999</v>
      </c>
      <c r="BI23" s="287">
        <v>10.9085</v>
      </c>
      <c r="BJ23" s="287">
        <v>10.123000000000001</v>
      </c>
      <c r="BK23" s="287">
        <v>8.0470000000000006</v>
      </c>
      <c r="BL23" s="287">
        <v>7.4660000000000002</v>
      </c>
      <c r="BM23" s="287">
        <v>6.9487500000000004</v>
      </c>
      <c r="BN23" s="287">
        <v>4.68</v>
      </c>
      <c r="BO23" s="287">
        <v>5.1980000000000004</v>
      </c>
      <c r="BP23" s="287">
        <v>4.9649999999999999</v>
      </c>
      <c r="BQ23" s="287">
        <v>6.1879999999999997</v>
      </c>
      <c r="BR23" s="287">
        <v>9.2472500000000011</v>
      </c>
      <c r="BS23" s="28" t="s">
        <v>260</v>
      </c>
      <c r="BT23" s="688">
        <f t="shared" si="10"/>
        <v>51.979209445585219</v>
      </c>
      <c r="BU23" s="286">
        <f t="shared" si="10"/>
        <v>51.8</v>
      </c>
      <c r="BV23" s="286">
        <f t="shared" si="10"/>
        <v>51.909090909090907</v>
      </c>
      <c r="BW23" s="286">
        <f t="shared" si="10"/>
        <v>51.945238095238096</v>
      </c>
      <c r="BX23" s="286">
        <f t="shared" si="10"/>
        <v>51.912820512820524</v>
      </c>
      <c r="BY23" s="286">
        <f t="shared" si="10"/>
        <v>51.91612903225807</v>
      </c>
      <c r="BZ23" s="286">
        <f t="shared" si="10"/>
        <v>51.489655172413791</v>
      </c>
      <c r="CA23" s="286">
        <f t="shared" si="10"/>
        <v>51.472222222222221</v>
      </c>
      <c r="CB23" s="286">
        <f t="shared" si="10"/>
        <v>52</v>
      </c>
      <c r="CC23" s="286">
        <f t="shared" si="10"/>
        <v>51.980000000000004</v>
      </c>
      <c r="CD23" s="286">
        <f t="shared" si="10"/>
        <v>52.263157894736835</v>
      </c>
      <c r="CE23" s="286">
        <f t="shared" si="10"/>
        <v>52.440677966101688</v>
      </c>
      <c r="CF23" s="286">
        <f t="shared" si="10"/>
        <v>52.84142857142858</v>
      </c>
      <c r="CG23" s="28" t="s">
        <v>260</v>
      </c>
      <c r="CH23" s="682">
        <f t="shared" si="16"/>
        <v>994</v>
      </c>
      <c r="CI23" s="287">
        <v>135</v>
      </c>
      <c r="CJ23" s="287">
        <v>126</v>
      </c>
      <c r="CK23" s="287">
        <v>120</v>
      </c>
      <c r="CL23" s="287">
        <v>123</v>
      </c>
      <c r="CM23" s="287">
        <v>95</v>
      </c>
      <c r="CN23" s="287">
        <v>75</v>
      </c>
      <c r="CO23" s="287">
        <v>60</v>
      </c>
      <c r="CP23" s="287">
        <v>55</v>
      </c>
      <c r="CQ23" s="287">
        <v>48</v>
      </c>
      <c r="CR23" s="287">
        <v>50</v>
      </c>
      <c r="CS23" s="287">
        <v>47</v>
      </c>
      <c r="CT23" s="287">
        <v>60</v>
      </c>
      <c r="CU23" s="28" t="s">
        <v>260</v>
      </c>
      <c r="CV23" s="682">
        <f t="shared" si="17"/>
        <v>130.93375</v>
      </c>
      <c r="CW23" s="287">
        <v>17.84</v>
      </c>
      <c r="CX23" s="287">
        <v>16.569600000000001</v>
      </c>
      <c r="CY23" s="287">
        <v>15.635000000000002</v>
      </c>
      <c r="CZ23" s="287">
        <v>16.100999999999999</v>
      </c>
      <c r="DA23" s="287">
        <v>12.364749999999999</v>
      </c>
      <c r="DB23" s="287">
        <v>9.8350000000000009</v>
      </c>
      <c r="DC23" s="287">
        <v>7.8900000000000006</v>
      </c>
      <c r="DD23" s="287">
        <v>7.2624999999999993</v>
      </c>
      <c r="DE23" s="287">
        <v>6.38</v>
      </c>
      <c r="DF23" s="287">
        <v>6.6855000000000002</v>
      </c>
      <c r="DG23" s="287">
        <v>6.2948999999999993</v>
      </c>
      <c r="DH23" s="287">
        <v>8.0754999999999999</v>
      </c>
      <c r="DI23" s="28" t="s">
        <v>260</v>
      </c>
      <c r="DJ23" s="688">
        <f t="shared" si="11"/>
        <v>131.72409456740445</v>
      </c>
      <c r="DK23" s="286">
        <f t="shared" si="11"/>
        <v>132.14814814814815</v>
      </c>
      <c r="DL23" s="286">
        <f t="shared" si="11"/>
        <v>131.50476190476189</v>
      </c>
      <c r="DM23" s="286">
        <f t="shared" si="11"/>
        <v>130.29166666666666</v>
      </c>
      <c r="DN23" s="286">
        <f t="shared" si="11"/>
        <v>130.90243902439025</v>
      </c>
      <c r="DO23" s="286">
        <f t="shared" si="11"/>
        <v>130.15526315789472</v>
      </c>
      <c r="DP23" s="286">
        <f t="shared" si="11"/>
        <v>131.13333333333335</v>
      </c>
      <c r="DQ23" s="286">
        <f t="shared" si="11"/>
        <v>131.5</v>
      </c>
      <c r="DR23" s="286">
        <f t="shared" si="11"/>
        <v>132.04545454545453</v>
      </c>
      <c r="DS23" s="286">
        <f t="shared" si="11"/>
        <v>132.91666666666666</v>
      </c>
      <c r="DT23" s="286">
        <f t="shared" si="11"/>
        <v>133.71</v>
      </c>
      <c r="DU23" s="286">
        <f t="shared" si="11"/>
        <v>133.93404255319146</v>
      </c>
      <c r="DV23" s="286">
        <f t="shared" si="11"/>
        <v>134.59166666666667</v>
      </c>
    </row>
    <row r="24" spans="1:126" ht="12.5" customHeight="1">
      <c r="A24" s="28" t="s">
        <v>261</v>
      </c>
      <c r="B24" s="682">
        <f t="shared" si="12"/>
        <v>72006</v>
      </c>
      <c r="C24" s="287">
        <v>5521</v>
      </c>
      <c r="D24" s="287">
        <v>5359</v>
      </c>
      <c r="E24" s="287">
        <v>5886</v>
      </c>
      <c r="F24" s="287">
        <v>6583</v>
      </c>
      <c r="G24" s="287">
        <v>6127</v>
      </c>
      <c r="H24" s="287">
        <v>6240</v>
      </c>
      <c r="I24" s="287">
        <v>6568</v>
      </c>
      <c r="J24" s="287">
        <v>6823</v>
      </c>
      <c r="K24" s="287">
        <v>6389</v>
      </c>
      <c r="L24" s="287">
        <v>6362</v>
      </c>
      <c r="M24" s="287">
        <v>6128</v>
      </c>
      <c r="N24" s="287">
        <v>4020</v>
      </c>
      <c r="O24" s="28" t="s">
        <v>261</v>
      </c>
      <c r="P24" s="683">
        <f t="shared" si="13"/>
        <v>1071.2398000000001</v>
      </c>
      <c r="Q24" s="291">
        <v>83.11</v>
      </c>
      <c r="R24" s="291">
        <v>80.045999999999992</v>
      </c>
      <c r="S24" s="291">
        <v>89.679699999999997</v>
      </c>
      <c r="T24" s="291">
        <v>101.0665</v>
      </c>
      <c r="U24" s="291">
        <v>89.616799999999998</v>
      </c>
      <c r="V24" s="291">
        <v>92.482399999999998</v>
      </c>
      <c r="W24" s="291">
        <v>98.614100000000008</v>
      </c>
      <c r="X24" s="291">
        <v>101.31060000000001</v>
      </c>
      <c r="Y24" s="291">
        <v>93.603999999999999</v>
      </c>
      <c r="Z24" s="291">
        <v>95.241100000000003</v>
      </c>
      <c r="AA24" s="291">
        <v>88.462599999999995</v>
      </c>
      <c r="AB24" s="291">
        <v>58.006</v>
      </c>
      <c r="AC24" s="28" t="s">
        <v>261</v>
      </c>
      <c r="AD24" s="684">
        <f t="shared" si="9"/>
        <v>14.877090797989057</v>
      </c>
      <c r="AE24" s="288">
        <f t="shared" si="9"/>
        <v>15.053432349212098</v>
      </c>
      <c r="AF24" s="288">
        <f t="shared" si="9"/>
        <v>14.936741929464452</v>
      </c>
      <c r="AG24" s="288">
        <f t="shared" si="9"/>
        <v>15.236102616377845</v>
      </c>
      <c r="AH24" s="288">
        <f t="shared" si="9"/>
        <v>15.35265076712745</v>
      </c>
      <c r="AI24" s="288">
        <f t="shared" si="9"/>
        <v>14.626538273216909</v>
      </c>
      <c r="AJ24" s="288">
        <f t="shared" si="9"/>
        <v>14.820897435897436</v>
      </c>
      <c r="AK24" s="288">
        <f t="shared" si="9"/>
        <v>15.014327040194885</v>
      </c>
      <c r="AL24" s="288">
        <f t="shared" si="9"/>
        <v>14.848395134105234</v>
      </c>
      <c r="AM24" s="288">
        <f t="shared" si="9"/>
        <v>14.650806072937861</v>
      </c>
      <c r="AN24" s="288">
        <f t="shared" si="9"/>
        <v>14.970308079220372</v>
      </c>
      <c r="AO24" s="288">
        <f t="shared" si="9"/>
        <v>14.435802872062663</v>
      </c>
      <c r="AP24" s="288">
        <f t="shared" si="9"/>
        <v>14.429353233830845</v>
      </c>
      <c r="AQ24" s="28" t="s">
        <v>261</v>
      </c>
      <c r="AR24" s="685">
        <f t="shared" si="14"/>
        <v>375255</v>
      </c>
      <c r="AS24" s="173">
        <v>29770</v>
      </c>
      <c r="AT24" s="173">
        <v>27795</v>
      </c>
      <c r="AU24" s="173">
        <v>28341</v>
      </c>
      <c r="AV24" s="173">
        <v>29690</v>
      </c>
      <c r="AW24" s="173">
        <v>31878</v>
      </c>
      <c r="AX24" s="173">
        <v>31379</v>
      </c>
      <c r="AY24" s="173">
        <v>32538</v>
      </c>
      <c r="AZ24" s="173">
        <v>32954</v>
      </c>
      <c r="BA24" s="173">
        <v>31521</v>
      </c>
      <c r="BB24" s="173">
        <v>32171</v>
      </c>
      <c r="BC24" s="173">
        <v>32284</v>
      </c>
      <c r="BD24" s="173">
        <v>34934</v>
      </c>
      <c r="BE24" s="28" t="s">
        <v>261</v>
      </c>
      <c r="BF24" s="682">
        <f t="shared" si="15"/>
        <v>24838.811040000001</v>
      </c>
      <c r="BG24" s="287">
        <v>1975.9513999999999</v>
      </c>
      <c r="BH24" s="287">
        <v>1845.6860000000001</v>
      </c>
      <c r="BI24" s="287">
        <v>1880.7995999999998</v>
      </c>
      <c r="BJ24" s="287">
        <v>1950.3962999999999</v>
      </c>
      <c r="BK24" s="287">
        <v>2103.654</v>
      </c>
      <c r="BL24" s="287">
        <v>2070.1696000000002</v>
      </c>
      <c r="BM24" s="287">
        <v>2151.5021999999999</v>
      </c>
      <c r="BN24" s="287">
        <v>2179.3995</v>
      </c>
      <c r="BO24" s="287">
        <v>2093.8040000000001</v>
      </c>
      <c r="BP24" s="287">
        <v>2121.5825</v>
      </c>
      <c r="BQ24" s="287">
        <v>2161.2019399999999</v>
      </c>
      <c r="BR24" s="287">
        <v>2304.6639999999998</v>
      </c>
      <c r="BS24" s="28" t="s">
        <v>261</v>
      </c>
      <c r="BT24" s="688">
        <f t="shared" si="10"/>
        <v>66.19181900307791</v>
      </c>
      <c r="BU24" s="286">
        <f t="shared" si="10"/>
        <v>66.373913335572709</v>
      </c>
      <c r="BV24" s="286">
        <f t="shared" si="10"/>
        <v>66.40352581399533</v>
      </c>
      <c r="BW24" s="286">
        <f t="shared" si="10"/>
        <v>66.363205250344024</v>
      </c>
      <c r="BX24" s="286">
        <f t="shared" si="10"/>
        <v>65.69202761872684</v>
      </c>
      <c r="BY24" s="286">
        <f t="shared" si="10"/>
        <v>65.990777338603422</v>
      </c>
      <c r="BZ24" s="286">
        <f t="shared" si="10"/>
        <v>65.973090283310498</v>
      </c>
      <c r="CA24" s="286">
        <f t="shared" si="10"/>
        <v>66.122754932694079</v>
      </c>
      <c r="CB24" s="286">
        <f t="shared" si="10"/>
        <v>66.134596710566242</v>
      </c>
      <c r="CC24" s="286">
        <f t="shared" si="10"/>
        <v>66.425684464325371</v>
      </c>
      <c r="CD24" s="286">
        <f t="shared" si="10"/>
        <v>65.947048584128552</v>
      </c>
      <c r="CE24" s="286">
        <f t="shared" si="10"/>
        <v>66.943437616156601</v>
      </c>
      <c r="CF24" s="286">
        <f t="shared" si="10"/>
        <v>65.971947100246169</v>
      </c>
      <c r="CG24" s="28" t="s">
        <v>261</v>
      </c>
      <c r="CH24" s="682">
        <f t="shared" si="16"/>
        <v>124702</v>
      </c>
      <c r="CI24" s="287">
        <v>10000</v>
      </c>
      <c r="CJ24" s="287">
        <v>8698</v>
      </c>
      <c r="CK24" s="287">
        <v>9904</v>
      </c>
      <c r="CL24" s="287">
        <v>9920</v>
      </c>
      <c r="CM24" s="287">
        <v>10568</v>
      </c>
      <c r="CN24" s="287">
        <v>10876</v>
      </c>
      <c r="CO24" s="287">
        <v>11178</v>
      </c>
      <c r="CP24" s="287">
        <v>11614</v>
      </c>
      <c r="CQ24" s="287">
        <v>11303</v>
      </c>
      <c r="CR24" s="287">
        <v>11035</v>
      </c>
      <c r="CS24" s="287">
        <v>10305</v>
      </c>
      <c r="CT24" s="287">
        <v>9301</v>
      </c>
      <c r="CU24" s="28" t="s">
        <v>261</v>
      </c>
      <c r="CV24" s="682">
        <f t="shared" si="17"/>
        <v>22876.605</v>
      </c>
      <c r="CW24" s="287">
        <v>1830.8560000000002</v>
      </c>
      <c r="CX24" s="287">
        <v>1593.1819999999998</v>
      </c>
      <c r="CY24" s="287">
        <v>1826.19</v>
      </c>
      <c r="CZ24" s="287">
        <v>1835.7109999999998</v>
      </c>
      <c r="DA24" s="287">
        <v>1938.681</v>
      </c>
      <c r="DB24" s="287">
        <v>1996.0729999999999</v>
      </c>
      <c r="DC24" s="287">
        <v>2045.739</v>
      </c>
      <c r="DD24" s="287">
        <v>2128.3150000000001</v>
      </c>
      <c r="DE24" s="287">
        <v>2060.7849999999999</v>
      </c>
      <c r="DF24" s="287">
        <v>2018.057</v>
      </c>
      <c r="DG24" s="287">
        <v>1880.9590000000001</v>
      </c>
      <c r="DH24" s="287">
        <v>1722.0569999999998</v>
      </c>
      <c r="DI24" s="28" t="s">
        <v>261</v>
      </c>
      <c r="DJ24" s="688">
        <f t="shared" si="11"/>
        <v>183.45018524161603</v>
      </c>
      <c r="DK24" s="286">
        <f t="shared" si="11"/>
        <v>183.08560000000003</v>
      </c>
      <c r="DL24" s="286">
        <f t="shared" si="11"/>
        <v>183.166475051736</v>
      </c>
      <c r="DM24" s="286">
        <f t="shared" si="11"/>
        <v>184.38913570274636</v>
      </c>
      <c r="DN24" s="286">
        <f t="shared" si="11"/>
        <v>185.05151209677416</v>
      </c>
      <c r="DO24" s="286">
        <f t="shared" si="11"/>
        <v>183.44823996971991</v>
      </c>
      <c r="DP24" s="286">
        <f t="shared" si="11"/>
        <v>183.5300662008091</v>
      </c>
      <c r="DQ24" s="286">
        <f t="shared" si="11"/>
        <v>183.01476113794953</v>
      </c>
      <c r="DR24" s="286">
        <f t="shared" si="11"/>
        <v>183.2542620974686</v>
      </c>
      <c r="DS24" s="286">
        <f t="shared" si="11"/>
        <v>182.32194992479873</v>
      </c>
      <c r="DT24" s="286">
        <f t="shared" si="11"/>
        <v>182.8778432260988</v>
      </c>
      <c r="DU24" s="286">
        <f t="shared" si="11"/>
        <v>182.52877244056285</v>
      </c>
      <c r="DV24" s="286">
        <f t="shared" si="11"/>
        <v>185.14751102032037</v>
      </c>
    </row>
    <row r="25" spans="1:126" ht="12.5" customHeight="1">
      <c r="A25" s="28" t="s">
        <v>262</v>
      </c>
      <c r="B25" s="682">
        <f t="shared" si="12"/>
        <v>862</v>
      </c>
      <c r="C25" s="287">
        <v>57</v>
      </c>
      <c r="D25" s="287">
        <v>51</v>
      </c>
      <c r="E25" s="287">
        <v>59</v>
      </c>
      <c r="F25" s="287">
        <v>74</v>
      </c>
      <c r="G25" s="287">
        <v>101</v>
      </c>
      <c r="H25" s="287">
        <v>72</v>
      </c>
      <c r="I25" s="287">
        <v>71</v>
      </c>
      <c r="J25" s="287">
        <v>78</v>
      </c>
      <c r="K25" s="287">
        <v>53</v>
      </c>
      <c r="L25" s="287">
        <v>106</v>
      </c>
      <c r="M25" s="287">
        <v>53</v>
      </c>
      <c r="N25" s="287">
        <v>87</v>
      </c>
      <c r="O25" s="28" t="s">
        <v>262</v>
      </c>
      <c r="P25" s="683">
        <f t="shared" si="13"/>
        <v>18.997</v>
      </c>
      <c r="Q25" s="291">
        <v>1.2930000000000001</v>
      </c>
      <c r="R25" s="291">
        <v>1.4180000000000001</v>
      </c>
      <c r="S25" s="291">
        <v>1.423</v>
      </c>
      <c r="T25" s="291">
        <v>1.405</v>
      </c>
      <c r="U25" s="291">
        <v>2.198</v>
      </c>
      <c r="V25" s="291">
        <v>1.5469999999999999</v>
      </c>
      <c r="W25" s="291">
        <v>1.5390000000000001</v>
      </c>
      <c r="X25" s="291">
        <v>1.6920000000000002</v>
      </c>
      <c r="Y25" s="291">
        <v>1.149</v>
      </c>
      <c r="Z25" s="291">
        <v>2.3129999999999997</v>
      </c>
      <c r="AA25" s="291">
        <v>1.153</v>
      </c>
      <c r="AB25" s="291">
        <v>1.867</v>
      </c>
      <c r="AC25" s="28" t="s">
        <v>262</v>
      </c>
      <c r="AD25" s="684">
        <f t="shared" si="9"/>
        <v>22.038283062645014</v>
      </c>
      <c r="AE25" s="288">
        <f t="shared" si="9"/>
        <v>22.684210526315791</v>
      </c>
      <c r="AF25" s="288">
        <f t="shared" si="9"/>
        <v>27.803921568627452</v>
      </c>
      <c r="AG25" s="288">
        <f t="shared" si="9"/>
        <v>24.118644067796609</v>
      </c>
      <c r="AH25" s="288">
        <f t="shared" si="9"/>
        <v>18.986486486486488</v>
      </c>
      <c r="AI25" s="288">
        <f t="shared" si="9"/>
        <v>21.762376237623762</v>
      </c>
      <c r="AJ25" s="288">
        <f t="shared" si="9"/>
        <v>21.486111111111107</v>
      </c>
      <c r="AK25" s="288">
        <f t="shared" si="9"/>
        <v>21.676056338028172</v>
      </c>
      <c r="AL25" s="288">
        <f t="shared" si="9"/>
        <v>21.692307692307693</v>
      </c>
      <c r="AM25" s="288">
        <f t="shared" si="9"/>
        <v>21.679245283018869</v>
      </c>
      <c r="AN25" s="288">
        <f t="shared" si="9"/>
        <v>21.820754716981128</v>
      </c>
      <c r="AO25" s="288">
        <f t="shared" si="9"/>
        <v>21.754716981132074</v>
      </c>
      <c r="AP25" s="288">
        <f t="shared" si="9"/>
        <v>21.459770114942526</v>
      </c>
      <c r="AQ25" s="28" t="s">
        <v>262</v>
      </c>
      <c r="AR25" s="685">
        <f t="shared" si="14"/>
        <v>23547</v>
      </c>
      <c r="AS25" s="173">
        <v>1729</v>
      </c>
      <c r="AT25" s="173">
        <v>1916</v>
      </c>
      <c r="AU25" s="173">
        <v>2031</v>
      </c>
      <c r="AV25" s="173">
        <v>1982</v>
      </c>
      <c r="AW25" s="173">
        <v>1986</v>
      </c>
      <c r="AX25" s="173">
        <v>1721</v>
      </c>
      <c r="AY25" s="173">
        <v>1911</v>
      </c>
      <c r="AZ25" s="173">
        <v>1846</v>
      </c>
      <c r="BA25" s="173">
        <v>1621</v>
      </c>
      <c r="BB25" s="173">
        <v>2050</v>
      </c>
      <c r="BC25" s="173">
        <v>1976</v>
      </c>
      <c r="BD25" s="173">
        <v>2778</v>
      </c>
      <c r="BE25" s="28" t="s">
        <v>262</v>
      </c>
      <c r="BF25" s="682">
        <f t="shared" si="15"/>
        <v>1165.1880000000001</v>
      </c>
      <c r="BG25" s="287">
        <v>82.646999999999991</v>
      </c>
      <c r="BH25" s="287">
        <v>92.426999999999992</v>
      </c>
      <c r="BI25" s="287">
        <v>100.16499999999999</v>
      </c>
      <c r="BJ25" s="287">
        <v>95.715999999999994</v>
      </c>
      <c r="BK25" s="287">
        <v>100.306</v>
      </c>
      <c r="BL25" s="287">
        <v>86.22399999999999</v>
      </c>
      <c r="BM25" s="287">
        <v>94.224999999999994</v>
      </c>
      <c r="BN25" s="287">
        <v>92.484000000000009</v>
      </c>
      <c r="BO25" s="287">
        <v>80.388000000000005</v>
      </c>
      <c r="BP25" s="287">
        <v>102.70400000000001</v>
      </c>
      <c r="BQ25" s="287">
        <v>98.093000000000004</v>
      </c>
      <c r="BR25" s="287">
        <v>139.809</v>
      </c>
      <c r="BS25" s="28" t="s">
        <v>262</v>
      </c>
      <c r="BT25" s="688">
        <f t="shared" si="10"/>
        <v>49.483501082940506</v>
      </c>
      <c r="BU25" s="286">
        <f t="shared" si="10"/>
        <v>47.800462695199535</v>
      </c>
      <c r="BV25" s="286">
        <f t="shared" si="10"/>
        <v>48.239561586638828</v>
      </c>
      <c r="BW25" s="286">
        <f t="shared" si="10"/>
        <v>49.318069916297382</v>
      </c>
      <c r="BX25" s="286">
        <f t="shared" si="10"/>
        <v>48.292633703329962</v>
      </c>
      <c r="BY25" s="286">
        <f t="shared" si="10"/>
        <v>50.506545820745217</v>
      </c>
      <c r="BZ25" s="286">
        <f t="shared" si="10"/>
        <v>50.101104009296911</v>
      </c>
      <c r="CA25" s="286">
        <f t="shared" si="10"/>
        <v>49.30664573521716</v>
      </c>
      <c r="CB25" s="286">
        <f t="shared" si="10"/>
        <v>50.099674972914414</v>
      </c>
      <c r="CC25" s="286">
        <f t="shared" si="10"/>
        <v>49.591610117211602</v>
      </c>
      <c r="CD25" s="286">
        <f t="shared" si="10"/>
        <v>50.099512195121953</v>
      </c>
      <c r="CE25" s="286">
        <f t="shared" si="10"/>
        <v>49.642206477732792</v>
      </c>
      <c r="CF25" s="286">
        <f t="shared" si="10"/>
        <v>50.327213822894166</v>
      </c>
      <c r="CG25" s="28" t="s">
        <v>262</v>
      </c>
      <c r="CH25" s="682">
        <f t="shared" si="16"/>
        <v>8343</v>
      </c>
      <c r="CI25" s="287">
        <v>688</v>
      </c>
      <c r="CJ25" s="287">
        <v>727</v>
      </c>
      <c r="CK25" s="287">
        <v>735</v>
      </c>
      <c r="CL25" s="287">
        <v>657</v>
      </c>
      <c r="CM25" s="287">
        <v>889</v>
      </c>
      <c r="CN25" s="287">
        <v>613</v>
      </c>
      <c r="CO25" s="287">
        <v>677</v>
      </c>
      <c r="CP25" s="287">
        <v>695</v>
      </c>
      <c r="CQ25" s="287">
        <v>644</v>
      </c>
      <c r="CR25" s="287">
        <v>665</v>
      </c>
      <c r="CS25" s="287">
        <v>692</v>
      </c>
      <c r="CT25" s="287">
        <v>661</v>
      </c>
      <c r="CU25" s="28" t="s">
        <v>262</v>
      </c>
      <c r="CV25" s="682">
        <f t="shared" si="17"/>
        <v>1962.451</v>
      </c>
      <c r="CW25" s="287">
        <v>157.262</v>
      </c>
      <c r="CX25" s="287">
        <v>151.435</v>
      </c>
      <c r="CY25" s="287">
        <v>159.971</v>
      </c>
      <c r="CZ25" s="287">
        <v>147.971</v>
      </c>
      <c r="DA25" s="287">
        <v>218.71400000000003</v>
      </c>
      <c r="DB25" s="287">
        <v>146.51400000000001</v>
      </c>
      <c r="DC25" s="287">
        <v>159.84299999999999</v>
      </c>
      <c r="DD25" s="287">
        <v>170.226</v>
      </c>
      <c r="DE25" s="287">
        <v>156.38400000000001</v>
      </c>
      <c r="DF25" s="287">
        <v>163.43599999999998</v>
      </c>
      <c r="DG25" s="287">
        <v>169.37799999999999</v>
      </c>
      <c r="DH25" s="287">
        <v>161.31699999999998</v>
      </c>
      <c r="DI25" s="28" t="s">
        <v>262</v>
      </c>
      <c r="DJ25" s="688">
        <f t="shared" si="11"/>
        <v>235.22126333453195</v>
      </c>
      <c r="DK25" s="286">
        <f t="shared" si="11"/>
        <v>228.57848837209301</v>
      </c>
      <c r="DL25" s="286">
        <f t="shared" si="11"/>
        <v>208.30123796423658</v>
      </c>
      <c r="DM25" s="286">
        <f t="shared" si="11"/>
        <v>217.64761904761906</v>
      </c>
      <c r="DN25" s="286">
        <f t="shared" si="11"/>
        <v>225.22222222222223</v>
      </c>
      <c r="DO25" s="286">
        <f t="shared" si="11"/>
        <v>246.02249718785154</v>
      </c>
      <c r="DP25" s="286">
        <f t="shared" si="11"/>
        <v>239.01141924959219</v>
      </c>
      <c r="DQ25" s="286">
        <f t="shared" si="11"/>
        <v>236.10487444608566</v>
      </c>
      <c r="DR25" s="286">
        <f t="shared" si="11"/>
        <v>244.9294964028777</v>
      </c>
      <c r="DS25" s="286">
        <f t="shared" si="11"/>
        <v>242.83229813664599</v>
      </c>
      <c r="DT25" s="286">
        <f t="shared" si="11"/>
        <v>245.76842105263157</v>
      </c>
      <c r="DU25" s="286">
        <f t="shared" si="11"/>
        <v>244.76589595375719</v>
      </c>
      <c r="DV25" s="286">
        <f t="shared" si="11"/>
        <v>244.04992435703477</v>
      </c>
    </row>
    <row r="26" spans="1:126" ht="12.5" customHeight="1">
      <c r="A26" s="28" t="s">
        <v>263</v>
      </c>
      <c r="B26" s="682">
        <f t="shared" si="12"/>
        <v>553</v>
      </c>
      <c r="C26" s="287">
        <v>15</v>
      </c>
      <c r="D26" s="287">
        <v>57</v>
      </c>
      <c r="E26" s="287">
        <v>32</v>
      </c>
      <c r="F26" s="287">
        <v>29</v>
      </c>
      <c r="G26" s="287">
        <v>30</v>
      </c>
      <c r="H26" s="287">
        <v>42</v>
      </c>
      <c r="I26" s="287">
        <v>34</v>
      </c>
      <c r="J26" s="287">
        <v>66</v>
      </c>
      <c r="K26" s="287">
        <v>55</v>
      </c>
      <c r="L26" s="287">
        <v>74</v>
      </c>
      <c r="M26" s="287">
        <v>52</v>
      </c>
      <c r="N26" s="287">
        <v>67</v>
      </c>
      <c r="O26" s="28" t="s">
        <v>263</v>
      </c>
      <c r="P26" s="683">
        <f t="shared" si="13"/>
        <v>12.927999999999997</v>
      </c>
      <c r="Q26" s="291">
        <v>0.33599999999999997</v>
      </c>
      <c r="R26" s="291">
        <v>1.2489999999999999</v>
      </c>
      <c r="S26" s="291">
        <v>0.64999999999999991</v>
      </c>
      <c r="T26" s="291">
        <v>0.61499999999999999</v>
      </c>
      <c r="U26" s="291">
        <v>0.627</v>
      </c>
      <c r="V26" s="291">
        <v>0.85</v>
      </c>
      <c r="W26" s="291">
        <v>0.96699999999999997</v>
      </c>
      <c r="X26" s="291">
        <v>1.645</v>
      </c>
      <c r="Y26" s="291">
        <v>1.552</v>
      </c>
      <c r="Z26" s="291">
        <v>1.74</v>
      </c>
      <c r="AA26" s="291">
        <v>1.2899999999999998</v>
      </c>
      <c r="AB26" s="291">
        <v>1.407</v>
      </c>
      <c r="AC26" s="28" t="s">
        <v>263</v>
      </c>
      <c r="AD26" s="684">
        <f t="shared" si="9"/>
        <v>23.377938517179018</v>
      </c>
      <c r="AE26" s="288">
        <f t="shared" si="9"/>
        <v>22.399999999999995</v>
      </c>
      <c r="AF26" s="288">
        <f t="shared" si="9"/>
        <v>21.912280701754383</v>
      </c>
      <c r="AG26" s="288">
        <f t="shared" si="9"/>
        <v>20.312499999999996</v>
      </c>
      <c r="AH26" s="288">
        <f t="shared" si="9"/>
        <v>21.206896551724139</v>
      </c>
      <c r="AI26" s="288">
        <f t="shared" si="9"/>
        <v>20.9</v>
      </c>
      <c r="AJ26" s="288">
        <f t="shared" si="9"/>
        <v>20.238095238095241</v>
      </c>
      <c r="AK26" s="288">
        <f t="shared" si="9"/>
        <v>28.441176470588232</v>
      </c>
      <c r="AL26" s="288">
        <f t="shared" si="9"/>
        <v>24.924242424242426</v>
      </c>
      <c r="AM26" s="288">
        <f t="shared" si="9"/>
        <v>28.218181818181819</v>
      </c>
      <c r="AN26" s="288">
        <f t="shared" si="9"/>
        <v>23.513513513513512</v>
      </c>
      <c r="AO26" s="288">
        <f t="shared" si="9"/>
        <v>24.807692307692307</v>
      </c>
      <c r="AP26" s="288">
        <f t="shared" si="9"/>
        <v>21</v>
      </c>
      <c r="AQ26" s="28" t="s">
        <v>263</v>
      </c>
      <c r="AR26" s="685">
        <f t="shared" si="14"/>
        <v>21971</v>
      </c>
      <c r="AS26" s="173">
        <v>1040</v>
      </c>
      <c r="AT26" s="173">
        <v>1875</v>
      </c>
      <c r="AU26" s="173">
        <v>2024</v>
      </c>
      <c r="AV26" s="173">
        <v>1632</v>
      </c>
      <c r="AW26" s="173">
        <v>2122</v>
      </c>
      <c r="AX26" s="173">
        <v>1790</v>
      </c>
      <c r="AY26" s="173">
        <v>2024</v>
      </c>
      <c r="AZ26" s="173">
        <v>2105</v>
      </c>
      <c r="BA26" s="173">
        <v>1952</v>
      </c>
      <c r="BB26" s="173">
        <v>1888</v>
      </c>
      <c r="BC26" s="173">
        <v>1517</v>
      </c>
      <c r="BD26" s="173">
        <v>2002</v>
      </c>
      <c r="BE26" s="28" t="s">
        <v>263</v>
      </c>
      <c r="BF26" s="682">
        <f t="shared" si="15"/>
        <v>785.78600000000017</v>
      </c>
      <c r="BG26" s="287">
        <v>44.874000000000002</v>
      </c>
      <c r="BH26" s="287">
        <v>82.124000000000009</v>
      </c>
      <c r="BI26" s="287">
        <v>85.750999999999991</v>
      </c>
      <c r="BJ26" s="287">
        <v>62.749000000000002</v>
      </c>
      <c r="BK26" s="287">
        <v>76.814999999999998</v>
      </c>
      <c r="BL26" s="287">
        <v>57.04</v>
      </c>
      <c r="BM26" s="287">
        <v>73.022999999999996</v>
      </c>
      <c r="BN26" s="287">
        <v>74.963999999999999</v>
      </c>
      <c r="BO26" s="287">
        <v>65.36</v>
      </c>
      <c r="BP26" s="287">
        <v>58.88</v>
      </c>
      <c r="BQ26" s="287">
        <v>45.183999999999997</v>
      </c>
      <c r="BR26" s="287">
        <v>59.021999999999998</v>
      </c>
      <c r="BS26" s="28" t="s">
        <v>263</v>
      </c>
      <c r="BT26" s="688">
        <f t="shared" si="10"/>
        <v>35.764689818396981</v>
      </c>
      <c r="BU26" s="286">
        <f t="shared" si="10"/>
        <v>43.148076923076928</v>
      </c>
      <c r="BV26" s="286">
        <f t="shared" si="10"/>
        <v>43.799466666666667</v>
      </c>
      <c r="BW26" s="286">
        <f t="shared" si="10"/>
        <v>42.367094861660078</v>
      </c>
      <c r="BX26" s="286">
        <f t="shared" si="10"/>
        <v>38.449142156862742</v>
      </c>
      <c r="BY26" s="286">
        <f t="shared" si="10"/>
        <v>36.199340245051836</v>
      </c>
      <c r="BZ26" s="286">
        <f t="shared" si="10"/>
        <v>31.865921787709492</v>
      </c>
      <c r="CA26" s="286">
        <f t="shared" si="10"/>
        <v>36.078557312252961</v>
      </c>
      <c r="CB26" s="286">
        <f t="shared" si="10"/>
        <v>35.612351543942992</v>
      </c>
      <c r="CC26" s="286">
        <f t="shared" si="10"/>
        <v>33.483606557377044</v>
      </c>
      <c r="CD26" s="286">
        <f t="shared" si="10"/>
        <v>31.186440677966104</v>
      </c>
      <c r="CE26" s="286">
        <f t="shared" si="10"/>
        <v>29.785102175346076</v>
      </c>
      <c r="CF26" s="286">
        <f t="shared" si="10"/>
        <v>29.481518481518478</v>
      </c>
      <c r="CG26" s="28" t="s">
        <v>263</v>
      </c>
      <c r="CH26" s="682">
        <f t="shared" si="16"/>
        <v>13446</v>
      </c>
      <c r="CI26" s="287">
        <v>980</v>
      </c>
      <c r="CJ26" s="287">
        <v>1104</v>
      </c>
      <c r="CK26" s="287">
        <v>1109</v>
      </c>
      <c r="CL26" s="287">
        <v>981</v>
      </c>
      <c r="CM26" s="287">
        <v>975</v>
      </c>
      <c r="CN26" s="287">
        <v>1157</v>
      </c>
      <c r="CO26" s="287">
        <v>1166</v>
      </c>
      <c r="CP26" s="287">
        <v>1295</v>
      </c>
      <c r="CQ26" s="287">
        <v>1227</v>
      </c>
      <c r="CR26" s="287">
        <v>1117</v>
      </c>
      <c r="CS26" s="287">
        <v>1106</v>
      </c>
      <c r="CT26" s="287">
        <v>1229</v>
      </c>
      <c r="CU26" s="28" t="s">
        <v>263</v>
      </c>
      <c r="CV26" s="682">
        <f t="shared" si="17"/>
        <v>2945.402</v>
      </c>
      <c r="CW26" s="287">
        <v>219.91900000000001</v>
      </c>
      <c r="CX26" s="287">
        <v>233.50900000000001</v>
      </c>
      <c r="CY26" s="287">
        <v>237.41699999999997</v>
      </c>
      <c r="CZ26" s="287">
        <v>208.44600000000003</v>
      </c>
      <c r="DA26" s="287">
        <v>210.613</v>
      </c>
      <c r="DB26" s="287">
        <v>254.59199999999998</v>
      </c>
      <c r="DC26" s="287">
        <v>254.28800000000001</v>
      </c>
      <c r="DD26" s="287">
        <v>281.13</v>
      </c>
      <c r="DE26" s="287">
        <v>263.09199999999998</v>
      </c>
      <c r="DF26" s="287">
        <v>251.834</v>
      </c>
      <c r="DG26" s="287">
        <v>252.08099999999999</v>
      </c>
      <c r="DH26" s="287">
        <v>278.48099999999999</v>
      </c>
      <c r="DI26" s="28" t="s">
        <v>263</v>
      </c>
      <c r="DJ26" s="688">
        <f t="shared" si="11"/>
        <v>219.05414249590956</v>
      </c>
      <c r="DK26" s="286">
        <f t="shared" si="11"/>
        <v>224.40714285714287</v>
      </c>
      <c r="DL26" s="286">
        <f t="shared" si="11"/>
        <v>211.51177536231884</v>
      </c>
      <c r="DM26" s="286">
        <f t="shared" si="11"/>
        <v>214.0820559062218</v>
      </c>
      <c r="DN26" s="286">
        <f t="shared" si="11"/>
        <v>212.48318042813457</v>
      </c>
      <c r="DO26" s="286">
        <f t="shared" si="11"/>
        <v>216.01333333333332</v>
      </c>
      <c r="DP26" s="286">
        <f t="shared" si="11"/>
        <v>220.04494382022472</v>
      </c>
      <c r="DQ26" s="286">
        <f t="shared" si="11"/>
        <v>218.08576329331046</v>
      </c>
      <c r="DR26" s="286">
        <f t="shared" si="11"/>
        <v>217.08880308880308</v>
      </c>
      <c r="DS26" s="286">
        <f t="shared" si="11"/>
        <v>214.41890790546046</v>
      </c>
      <c r="DT26" s="286">
        <f t="shared" si="11"/>
        <v>225.45568487018801</v>
      </c>
      <c r="DU26" s="286">
        <f t="shared" si="11"/>
        <v>227.92133815551534</v>
      </c>
      <c r="DV26" s="286">
        <f t="shared" si="11"/>
        <v>226.59153783563875</v>
      </c>
    </row>
    <row r="27" spans="1:126" ht="12.5" customHeight="1">
      <c r="A27" s="28" t="s">
        <v>264</v>
      </c>
      <c r="B27" s="682">
        <f t="shared" si="12"/>
        <v>31554</v>
      </c>
      <c r="C27" s="287">
        <v>2391</v>
      </c>
      <c r="D27" s="287">
        <v>2552</v>
      </c>
      <c r="E27" s="287">
        <v>2907</v>
      </c>
      <c r="F27" s="287">
        <v>3384</v>
      </c>
      <c r="G27" s="287">
        <v>2471</v>
      </c>
      <c r="H27" s="287">
        <v>2356</v>
      </c>
      <c r="I27" s="287">
        <v>2727</v>
      </c>
      <c r="J27" s="287">
        <v>2738</v>
      </c>
      <c r="K27" s="287">
        <v>2524</v>
      </c>
      <c r="L27" s="287">
        <v>2856</v>
      </c>
      <c r="M27" s="287">
        <v>2820</v>
      </c>
      <c r="N27" s="287">
        <v>1828</v>
      </c>
      <c r="O27" s="28" t="s">
        <v>264</v>
      </c>
      <c r="P27" s="683">
        <f t="shared" si="13"/>
        <v>513.24699999999996</v>
      </c>
      <c r="Q27" s="291">
        <v>35.871000000000002</v>
      </c>
      <c r="R27" s="291">
        <v>40.295999999999999</v>
      </c>
      <c r="S27" s="291">
        <v>46.548999999999999</v>
      </c>
      <c r="T27" s="291">
        <v>54.14</v>
      </c>
      <c r="U27" s="291">
        <v>38.635999999999996</v>
      </c>
      <c r="V27" s="291">
        <v>36.64</v>
      </c>
      <c r="W27" s="291">
        <v>46.036999999999999</v>
      </c>
      <c r="X27" s="291">
        <v>45.409000000000006</v>
      </c>
      <c r="Y27" s="291">
        <v>42.893999999999998</v>
      </c>
      <c r="Z27" s="291">
        <v>49.027000000000001</v>
      </c>
      <c r="AA27" s="291">
        <v>47.212000000000003</v>
      </c>
      <c r="AB27" s="291">
        <v>30.536000000000001</v>
      </c>
      <c r="AC27" s="28" t="s">
        <v>264</v>
      </c>
      <c r="AD27" s="684">
        <f t="shared" si="9"/>
        <v>16.265671547188944</v>
      </c>
      <c r="AE27" s="288">
        <f t="shared" si="9"/>
        <v>15.002509410288583</v>
      </c>
      <c r="AF27" s="288">
        <f t="shared" si="9"/>
        <v>15.789968652037617</v>
      </c>
      <c r="AG27" s="288">
        <f t="shared" si="9"/>
        <v>16.012727898176816</v>
      </c>
      <c r="AH27" s="288">
        <f t="shared" si="9"/>
        <v>15.998817966903074</v>
      </c>
      <c r="AI27" s="288">
        <f t="shared" si="9"/>
        <v>15.635774989882636</v>
      </c>
      <c r="AJ27" s="288">
        <f t="shared" si="9"/>
        <v>15.551782682512734</v>
      </c>
      <c r="AK27" s="288">
        <f t="shared" si="9"/>
        <v>16.881921525485883</v>
      </c>
      <c r="AL27" s="288">
        <f t="shared" si="9"/>
        <v>16.584733382030681</v>
      </c>
      <c r="AM27" s="288">
        <f t="shared" ref="AM27:AM34" si="18">(Y27/K27)*1000</f>
        <v>16.994453248811407</v>
      </c>
      <c r="AN27" s="288">
        <f t="shared" ref="AN27:AN34" si="19">(Z27/L27)*1000</f>
        <v>17.166316526610643</v>
      </c>
      <c r="AO27" s="288">
        <f t="shared" ref="AO27:AO34" si="20">(AA27/M27)*1000</f>
        <v>16.741843971631205</v>
      </c>
      <c r="AP27" s="288">
        <f t="shared" ref="AP27:AP34" si="21">(AB27/N27)*1000</f>
        <v>16.704595185995625</v>
      </c>
      <c r="AQ27" s="28" t="s">
        <v>264</v>
      </c>
      <c r="AR27" s="685">
        <f t="shared" si="14"/>
        <v>33734</v>
      </c>
      <c r="AS27" s="173">
        <v>2510</v>
      </c>
      <c r="AT27" s="173">
        <v>2789</v>
      </c>
      <c r="AU27" s="173">
        <v>3120</v>
      </c>
      <c r="AV27" s="173">
        <v>3209</v>
      </c>
      <c r="AW27" s="173">
        <v>2805</v>
      </c>
      <c r="AX27" s="173">
        <v>2508</v>
      </c>
      <c r="AY27" s="173">
        <v>2611</v>
      </c>
      <c r="AZ27" s="173">
        <v>3219</v>
      </c>
      <c r="BA27" s="173">
        <v>2399</v>
      </c>
      <c r="BB27" s="173">
        <v>2771</v>
      </c>
      <c r="BC27" s="173">
        <v>2571</v>
      </c>
      <c r="BD27" s="173">
        <v>3222</v>
      </c>
      <c r="BE27" s="28" t="s">
        <v>264</v>
      </c>
      <c r="BF27" s="682">
        <f t="shared" si="15"/>
        <v>1688.212</v>
      </c>
      <c r="BG27" s="287">
        <v>127.06099999999999</v>
      </c>
      <c r="BH27" s="287">
        <v>154.744</v>
      </c>
      <c r="BI27" s="287">
        <v>167.274</v>
      </c>
      <c r="BJ27" s="287">
        <v>166.809</v>
      </c>
      <c r="BK27" s="287">
        <v>139.22</v>
      </c>
      <c r="BL27" s="287">
        <v>124.98500000000001</v>
      </c>
      <c r="BM27" s="287">
        <v>125.949</v>
      </c>
      <c r="BN27" s="287">
        <v>154.38999999999999</v>
      </c>
      <c r="BO27" s="287">
        <v>117.024</v>
      </c>
      <c r="BP27" s="287">
        <v>134.07999999999998</v>
      </c>
      <c r="BQ27" s="287">
        <v>123.48599999999999</v>
      </c>
      <c r="BR27" s="287">
        <v>153.19</v>
      </c>
      <c r="BS27" s="28" t="s">
        <v>264</v>
      </c>
      <c r="BT27" s="688">
        <f t="shared" ref="BT27:CF35" si="22">(BF27/AR27)*1000</f>
        <v>50.04482124859193</v>
      </c>
      <c r="BU27" s="286">
        <f t="shared" si="22"/>
        <v>50.621912350597604</v>
      </c>
      <c r="BV27" s="286">
        <f t="shared" si="22"/>
        <v>55.483685908927932</v>
      </c>
      <c r="BW27" s="286">
        <f t="shared" si="22"/>
        <v>53.613461538461543</v>
      </c>
      <c r="BX27" s="286">
        <f t="shared" si="22"/>
        <v>51.98161421003428</v>
      </c>
      <c r="BY27" s="286">
        <f t="shared" si="22"/>
        <v>49.632798573975045</v>
      </c>
      <c r="BZ27" s="286">
        <f t="shared" si="22"/>
        <v>49.83452950558214</v>
      </c>
      <c r="CA27" s="286">
        <f t="shared" si="22"/>
        <v>48.237839908081192</v>
      </c>
      <c r="CB27" s="286">
        <f t="shared" si="22"/>
        <v>47.962100031065546</v>
      </c>
      <c r="CC27" s="286">
        <f>(BO27/BA27)*1000</f>
        <v>48.780325135473113</v>
      </c>
      <c r="CD27" s="286">
        <f>(BP27/BB27)*1000</f>
        <v>48.386863948033195</v>
      </c>
      <c r="CE27" s="286">
        <f>(BQ27/BC27)*1000</f>
        <v>48.030338389731618</v>
      </c>
      <c r="CF27" s="286">
        <f>(BR27/BD27)*1000</f>
        <v>47.545003103662324</v>
      </c>
      <c r="CG27" s="28" t="s">
        <v>264</v>
      </c>
      <c r="CH27" s="682">
        <f t="shared" si="16"/>
        <v>38707</v>
      </c>
      <c r="CI27" s="287">
        <v>3468</v>
      </c>
      <c r="CJ27" s="287">
        <v>3389</v>
      </c>
      <c r="CK27" s="287">
        <v>3462</v>
      </c>
      <c r="CL27" s="287">
        <v>3764</v>
      </c>
      <c r="CM27" s="287">
        <v>3445</v>
      </c>
      <c r="CN27" s="287">
        <v>3029</v>
      </c>
      <c r="CO27" s="287">
        <v>3149</v>
      </c>
      <c r="CP27" s="287">
        <v>3481</v>
      </c>
      <c r="CQ27" s="287">
        <v>3227</v>
      </c>
      <c r="CR27" s="287">
        <v>3218</v>
      </c>
      <c r="CS27" s="287">
        <v>2685</v>
      </c>
      <c r="CT27" s="287">
        <v>2390</v>
      </c>
      <c r="CU27" s="28" t="s">
        <v>264</v>
      </c>
      <c r="CV27" s="682">
        <f t="shared" si="17"/>
        <v>5890.95</v>
      </c>
      <c r="CW27" s="287">
        <v>481.38599999999997</v>
      </c>
      <c r="CX27" s="287">
        <v>482.40599999999995</v>
      </c>
      <c r="CY27" s="287">
        <v>534.43900000000008</v>
      </c>
      <c r="CZ27" s="287">
        <v>586.26800000000003</v>
      </c>
      <c r="DA27" s="287">
        <v>518.08299999999997</v>
      </c>
      <c r="DB27" s="287">
        <v>437.13</v>
      </c>
      <c r="DC27" s="287">
        <v>486.70299999999997</v>
      </c>
      <c r="DD27" s="287">
        <v>536.53899999999999</v>
      </c>
      <c r="DE27" s="287">
        <v>495.76300000000003</v>
      </c>
      <c r="DF27" s="287">
        <v>502.178</v>
      </c>
      <c r="DG27" s="287">
        <v>458.88800000000003</v>
      </c>
      <c r="DH27" s="287">
        <v>371.16700000000003</v>
      </c>
      <c r="DI27" s="28" t="s">
        <v>264</v>
      </c>
      <c r="DJ27" s="688">
        <f t="shared" si="11"/>
        <v>152.19340171028495</v>
      </c>
      <c r="DK27" s="286">
        <f t="shared" si="11"/>
        <v>138.80795847750866</v>
      </c>
      <c r="DL27" s="286">
        <f t="shared" si="11"/>
        <v>142.34464443788727</v>
      </c>
      <c r="DM27" s="286">
        <f t="shared" si="11"/>
        <v>154.37290583477761</v>
      </c>
      <c r="DN27" s="286">
        <f t="shared" si="11"/>
        <v>155.75664187035071</v>
      </c>
      <c r="DO27" s="286">
        <f t="shared" si="11"/>
        <v>150.38693759071117</v>
      </c>
      <c r="DP27" s="286">
        <f t="shared" si="11"/>
        <v>144.31495543083525</v>
      </c>
      <c r="DQ27" s="286">
        <f t="shared" si="11"/>
        <v>154.55795490631945</v>
      </c>
      <c r="DR27" s="286">
        <f t="shared" ref="DR27:DV36" si="23">(DD27/CP27)*1000</f>
        <v>154.13358230393564</v>
      </c>
      <c r="DS27" s="286">
        <f t="shared" si="23"/>
        <v>153.62968701580414</v>
      </c>
      <c r="DT27" s="286">
        <f t="shared" si="23"/>
        <v>156.05282784338098</v>
      </c>
      <c r="DU27" s="286">
        <f t="shared" si="23"/>
        <v>170.90800744878959</v>
      </c>
      <c r="DV27" s="286">
        <f t="shared" si="23"/>
        <v>155.30000000000001</v>
      </c>
    </row>
    <row r="28" spans="1:126" ht="12.5" customHeight="1">
      <c r="A28" s="28" t="s">
        <v>265</v>
      </c>
      <c r="B28" s="682">
        <f t="shared" si="12"/>
        <v>8672</v>
      </c>
      <c r="C28" s="287">
        <v>645</v>
      </c>
      <c r="D28" s="287">
        <v>650</v>
      </c>
      <c r="E28" s="287">
        <v>610</v>
      </c>
      <c r="F28" s="287">
        <v>538</v>
      </c>
      <c r="G28" s="287">
        <v>619</v>
      </c>
      <c r="H28" s="287">
        <v>705</v>
      </c>
      <c r="I28" s="287">
        <v>765</v>
      </c>
      <c r="J28" s="287">
        <v>730</v>
      </c>
      <c r="K28" s="287">
        <v>835</v>
      </c>
      <c r="L28" s="287">
        <v>830</v>
      </c>
      <c r="M28" s="287">
        <v>845</v>
      </c>
      <c r="N28" s="287">
        <v>900</v>
      </c>
      <c r="O28" s="28" t="s">
        <v>265</v>
      </c>
      <c r="P28" s="683">
        <f t="shared" si="13"/>
        <v>111.3455</v>
      </c>
      <c r="Q28" s="291">
        <v>8.1447500000000002</v>
      </c>
      <c r="R28" s="291">
        <v>8.3595000000000006</v>
      </c>
      <c r="S28" s="291">
        <v>7.7767500000000007</v>
      </c>
      <c r="T28" s="291">
        <v>6.9240000000000004</v>
      </c>
      <c r="U28" s="291">
        <v>7.9949999999999992</v>
      </c>
      <c r="V28" s="291">
        <v>9.1849999999999987</v>
      </c>
      <c r="W28" s="291">
        <v>9.6270000000000007</v>
      </c>
      <c r="X28" s="291">
        <v>9.0904999999999987</v>
      </c>
      <c r="Y28" s="291">
        <v>10.642499999999998</v>
      </c>
      <c r="Z28" s="291">
        <v>10.592500000000001</v>
      </c>
      <c r="AA28" s="291">
        <v>11.052</v>
      </c>
      <c r="AB28" s="291">
        <v>11.956</v>
      </c>
      <c r="AC28" s="28" t="s">
        <v>265</v>
      </c>
      <c r="AD28" s="684">
        <f t="shared" ref="AD28:AL34" si="24">(P28/B28)*1000</f>
        <v>12.839656365313655</v>
      </c>
      <c r="AE28" s="288">
        <f t="shared" si="24"/>
        <v>12.627519379844962</v>
      </c>
      <c r="AF28" s="288">
        <f t="shared" si="24"/>
        <v>12.860769230769231</v>
      </c>
      <c r="AG28" s="288">
        <f t="shared" si="24"/>
        <v>12.748770491803279</v>
      </c>
      <c r="AH28" s="288">
        <f t="shared" si="24"/>
        <v>12.869888475836433</v>
      </c>
      <c r="AI28" s="288">
        <f t="shared" si="24"/>
        <v>12.915993537964459</v>
      </c>
      <c r="AJ28" s="288">
        <f t="shared" si="24"/>
        <v>13.028368794326239</v>
      </c>
      <c r="AK28" s="288">
        <f t="shared" si="24"/>
        <v>12.584313725490198</v>
      </c>
      <c r="AL28" s="288">
        <f t="shared" si="24"/>
        <v>12.452739726027396</v>
      </c>
      <c r="AM28" s="288">
        <f t="shared" si="18"/>
        <v>12.745508982035926</v>
      </c>
      <c r="AN28" s="288">
        <f t="shared" si="19"/>
        <v>12.762048192771084</v>
      </c>
      <c r="AO28" s="288">
        <f t="shared" si="20"/>
        <v>13.079289940828403</v>
      </c>
      <c r="AP28" s="288">
        <f t="shared" si="21"/>
        <v>13.284444444444444</v>
      </c>
      <c r="AQ28" s="28" t="s">
        <v>265</v>
      </c>
      <c r="AR28" s="685">
        <f t="shared" si="14"/>
        <v>10487</v>
      </c>
      <c r="AS28" s="173">
        <v>935</v>
      </c>
      <c r="AT28" s="173">
        <v>955</v>
      </c>
      <c r="AU28" s="173">
        <v>875</v>
      </c>
      <c r="AV28" s="173">
        <v>790</v>
      </c>
      <c r="AW28" s="173">
        <v>695</v>
      </c>
      <c r="AX28" s="173">
        <v>755</v>
      </c>
      <c r="AY28" s="173">
        <v>820</v>
      </c>
      <c r="AZ28" s="173">
        <v>847</v>
      </c>
      <c r="BA28" s="173">
        <v>910</v>
      </c>
      <c r="BB28" s="173">
        <v>935</v>
      </c>
      <c r="BC28" s="173">
        <v>975</v>
      </c>
      <c r="BD28" s="173">
        <v>995</v>
      </c>
      <c r="BE28" s="28" t="s">
        <v>265</v>
      </c>
      <c r="BF28" s="682">
        <f t="shared" si="15"/>
        <v>443.01254999999992</v>
      </c>
      <c r="BG28" s="287">
        <v>39.080500000000001</v>
      </c>
      <c r="BH28" s="287">
        <v>40.192499999999995</v>
      </c>
      <c r="BI28" s="287">
        <v>36.948</v>
      </c>
      <c r="BJ28" s="287">
        <v>33.347999999999999</v>
      </c>
      <c r="BK28" s="287">
        <v>29.397999999999996</v>
      </c>
      <c r="BL28" s="287">
        <v>31.883249999999997</v>
      </c>
      <c r="BM28" s="287">
        <v>34.546500000000002</v>
      </c>
      <c r="BN28" s="287">
        <v>35.9223</v>
      </c>
      <c r="BO28" s="287">
        <v>38.701999999999998</v>
      </c>
      <c r="BP28" s="287">
        <v>39.532499999999999</v>
      </c>
      <c r="BQ28" s="287">
        <v>41.238999999999997</v>
      </c>
      <c r="BR28" s="287">
        <v>42.22</v>
      </c>
      <c r="BS28" s="28" t="s">
        <v>265</v>
      </c>
      <c r="BT28" s="688">
        <f t="shared" si="22"/>
        <v>42.243973490988836</v>
      </c>
      <c r="BU28" s="286">
        <f t="shared" si="22"/>
        <v>41.797326203208556</v>
      </c>
      <c r="BV28" s="286">
        <f t="shared" si="22"/>
        <v>42.086387434554972</v>
      </c>
      <c r="BW28" s="286">
        <f t="shared" si="22"/>
        <v>42.226285714285716</v>
      </c>
      <c r="BX28" s="286">
        <f t="shared" si="22"/>
        <v>42.212658227848102</v>
      </c>
      <c r="BY28" s="286">
        <f t="shared" si="22"/>
        <v>42.299280575539562</v>
      </c>
      <c r="BZ28" s="286">
        <f t="shared" si="22"/>
        <v>42.229470198675493</v>
      </c>
      <c r="CA28" s="286">
        <f t="shared" si="22"/>
        <v>42.12987804878049</v>
      </c>
      <c r="CB28" s="286">
        <f t="shared" si="22"/>
        <v>42.411216056670604</v>
      </c>
      <c r="CC28" s="286">
        <f t="shared" si="22"/>
        <v>42.529670329670324</v>
      </c>
      <c r="CD28" s="286">
        <f t="shared" si="22"/>
        <v>42.280748663101605</v>
      </c>
      <c r="CE28" s="286">
        <f t="shared" si="22"/>
        <v>42.296410256410255</v>
      </c>
      <c r="CF28" s="286">
        <f t="shared" si="22"/>
        <v>42.4321608040201</v>
      </c>
      <c r="CG28" s="28" t="s">
        <v>265</v>
      </c>
      <c r="CH28" s="682">
        <f t="shared" si="16"/>
        <v>16985</v>
      </c>
      <c r="CI28" s="287">
        <v>1460</v>
      </c>
      <c r="CJ28" s="287">
        <v>1375</v>
      </c>
      <c r="CK28" s="287">
        <v>1290</v>
      </c>
      <c r="CL28" s="287">
        <v>1050</v>
      </c>
      <c r="CM28" s="287">
        <v>1095</v>
      </c>
      <c r="CN28" s="287">
        <v>1220</v>
      </c>
      <c r="CO28" s="287">
        <v>1355</v>
      </c>
      <c r="CP28" s="287">
        <v>1450</v>
      </c>
      <c r="CQ28" s="287">
        <v>1575</v>
      </c>
      <c r="CR28" s="287">
        <v>1635</v>
      </c>
      <c r="CS28" s="287">
        <v>1675</v>
      </c>
      <c r="CT28" s="287">
        <v>1805</v>
      </c>
      <c r="CU28" s="28" t="s">
        <v>265</v>
      </c>
      <c r="CV28" s="682">
        <f t="shared" si="17"/>
        <v>1973.1637499999997</v>
      </c>
      <c r="CW28" s="287">
        <v>167.9965</v>
      </c>
      <c r="CX28" s="287">
        <v>159.03750000000002</v>
      </c>
      <c r="CY28" s="287">
        <v>149.32774999999998</v>
      </c>
      <c r="CZ28" s="287">
        <v>121.88500000000001</v>
      </c>
      <c r="DA28" s="287">
        <v>126.62649999999999</v>
      </c>
      <c r="DB28" s="287">
        <v>141.62299999999999</v>
      </c>
      <c r="DC28" s="287">
        <v>157.59924999999998</v>
      </c>
      <c r="DD28" s="287">
        <v>168.917</v>
      </c>
      <c r="DE28" s="287">
        <v>183.73649999999998</v>
      </c>
      <c r="DF28" s="287">
        <v>190.42200000000003</v>
      </c>
      <c r="DG28" s="287">
        <v>195.35999999999999</v>
      </c>
      <c r="DH28" s="287">
        <v>210.63274999999999</v>
      </c>
      <c r="DI28" s="28" t="s">
        <v>265</v>
      </c>
      <c r="DJ28" s="688">
        <f t="shared" ref="DJ28:DQ36" si="25">(CV28/CH28)*1000</f>
        <v>116.17095967029731</v>
      </c>
      <c r="DK28" s="286">
        <f t="shared" si="25"/>
        <v>115.06609589041096</v>
      </c>
      <c r="DL28" s="286">
        <f t="shared" si="25"/>
        <v>115.66363636363639</v>
      </c>
      <c r="DM28" s="286">
        <f t="shared" si="25"/>
        <v>115.7579457364341</v>
      </c>
      <c r="DN28" s="286">
        <f t="shared" si="25"/>
        <v>116.08095238095238</v>
      </c>
      <c r="DO28" s="286">
        <f t="shared" si="25"/>
        <v>115.64063926940639</v>
      </c>
      <c r="DP28" s="286">
        <f t="shared" si="25"/>
        <v>116.0844262295082</v>
      </c>
      <c r="DQ28" s="286">
        <f t="shared" si="25"/>
        <v>116.30940959409592</v>
      </c>
      <c r="DR28" s="286">
        <f t="shared" si="23"/>
        <v>116.49448275862069</v>
      </c>
      <c r="DS28" s="286">
        <f t="shared" si="23"/>
        <v>116.65809523809523</v>
      </c>
      <c r="DT28" s="286">
        <f t="shared" si="23"/>
        <v>116.46605504587157</v>
      </c>
      <c r="DU28" s="286">
        <f t="shared" si="23"/>
        <v>116.63283582089551</v>
      </c>
      <c r="DV28" s="286">
        <f t="shared" si="23"/>
        <v>116.69404432132963</v>
      </c>
    </row>
    <row r="29" spans="1:126" ht="12.5" customHeight="1">
      <c r="A29" s="28" t="s">
        <v>266</v>
      </c>
      <c r="B29" s="682">
        <f t="shared" si="12"/>
        <v>3915</v>
      </c>
      <c r="C29" s="287">
        <v>310</v>
      </c>
      <c r="D29" s="287">
        <v>305</v>
      </c>
      <c r="E29" s="287">
        <v>275</v>
      </c>
      <c r="F29" s="287">
        <v>250</v>
      </c>
      <c r="G29" s="287">
        <v>280</v>
      </c>
      <c r="H29" s="287">
        <v>325</v>
      </c>
      <c r="I29" s="287">
        <v>340</v>
      </c>
      <c r="J29" s="287">
        <v>330</v>
      </c>
      <c r="K29" s="287">
        <v>365</v>
      </c>
      <c r="L29" s="287">
        <v>345</v>
      </c>
      <c r="M29" s="287">
        <v>380</v>
      </c>
      <c r="N29" s="287">
        <v>410</v>
      </c>
      <c r="O29" s="28" t="s">
        <v>266</v>
      </c>
      <c r="P29" s="683">
        <f t="shared" si="13"/>
        <v>48.165500000000002</v>
      </c>
      <c r="Q29" s="291">
        <v>3.7759999999999998</v>
      </c>
      <c r="R29" s="291">
        <v>3.7365000000000004</v>
      </c>
      <c r="S29" s="291">
        <v>3.2930000000000001</v>
      </c>
      <c r="T29" s="291">
        <v>3.1059999999999999</v>
      </c>
      <c r="U29" s="291">
        <v>3.5129999999999999</v>
      </c>
      <c r="V29" s="291">
        <v>4.1855000000000002</v>
      </c>
      <c r="W29" s="291">
        <v>4.165</v>
      </c>
      <c r="X29" s="291">
        <v>3.9249999999999998</v>
      </c>
      <c r="Y29" s="291">
        <v>4.4674999999999994</v>
      </c>
      <c r="Z29" s="291">
        <v>4.2040000000000006</v>
      </c>
      <c r="AA29" s="291">
        <v>4.6500000000000004</v>
      </c>
      <c r="AB29" s="291">
        <v>5.1440000000000001</v>
      </c>
      <c r="AC29" s="28" t="s">
        <v>266</v>
      </c>
      <c r="AD29" s="684">
        <f t="shared" si="24"/>
        <v>12.302809706257982</v>
      </c>
      <c r="AE29" s="288">
        <f t="shared" si="24"/>
        <v>12.180645161290322</v>
      </c>
      <c r="AF29" s="288">
        <f t="shared" si="24"/>
        <v>12.250819672131149</v>
      </c>
      <c r="AG29" s="288">
        <f t="shared" si="24"/>
        <v>11.974545454545455</v>
      </c>
      <c r="AH29" s="288">
        <f t="shared" si="24"/>
        <v>12.423999999999999</v>
      </c>
      <c r="AI29" s="288">
        <f t="shared" si="24"/>
        <v>12.546428571428571</v>
      </c>
      <c r="AJ29" s="288">
        <f t="shared" si="24"/>
        <v>12.878461538461538</v>
      </c>
      <c r="AK29" s="288">
        <f t="shared" si="24"/>
        <v>12.25</v>
      </c>
      <c r="AL29" s="288">
        <f t="shared" si="24"/>
        <v>11.893939393939394</v>
      </c>
      <c r="AM29" s="288">
        <f t="shared" si="18"/>
        <v>12.239726027397259</v>
      </c>
      <c r="AN29" s="288">
        <f t="shared" si="19"/>
        <v>12.185507246376813</v>
      </c>
      <c r="AO29" s="288">
        <f t="shared" si="20"/>
        <v>12.236842105263159</v>
      </c>
      <c r="AP29" s="288">
        <f t="shared" si="21"/>
        <v>12.546341463414635</v>
      </c>
      <c r="AQ29" s="28" t="s">
        <v>266</v>
      </c>
      <c r="AR29" s="685">
        <f t="shared" si="14"/>
        <v>4415</v>
      </c>
      <c r="AS29" s="173">
        <v>435</v>
      </c>
      <c r="AT29" s="173">
        <v>435</v>
      </c>
      <c r="AU29" s="173">
        <v>415</v>
      </c>
      <c r="AV29" s="173">
        <v>340</v>
      </c>
      <c r="AW29" s="173">
        <v>300</v>
      </c>
      <c r="AX29" s="173">
        <v>305</v>
      </c>
      <c r="AY29" s="173">
        <v>330</v>
      </c>
      <c r="AZ29" s="173">
        <v>335</v>
      </c>
      <c r="BA29" s="173">
        <v>340</v>
      </c>
      <c r="BB29" s="173">
        <v>370</v>
      </c>
      <c r="BC29" s="173">
        <v>365</v>
      </c>
      <c r="BD29" s="173">
        <v>445</v>
      </c>
      <c r="BE29" s="28" t="s">
        <v>266</v>
      </c>
      <c r="BF29" s="682">
        <f t="shared" si="15"/>
        <v>183.81099999999998</v>
      </c>
      <c r="BG29" s="287">
        <v>17.880500000000001</v>
      </c>
      <c r="BH29" s="287">
        <v>18.049999999999997</v>
      </c>
      <c r="BI29" s="287">
        <v>17.422000000000001</v>
      </c>
      <c r="BJ29" s="287">
        <v>14.123999999999999</v>
      </c>
      <c r="BK29" s="287">
        <v>12.579999999999998</v>
      </c>
      <c r="BL29" s="287">
        <v>12.577500000000001</v>
      </c>
      <c r="BM29" s="287">
        <v>13.5305</v>
      </c>
      <c r="BN29" s="287">
        <v>13.960500000000001</v>
      </c>
      <c r="BO29" s="287">
        <v>14.156000000000001</v>
      </c>
      <c r="BP29" s="287">
        <v>15.489000000000001</v>
      </c>
      <c r="BQ29" s="287">
        <v>15.260999999999999</v>
      </c>
      <c r="BR29" s="287">
        <v>18.78</v>
      </c>
      <c r="BS29" s="28" t="s">
        <v>266</v>
      </c>
      <c r="BT29" s="688">
        <f t="shared" si="22"/>
        <v>41.633295583238954</v>
      </c>
      <c r="BU29" s="286">
        <f t="shared" si="22"/>
        <v>41.10459770114943</v>
      </c>
      <c r="BV29" s="286">
        <f t="shared" si="22"/>
        <v>41.494252873563212</v>
      </c>
      <c r="BW29" s="286">
        <f t="shared" si="22"/>
        <v>41.980722891566266</v>
      </c>
      <c r="BX29" s="286">
        <f t="shared" si="22"/>
        <v>41.541176470588233</v>
      </c>
      <c r="BY29" s="286">
        <f t="shared" si="22"/>
        <v>41.93333333333333</v>
      </c>
      <c r="BZ29" s="286">
        <f t="shared" si="22"/>
        <v>41.23770491803279</v>
      </c>
      <c r="CA29" s="286">
        <f t="shared" si="22"/>
        <v>41.00151515151515</v>
      </c>
      <c r="CB29" s="286">
        <f t="shared" si="22"/>
        <v>41.673134328358216</v>
      </c>
      <c r="CC29" s="286">
        <f t="shared" si="22"/>
        <v>41.635294117647064</v>
      </c>
      <c r="CD29" s="286">
        <f t="shared" si="22"/>
        <v>41.862162162162164</v>
      </c>
      <c r="CE29" s="286">
        <f t="shared" si="22"/>
        <v>41.81095890410959</v>
      </c>
      <c r="CF29" s="286">
        <f t="shared" si="22"/>
        <v>42.202247191011239</v>
      </c>
      <c r="CG29" s="28" t="s">
        <v>266</v>
      </c>
      <c r="CH29" s="682">
        <f t="shared" si="16"/>
        <v>7805</v>
      </c>
      <c r="CI29" s="287">
        <v>700</v>
      </c>
      <c r="CJ29" s="287">
        <v>640</v>
      </c>
      <c r="CK29" s="287">
        <v>610</v>
      </c>
      <c r="CL29" s="287">
        <v>460</v>
      </c>
      <c r="CM29" s="287">
        <v>510</v>
      </c>
      <c r="CN29" s="287">
        <v>560</v>
      </c>
      <c r="CO29" s="287">
        <v>585</v>
      </c>
      <c r="CP29" s="287">
        <v>660</v>
      </c>
      <c r="CQ29" s="287">
        <v>725</v>
      </c>
      <c r="CR29" s="287">
        <v>765</v>
      </c>
      <c r="CS29" s="287">
        <v>755</v>
      </c>
      <c r="CT29" s="287">
        <v>835</v>
      </c>
      <c r="CU29" s="28" t="s">
        <v>266</v>
      </c>
      <c r="CV29" s="682">
        <f t="shared" si="17"/>
        <v>896.55299999999988</v>
      </c>
      <c r="CW29" s="287">
        <v>79.4465</v>
      </c>
      <c r="CX29" s="287">
        <v>73.192499999999995</v>
      </c>
      <c r="CY29" s="287">
        <v>69.869499999999988</v>
      </c>
      <c r="CZ29" s="287">
        <v>52.78</v>
      </c>
      <c r="DA29" s="287">
        <v>58.655999999999999</v>
      </c>
      <c r="DB29" s="287">
        <v>64.497</v>
      </c>
      <c r="DC29" s="287">
        <v>67.369249999999994</v>
      </c>
      <c r="DD29" s="287">
        <v>75.919999999999987</v>
      </c>
      <c r="DE29" s="287">
        <v>83.430499999999995</v>
      </c>
      <c r="DF29" s="287">
        <v>88.022500000000008</v>
      </c>
      <c r="DG29" s="287">
        <v>86.919999999999987</v>
      </c>
      <c r="DH29" s="287">
        <v>96.449250000000006</v>
      </c>
      <c r="DI29" s="28" t="s">
        <v>266</v>
      </c>
      <c r="DJ29" s="688">
        <f t="shared" si="25"/>
        <v>114.86905829596411</v>
      </c>
      <c r="DK29" s="286">
        <f t="shared" si="25"/>
        <v>113.495</v>
      </c>
      <c r="DL29" s="286">
        <f t="shared" si="25"/>
        <v>114.36328124999999</v>
      </c>
      <c r="DM29" s="286">
        <f t="shared" si="25"/>
        <v>114.5401639344262</v>
      </c>
      <c r="DN29" s="286">
        <f t="shared" si="25"/>
        <v>114.73913043478261</v>
      </c>
      <c r="DO29" s="286">
        <f t="shared" si="25"/>
        <v>115.01176470588236</v>
      </c>
      <c r="DP29" s="286">
        <f t="shared" si="25"/>
        <v>115.17321428571428</v>
      </c>
      <c r="DQ29" s="286">
        <f t="shared" si="25"/>
        <v>115.1611111111111</v>
      </c>
      <c r="DR29" s="286">
        <f t="shared" si="23"/>
        <v>115.03030303030302</v>
      </c>
      <c r="DS29" s="286">
        <f t="shared" si="23"/>
        <v>115.07655172413793</v>
      </c>
      <c r="DT29" s="286">
        <f t="shared" si="23"/>
        <v>115.06209150326799</v>
      </c>
      <c r="DU29" s="286">
        <f t="shared" si="23"/>
        <v>115.12582781456952</v>
      </c>
      <c r="DV29" s="286">
        <f t="shared" si="23"/>
        <v>115.50808383233533</v>
      </c>
    </row>
    <row r="30" spans="1:126" ht="12.5" customHeight="1">
      <c r="A30" s="28" t="s">
        <v>267</v>
      </c>
      <c r="B30" s="682">
        <f t="shared" si="12"/>
        <v>4757</v>
      </c>
      <c r="C30" s="287">
        <v>335</v>
      </c>
      <c r="D30" s="287">
        <v>345</v>
      </c>
      <c r="E30" s="287">
        <v>335</v>
      </c>
      <c r="F30" s="287">
        <v>288</v>
      </c>
      <c r="G30" s="287">
        <v>339</v>
      </c>
      <c r="H30" s="287">
        <v>380</v>
      </c>
      <c r="I30" s="287">
        <v>425</v>
      </c>
      <c r="J30" s="287">
        <v>400</v>
      </c>
      <c r="K30" s="287">
        <v>470</v>
      </c>
      <c r="L30" s="287">
        <v>485</v>
      </c>
      <c r="M30" s="287">
        <v>465</v>
      </c>
      <c r="N30" s="287">
        <v>490</v>
      </c>
      <c r="O30" s="28" t="s">
        <v>267</v>
      </c>
      <c r="P30" s="683">
        <f t="shared" si="13"/>
        <v>63.179999999999993</v>
      </c>
      <c r="Q30" s="291">
        <v>4.3687500000000004</v>
      </c>
      <c r="R30" s="291">
        <v>4.6230000000000002</v>
      </c>
      <c r="S30" s="291">
        <v>4.4837500000000006</v>
      </c>
      <c r="T30" s="291">
        <v>3.8180000000000001</v>
      </c>
      <c r="U30" s="291">
        <v>4.4819999999999993</v>
      </c>
      <c r="V30" s="291">
        <v>4.9994999999999994</v>
      </c>
      <c r="W30" s="291">
        <v>5.4619999999999997</v>
      </c>
      <c r="X30" s="291">
        <v>5.1654999999999998</v>
      </c>
      <c r="Y30" s="291">
        <v>6.1749999999999998</v>
      </c>
      <c r="Z30" s="291">
        <v>6.3885000000000005</v>
      </c>
      <c r="AA30" s="291">
        <v>6.4019999999999992</v>
      </c>
      <c r="AB30" s="291">
        <v>6.8119999999999994</v>
      </c>
      <c r="AC30" s="28" t="s">
        <v>267</v>
      </c>
      <c r="AD30" s="684">
        <f t="shared" si="24"/>
        <v>13.281479924322049</v>
      </c>
      <c r="AE30" s="288">
        <f t="shared" si="24"/>
        <v>13.041044776119405</v>
      </c>
      <c r="AF30" s="288">
        <f t="shared" si="24"/>
        <v>13.4</v>
      </c>
      <c r="AG30" s="288">
        <f t="shared" si="24"/>
        <v>13.384328358208956</v>
      </c>
      <c r="AH30" s="288">
        <f t="shared" si="24"/>
        <v>13.256944444444445</v>
      </c>
      <c r="AI30" s="288">
        <f t="shared" si="24"/>
        <v>13.221238938053094</v>
      </c>
      <c r="AJ30" s="288">
        <f t="shared" si="24"/>
        <v>13.15657894736842</v>
      </c>
      <c r="AK30" s="288">
        <f t="shared" si="24"/>
        <v>12.851764705882353</v>
      </c>
      <c r="AL30" s="288">
        <f t="shared" si="24"/>
        <v>12.91375</v>
      </c>
      <c r="AM30" s="288">
        <f t="shared" si="18"/>
        <v>13.138297872340425</v>
      </c>
      <c r="AN30" s="288">
        <f t="shared" si="19"/>
        <v>13.172164948453609</v>
      </c>
      <c r="AO30" s="288">
        <f t="shared" si="20"/>
        <v>13.767741935483869</v>
      </c>
      <c r="AP30" s="288">
        <f t="shared" si="21"/>
        <v>13.902040816326529</v>
      </c>
      <c r="AQ30" s="28" t="s">
        <v>267</v>
      </c>
      <c r="AR30" s="685">
        <f t="shared" si="14"/>
        <v>6072</v>
      </c>
      <c r="AS30" s="173">
        <v>500</v>
      </c>
      <c r="AT30" s="173">
        <v>520</v>
      </c>
      <c r="AU30" s="173">
        <v>460</v>
      </c>
      <c r="AV30" s="173">
        <v>450</v>
      </c>
      <c r="AW30" s="173">
        <v>395</v>
      </c>
      <c r="AX30" s="173">
        <v>450</v>
      </c>
      <c r="AY30" s="173">
        <v>490</v>
      </c>
      <c r="AZ30" s="173">
        <v>512</v>
      </c>
      <c r="BA30" s="173">
        <v>570</v>
      </c>
      <c r="BB30" s="173">
        <v>565</v>
      </c>
      <c r="BC30" s="173">
        <v>610</v>
      </c>
      <c r="BD30" s="173">
        <v>550</v>
      </c>
      <c r="BE30" s="28" t="s">
        <v>267</v>
      </c>
      <c r="BF30" s="682">
        <f t="shared" si="15"/>
        <v>259.20155</v>
      </c>
      <c r="BG30" s="287">
        <v>21.2</v>
      </c>
      <c r="BH30" s="287">
        <v>22.142499999999998</v>
      </c>
      <c r="BI30" s="287">
        <v>19.526</v>
      </c>
      <c r="BJ30" s="287">
        <v>19.224</v>
      </c>
      <c r="BK30" s="287">
        <v>16.817999999999998</v>
      </c>
      <c r="BL30" s="287">
        <v>19.30575</v>
      </c>
      <c r="BM30" s="287">
        <v>21.015999999999998</v>
      </c>
      <c r="BN30" s="287">
        <v>21.961799999999997</v>
      </c>
      <c r="BO30" s="287">
        <v>24.545999999999999</v>
      </c>
      <c r="BP30" s="287">
        <v>24.043500000000002</v>
      </c>
      <c r="BQ30" s="287">
        <v>25.978000000000002</v>
      </c>
      <c r="BR30" s="287">
        <v>23.439999999999998</v>
      </c>
      <c r="BS30" s="28" t="s">
        <v>267</v>
      </c>
      <c r="BT30" s="688">
        <f t="shared" si="22"/>
        <v>42.68800230566535</v>
      </c>
      <c r="BU30" s="286">
        <f t="shared" si="22"/>
        <v>42.4</v>
      </c>
      <c r="BV30" s="286">
        <f t="shared" si="22"/>
        <v>42.581730769230766</v>
      </c>
      <c r="BW30" s="286">
        <f t="shared" si="22"/>
        <v>42.447826086956518</v>
      </c>
      <c r="BX30" s="286">
        <f t="shared" si="22"/>
        <v>42.72</v>
      </c>
      <c r="BY30" s="286">
        <f t="shared" si="22"/>
        <v>42.577215189873414</v>
      </c>
      <c r="BZ30" s="286">
        <f t="shared" si="22"/>
        <v>42.901666666666664</v>
      </c>
      <c r="CA30" s="286">
        <f t="shared" si="22"/>
        <v>42.889795918367341</v>
      </c>
      <c r="CB30" s="286">
        <f t="shared" si="22"/>
        <v>42.894140624999991</v>
      </c>
      <c r="CC30" s="286">
        <f t="shared" si="22"/>
        <v>43.06315789473684</v>
      </c>
      <c r="CD30" s="286">
        <f t="shared" si="22"/>
        <v>42.554867256637174</v>
      </c>
      <c r="CE30" s="286">
        <f t="shared" si="22"/>
        <v>42.586885245901641</v>
      </c>
      <c r="CF30" s="286">
        <f t="shared" si="22"/>
        <v>42.61818181818181</v>
      </c>
      <c r="CG30" s="28" t="s">
        <v>267</v>
      </c>
      <c r="CH30" s="682">
        <f t="shared" si="16"/>
        <v>9180</v>
      </c>
      <c r="CI30" s="287">
        <v>760</v>
      </c>
      <c r="CJ30" s="287">
        <v>735</v>
      </c>
      <c r="CK30" s="287">
        <v>680</v>
      </c>
      <c r="CL30" s="287">
        <v>590</v>
      </c>
      <c r="CM30" s="287">
        <v>585</v>
      </c>
      <c r="CN30" s="287">
        <v>660</v>
      </c>
      <c r="CO30" s="287">
        <v>770</v>
      </c>
      <c r="CP30" s="287">
        <v>790</v>
      </c>
      <c r="CQ30" s="287">
        <v>850</v>
      </c>
      <c r="CR30" s="287">
        <v>870</v>
      </c>
      <c r="CS30" s="287">
        <v>920</v>
      </c>
      <c r="CT30" s="287">
        <v>970</v>
      </c>
      <c r="CU30" s="28" t="s">
        <v>267</v>
      </c>
      <c r="CV30" s="682">
        <f t="shared" si="17"/>
        <v>1076.6107500000001</v>
      </c>
      <c r="CW30" s="287">
        <v>88.55</v>
      </c>
      <c r="CX30" s="287">
        <v>85.844999999999999</v>
      </c>
      <c r="CY30" s="287">
        <v>79.458249999999992</v>
      </c>
      <c r="CZ30" s="287">
        <v>69.10499999999999</v>
      </c>
      <c r="DA30" s="287">
        <v>67.970500000000001</v>
      </c>
      <c r="DB30" s="287">
        <v>77.126000000000005</v>
      </c>
      <c r="DC30" s="287">
        <v>90.23</v>
      </c>
      <c r="DD30" s="287">
        <v>92.997</v>
      </c>
      <c r="DE30" s="287">
        <v>100.306</v>
      </c>
      <c r="DF30" s="287">
        <v>102.3995</v>
      </c>
      <c r="DG30" s="287">
        <v>108.44</v>
      </c>
      <c r="DH30" s="287">
        <v>114.18350000000001</v>
      </c>
      <c r="DI30" s="28" t="s">
        <v>267</v>
      </c>
      <c r="DJ30" s="688">
        <f t="shared" si="25"/>
        <v>117.27785947712418</v>
      </c>
      <c r="DK30" s="286">
        <f t="shared" si="25"/>
        <v>116.51315789473684</v>
      </c>
      <c r="DL30" s="286">
        <f t="shared" si="25"/>
        <v>116.79591836734694</v>
      </c>
      <c r="DM30" s="286">
        <f t="shared" si="25"/>
        <v>116.8503676470588</v>
      </c>
      <c r="DN30" s="286">
        <f t="shared" si="25"/>
        <v>117.12711864406778</v>
      </c>
      <c r="DO30" s="286">
        <f t="shared" si="25"/>
        <v>116.1888888888889</v>
      </c>
      <c r="DP30" s="286">
        <f t="shared" si="25"/>
        <v>116.85757575757577</v>
      </c>
      <c r="DQ30" s="286">
        <f t="shared" si="25"/>
        <v>117.18181818181819</v>
      </c>
      <c r="DR30" s="286">
        <f t="shared" si="23"/>
        <v>117.71772151898733</v>
      </c>
      <c r="DS30" s="286">
        <f t="shared" si="23"/>
        <v>118.00705882352941</v>
      </c>
      <c r="DT30" s="286">
        <f t="shared" si="23"/>
        <v>117.70057471264369</v>
      </c>
      <c r="DU30" s="286">
        <f t="shared" si="23"/>
        <v>117.8695652173913</v>
      </c>
      <c r="DV30" s="286">
        <f t="shared" si="23"/>
        <v>117.71494845360826</v>
      </c>
    </row>
    <row r="31" spans="1:126" ht="12.5" customHeight="1">
      <c r="A31" s="28" t="s">
        <v>268</v>
      </c>
      <c r="B31" s="682">
        <f t="shared" si="12"/>
        <v>7400</v>
      </c>
      <c r="C31" s="287">
        <v>535</v>
      </c>
      <c r="D31" s="287">
        <v>615</v>
      </c>
      <c r="E31" s="287">
        <v>630</v>
      </c>
      <c r="F31" s="287">
        <v>630</v>
      </c>
      <c r="G31" s="287">
        <v>630</v>
      </c>
      <c r="H31" s="287">
        <v>610</v>
      </c>
      <c r="I31" s="287">
        <v>630</v>
      </c>
      <c r="J31" s="287">
        <v>630</v>
      </c>
      <c r="K31" s="287">
        <v>635</v>
      </c>
      <c r="L31" s="287">
        <v>635</v>
      </c>
      <c r="M31" s="287">
        <v>620</v>
      </c>
      <c r="N31" s="287">
        <v>600</v>
      </c>
      <c r="O31" s="28" t="s">
        <v>268</v>
      </c>
      <c r="P31" s="683">
        <f t="shared" si="13"/>
        <v>124.43999999999997</v>
      </c>
      <c r="Q31" s="291">
        <v>9.01</v>
      </c>
      <c r="R31" s="291">
        <v>10.31</v>
      </c>
      <c r="S31" s="291">
        <v>10.58</v>
      </c>
      <c r="T31" s="291">
        <v>10.58</v>
      </c>
      <c r="U31" s="291">
        <v>10.58</v>
      </c>
      <c r="V31" s="291">
        <v>10.26</v>
      </c>
      <c r="W31" s="291">
        <v>10.6</v>
      </c>
      <c r="X31" s="291">
        <v>10.6</v>
      </c>
      <c r="Y31" s="291">
        <v>10.69</v>
      </c>
      <c r="Z31" s="291">
        <v>10.69</v>
      </c>
      <c r="AA31" s="291">
        <v>10.44</v>
      </c>
      <c r="AB31" s="291">
        <v>10.1</v>
      </c>
      <c r="AC31" s="28" t="s">
        <v>268</v>
      </c>
      <c r="AD31" s="684">
        <f t="shared" si="24"/>
        <v>16.816216216216212</v>
      </c>
      <c r="AE31" s="288">
        <f t="shared" si="24"/>
        <v>16.841121495327101</v>
      </c>
      <c r="AF31" s="288">
        <f t="shared" si="24"/>
        <v>16.764227642276424</v>
      </c>
      <c r="AG31" s="288">
        <f t="shared" si="24"/>
        <v>16.793650793650794</v>
      </c>
      <c r="AH31" s="288">
        <f t="shared" si="24"/>
        <v>16.793650793650794</v>
      </c>
      <c r="AI31" s="288">
        <f t="shared" si="24"/>
        <v>16.793650793650794</v>
      </c>
      <c r="AJ31" s="288">
        <f t="shared" si="24"/>
        <v>16.819672131147541</v>
      </c>
      <c r="AK31" s="288">
        <f t="shared" si="24"/>
        <v>16.825396825396822</v>
      </c>
      <c r="AL31" s="288">
        <f t="shared" si="24"/>
        <v>16.825396825396822</v>
      </c>
      <c r="AM31" s="288">
        <f t="shared" si="18"/>
        <v>16.834645669291337</v>
      </c>
      <c r="AN31" s="288">
        <f t="shared" si="19"/>
        <v>16.834645669291337</v>
      </c>
      <c r="AO31" s="288">
        <f t="shared" si="20"/>
        <v>16.838709677419352</v>
      </c>
      <c r="AP31" s="288">
        <f t="shared" si="21"/>
        <v>16.833333333333332</v>
      </c>
      <c r="AQ31" s="28" t="s">
        <v>268</v>
      </c>
      <c r="AR31" s="686" t="s">
        <v>334</v>
      </c>
      <c r="AS31" s="175">
        <v>0</v>
      </c>
      <c r="AT31" s="175">
        <v>0</v>
      </c>
      <c r="AU31" s="175">
        <v>0</v>
      </c>
      <c r="AV31" s="175">
        <v>0</v>
      </c>
      <c r="AW31" s="175">
        <v>0</v>
      </c>
      <c r="AX31" s="175">
        <v>0</v>
      </c>
      <c r="AY31" s="175">
        <v>0</v>
      </c>
      <c r="AZ31" s="175">
        <v>0</v>
      </c>
      <c r="BA31" s="175">
        <v>0</v>
      </c>
      <c r="BB31" s="175">
        <v>0</v>
      </c>
      <c r="BC31" s="175">
        <v>0</v>
      </c>
      <c r="BD31" s="175">
        <v>0</v>
      </c>
      <c r="BE31" s="28" t="s">
        <v>268</v>
      </c>
      <c r="BF31" s="687" t="s">
        <v>75</v>
      </c>
      <c r="BG31" s="290">
        <v>0</v>
      </c>
      <c r="BH31" s="290">
        <v>0</v>
      </c>
      <c r="BI31" s="290">
        <v>0</v>
      </c>
      <c r="BJ31" s="290">
        <v>0</v>
      </c>
      <c r="BK31" s="290">
        <v>0</v>
      </c>
      <c r="BL31" s="290">
        <v>0</v>
      </c>
      <c r="BM31" s="290">
        <v>0</v>
      </c>
      <c r="BN31" s="290">
        <v>0</v>
      </c>
      <c r="BO31" s="290">
        <v>0</v>
      </c>
      <c r="BP31" s="290">
        <v>0</v>
      </c>
      <c r="BQ31" s="290">
        <v>0</v>
      </c>
      <c r="BR31" s="290">
        <v>0</v>
      </c>
      <c r="BS31" s="28" t="s">
        <v>268</v>
      </c>
      <c r="BT31" s="684" t="s">
        <v>50</v>
      </c>
      <c r="BU31" s="288" t="s">
        <v>50</v>
      </c>
      <c r="BV31" s="288" t="s">
        <v>50</v>
      </c>
      <c r="BW31" s="288" t="s">
        <v>50</v>
      </c>
      <c r="BX31" s="288" t="s">
        <v>50</v>
      </c>
      <c r="BY31" s="288" t="s">
        <v>50</v>
      </c>
      <c r="BZ31" s="288" t="s">
        <v>50</v>
      </c>
      <c r="CA31" s="288" t="s">
        <v>50</v>
      </c>
      <c r="CB31" s="288" t="s">
        <v>50</v>
      </c>
      <c r="CC31" s="288" t="s">
        <v>50</v>
      </c>
      <c r="CD31" s="288" t="s">
        <v>50</v>
      </c>
      <c r="CE31" s="288" t="s">
        <v>50</v>
      </c>
      <c r="CF31" s="288" t="s">
        <v>50</v>
      </c>
      <c r="CG31" s="28" t="s">
        <v>268</v>
      </c>
      <c r="CH31" s="682">
        <f t="shared" si="16"/>
        <v>74995</v>
      </c>
      <c r="CI31" s="287">
        <v>5625</v>
      </c>
      <c r="CJ31" s="287">
        <v>5950</v>
      </c>
      <c r="CK31" s="287">
        <v>5800</v>
      </c>
      <c r="CL31" s="287">
        <v>5851</v>
      </c>
      <c r="CM31" s="287">
        <v>5836</v>
      </c>
      <c r="CN31" s="287">
        <v>5418</v>
      </c>
      <c r="CO31" s="287">
        <v>6101</v>
      </c>
      <c r="CP31" s="287">
        <v>8382</v>
      </c>
      <c r="CQ31" s="287">
        <v>6427</v>
      </c>
      <c r="CR31" s="287">
        <v>6635</v>
      </c>
      <c r="CS31" s="287">
        <v>6565</v>
      </c>
      <c r="CT31" s="287">
        <v>6405</v>
      </c>
      <c r="CU31" s="28" t="s">
        <v>268</v>
      </c>
      <c r="CV31" s="682">
        <f t="shared" si="17"/>
        <v>13282.465</v>
      </c>
      <c r="CW31" s="287">
        <v>995.05199999999991</v>
      </c>
      <c r="CX31" s="287">
        <v>1076.8899999999999</v>
      </c>
      <c r="CY31" s="287">
        <v>1011.96</v>
      </c>
      <c r="CZ31" s="287">
        <v>1023.144</v>
      </c>
      <c r="DA31" s="287">
        <v>1032.97</v>
      </c>
      <c r="DB31" s="287">
        <v>961.06200000000001</v>
      </c>
      <c r="DC31" s="287">
        <v>1087.3319999999999</v>
      </c>
      <c r="DD31" s="287">
        <v>1515.1120000000001</v>
      </c>
      <c r="DE31" s="287">
        <v>1131.7640000000001</v>
      </c>
      <c r="DF31" s="287">
        <v>1168.319</v>
      </c>
      <c r="DG31" s="287">
        <v>1158.047</v>
      </c>
      <c r="DH31" s="287">
        <v>1120.8129999999999</v>
      </c>
      <c r="DI31" s="28" t="s">
        <v>268</v>
      </c>
      <c r="DJ31" s="688">
        <f t="shared" si="25"/>
        <v>177.1113407560504</v>
      </c>
      <c r="DK31" s="286">
        <f t="shared" si="25"/>
        <v>176.89813333333331</v>
      </c>
      <c r="DL31" s="286">
        <f t="shared" si="25"/>
        <v>180.98991596638652</v>
      </c>
      <c r="DM31" s="286">
        <f t="shared" si="25"/>
        <v>174.47586206896554</v>
      </c>
      <c r="DN31" s="286">
        <f t="shared" si="25"/>
        <v>174.86651854383868</v>
      </c>
      <c r="DO31" s="286">
        <f t="shared" si="25"/>
        <v>176.99965729952021</v>
      </c>
      <c r="DP31" s="286">
        <f t="shared" si="25"/>
        <v>177.38316722037652</v>
      </c>
      <c r="DQ31" s="286">
        <f t="shared" si="25"/>
        <v>178.22193083101129</v>
      </c>
      <c r="DR31" s="286">
        <f t="shared" si="23"/>
        <v>180.75781436411359</v>
      </c>
      <c r="DS31" s="286">
        <f t="shared" si="23"/>
        <v>176.09522327680102</v>
      </c>
      <c r="DT31" s="286">
        <f t="shared" si="23"/>
        <v>176.08425018839489</v>
      </c>
      <c r="DU31" s="286">
        <f t="shared" si="23"/>
        <v>176.3971058644326</v>
      </c>
      <c r="DV31" s="286">
        <f t="shared" si="23"/>
        <v>174.99032006245119</v>
      </c>
    </row>
    <row r="32" spans="1:126" ht="12.5" customHeight="1">
      <c r="A32" s="28" t="s">
        <v>269</v>
      </c>
      <c r="B32" s="682">
        <f t="shared" si="12"/>
        <v>16007</v>
      </c>
      <c r="C32" s="287">
        <v>754</v>
      </c>
      <c r="D32" s="287">
        <v>1322</v>
      </c>
      <c r="E32" s="287">
        <v>1344</v>
      </c>
      <c r="F32" s="287">
        <v>1055</v>
      </c>
      <c r="G32" s="287">
        <v>1341</v>
      </c>
      <c r="H32" s="287">
        <v>1443</v>
      </c>
      <c r="I32" s="287">
        <v>1443</v>
      </c>
      <c r="J32" s="287">
        <v>1349</v>
      </c>
      <c r="K32" s="287">
        <v>1473</v>
      </c>
      <c r="L32" s="287">
        <v>1496</v>
      </c>
      <c r="M32" s="287">
        <v>1445</v>
      </c>
      <c r="N32" s="287">
        <v>1542</v>
      </c>
      <c r="O32" s="28" t="s">
        <v>269</v>
      </c>
      <c r="P32" s="683">
        <f t="shared" si="13"/>
        <v>206.66400000000004</v>
      </c>
      <c r="Q32" s="291">
        <v>10.965</v>
      </c>
      <c r="R32" s="291">
        <v>16.908999999999999</v>
      </c>
      <c r="S32" s="291">
        <v>16.192</v>
      </c>
      <c r="T32" s="291">
        <v>12.509</v>
      </c>
      <c r="U32" s="291">
        <v>16.768000000000001</v>
      </c>
      <c r="V32" s="291">
        <v>18.844999999999999</v>
      </c>
      <c r="W32" s="291">
        <v>18.57</v>
      </c>
      <c r="X32" s="291">
        <v>17.125</v>
      </c>
      <c r="Y32" s="291">
        <v>19.305999999999997</v>
      </c>
      <c r="Z32" s="291">
        <v>19.513999999999999</v>
      </c>
      <c r="AA32" s="291">
        <v>19.863</v>
      </c>
      <c r="AB32" s="291">
        <v>20.097999999999999</v>
      </c>
      <c r="AC32" s="28" t="s">
        <v>269</v>
      </c>
      <c r="AD32" s="684">
        <f t="shared" si="24"/>
        <v>12.910851502467672</v>
      </c>
      <c r="AE32" s="288">
        <f t="shared" si="24"/>
        <v>14.542440318302386</v>
      </c>
      <c r="AF32" s="288">
        <f t="shared" si="24"/>
        <v>12.790468986384266</v>
      </c>
      <c r="AG32" s="288">
        <f t="shared" si="24"/>
        <v>12.047619047619047</v>
      </c>
      <c r="AH32" s="288">
        <f t="shared" si="24"/>
        <v>11.856872037914691</v>
      </c>
      <c r="AI32" s="288">
        <f t="shared" si="24"/>
        <v>12.504101416853096</v>
      </c>
      <c r="AJ32" s="288">
        <f t="shared" si="24"/>
        <v>13.059598059598059</v>
      </c>
      <c r="AK32" s="288">
        <f t="shared" si="24"/>
        <v>12.869022869022871</v>
      </c>
      <c r="AL32" s="288">
        <f t="shared" si="24"/>
        <v>12.694588584136397</v>
      </c>
      <c r="AM32" s="288">
        <f t="shared" si="18"/>
        <v>13.106585200271553</v>
      </c>
      <c r="AN32" s="288">
        <f t="shared" si="19"/>
        <v>13.044117647058822</v>
      </c>
      <c r="AO32" s="288">
        <f t="shared" si="20"/>
        <v>13.746020761245676</v>
      </c>
      <c r="AP32" s="288">
        <f t="shared" si="21"/>
        <v>13.033722438391699</v>
      </c>
      <c r="AQ32" s="28" t="s">
        <v>269</v>
      </c>
      <c r="AR32" s="685">
        <f t="shared" si="14"/>
        <v>4396</v>
      </c>
      <c r="AS32" s="173">
        <v>380</v>
      </c>
      <c r="AT32" s="173">
        <v>390</v>
      </c>
      <c r="AU32" s="173">
        <v>313</v>
      </c>
      <c r="AV32" s="173">
        <v>346</v>
      </c>
      <c r="AW32" s="173">
        <v>356</v>
      </c>
      <c r="AX32" s="173">
        <v>393</v>
      </c>
      <c r="AY32" s="173">
        <v>430</v>
      </c>
      <c r="AZ32" s="173">
        <v>382</v>
      </c>
      <c r="BA32" s="173">
        <v>379</v>
      </c>
      <c r="BB32" s="173">
        <v>368</v>
      </c>
      <c r="BC32" s="173">
        <v>315</v>
      </c>
      <c r="BD32" s="173">
        <v>344</v>
      </c>
      <c r="BE32" s="28" t="s">
        <v>269</v>
      </c>
      <c r="BF32" s="682">
        <f t="shared" si="15"/>
        <v>156.81199999999998</v>
      </c>
      <c r="BG32" s="287">
        <v>13.914999999999999</v>
      </c>
      <c r="BH32" s="287">
        <v>13.449</v>
      </c>
      <c r="BI32" s="287">
        <v>11.329000000000001</v>
      </c>
      <c r="BJ32" s="287">
        <v>11.95</v>
      </c>
      <c r="BK32" s="287">
        <v>12.705</v>
      </c>
      <c r="BL32" s="287">
        <v>13.585000000000001</v>
      </c>
      <c r="BM32" s="287">
        <v>15.151999999999999</v>
      </c>
      <c r="BN32" s="287">
        <v>13.507999999999999</v>
      </c>
      <c r="BO32" s="287">
        <v>13.594000000000001</v>
      </c>
      <c r="BP32" s="287">
        <v>13.193999999999999</v>
      </c>
      <c r="BQ32" s="287">
        <v>11.584</v>
      </c>
      <c r="BR32" s="287">
        <v>12.847</v>
      </c>
      <c r="BS32" s="28" t="s">
        <v>269</v>
      </c>
      <c r="BT32" s="688">
        <f t="shared" si="22"/>
        <v>35.671519563239308</v>
      </c>
      <c r="BU32" s="286">
        <f t="shared" si="22"/>
        <v>36.618421052631575</v>
      </c>
      <c r="BV32" s="286">
        <f t="shared" si="22"/>
        <v>34.484615384615381</v>
      </c>
      <c r="BW32" s="286">
        <f t="shared" si="22"/>
        <v>36.194888178913736</v>
      </c>
      <c r="BX32" s="286">
        <f t="shared" si="22"/>
        <v>34.537572254335259</v>
      </c>
      <c r="BY32" s="286">
        <f t="shared" si="22"/>
        <v>35.688202247191015</v>
      </c>
      <c r="BZ32" s="286">
        <f t="shared" si="22"/>
        <v>34.567430025445297</v>
      </c>
      <c r="CA32" s="286">
        <f t="shared" si="22"/>
        <v>35.237209302325581</v>
      </c>
      <c r="CB32" s="286">
        <f t="shared" si="22"/>
        <v>35.361256544502616</v>
      </c>
      <c r="CC32" s="286">
        <f t="shared" si="22"/>
        <v>35.868073878627968</v>
      </c>
      <c r="CD32" s="286">
        <f t="shared" si="22"/>
        <v>35.853260869565219</v>
      </c>
      <c r="CE32" s="286">
        <f t="shared" si="22"/>
        <v>36.774603174603172</v>
      </c>
      <c r="CF32" s="286">
        <f t="shared" si="22"/>
        <v>37.345930232558139</v>
      </c>
      <c r="CG32" s="28" t="s">
        <v>269</v>
      </c>
      <c r="CH32" s="682">
        <f t="shared" si="16"/>
        <v>32124</v>
      </c>
      <c r="CI32" s="287">
        <v>2248</v>
      </c>
      <c r="CJ32" s="287">
        <v>2202</v>
      </c>
      <c r="CK32" s="287">
        <v>2154</v>
      </c>
      <c r="CL32" s="287">
        <v>2818</v>
      </c>
      <c r="CM32" s="287">
        <v>2896</v>
      </c>
      <c r="CN32" s="287">
        <v>3025</v>
      </c>
      <c r="CO32" s="287">
        <v>2752</v>
      </c>
      <c r="CP32" s="287">
        <v>2703</v>
      </c>
      <c r="CQ32" s="287">
        <v>2419</v>
      </c>
      <c r="CR32" s="287">
        <v>2964</v>
      </c>
      <c r="CS32" s="287">
        <v>3007</v>
      </c>
      <c r="CT32" s="287">
        <v>2936</v>
      </c>
      <c r="CU32" s="28" t="s">
        <v>269</v>
      </c>
      <c r="CV32" s="682">
        <f t="shared" si="17"/>
        <v>4636.5209999999997</v>
      </c>
      <c r="CW32" s="287">
        <v>328.34899999999999</v>
      </c>
      <c r="CX32" s="287">
        <v>321.57800000000003</v>
      </c>
      <c r="CY32" s="287">
        <v>312.42500000000001</v>
      </c>
      <c r="CZ32" s="287">
        <v>409.97900000000004</v>
      </c>
      <c r="DA32" s="287">
        <v>407.44499999999999</v>
      </c>
      <c r="DB32" s="287">
        <v>432</v>
      </c>
      <c r="DC32" s="287">
        <v>401.32300000000004</v>
      </c>
      <c r="DD32" s="287">
        <v>399.60699999999997</v>
      </c>
      <c r="DE32" s="287">
        <v>361.18700000000001</v>
      </c>
      <c r="DF32" s="287">
        <v>421.96299999999997</v>
      </c>
      <c r="DG32" s="287">
        <v>427.38499999999999</v>
      </c>
      <c r="DH32" s="287">
        <v>413.28</v>
      </c>
      <c r="DI32" s="28" t="s">
        <v>269</v>
      </c>
      <c r="DJ32" s="688">
        <f t="shared" si="25"/>
        <v>144.3319947702652</v>
      </c>
      <c r="DK32" s="286">
        <f t="shared" si="25"/>
        <v>146.06272241992883</v>
      </c>
      <c r="DL32" s="286">
        <f t="shared" si="25"/>
        <v>146.03905540417801</v>
      </c>
      <c r="DM32" s="286">
        <f t="shared" si="25"/>
        <v>145.04410399257199</v>
      </c>
      <c r="DN32" s="286">
        <f t="shared" si="25"/>
        <v>145.48580553584102</v>
      </c>
      <c r="DO32" s="286">
        <f t="shared" si="25"/>
        <v>140.69233425414365</v>
      </c>
      <c r="DP32" s="286">
        <f t="shared" si="25"/>
        <v>142.80991735537191</v>
      </c>
      <c r="DQ32" s="286">
        <f t="shared" si="25"/>
        <v>145.82957848837211</v>
      </c>
      <c r="DR32" s="286">
        <f t="shared" si="23"/>
        <v>147.83832778394375</v>
      </c>
      <c r="DS32" s="286">
        <f t="shared" si="23"/>
        <v>149.31252583712279</v>
      </c>
      <c r="DT32" s="286">
        <f t="shared" si="23"/>
        <v>142.36268556005396</v>
      </c>
      <c r="DU32" s="286">
        <f t="shared" si="23"/>
        <v>142.13002993016295</v>
      </c>
      <c r="DV32" s="286">
        <f t="shared" si="23"/>
        <v>140.76294277929156</v>
      </c>
    </row>
    <row r="33" spans="1:127" ht="12.5" customHeight="1">
      <c r="A33" s="28" t="s">
        <v>270</v>
      </c>
      <c r="B33" s="682">
        <f t="shared" si="12"/>
        <v>2449</v>
      </c>
      <c r="C33" s="287">
        <v>149</v>
      </c>
      <c r="D33" s="287">
        <v>143</v>
      </c>
      <c r="E33" s="287">
        <v>148</v>
      </c>
      <c r="F33" s="287">
        <v>142</v>
      </c>
      <c r="G33" s="287">
        <v>169</v>
      </c>
      <c r="H33" s="287">
        <v>236</v>
      </c>
      <c r="I33" s="287">
        <v>215</v>
      </c>
      <c r="J33" s="287">
        <v>206</v>
      </c>
      <c r="K33" s="287">
        <v>235</v>
      </c>
      <c r="L33" s="287">
        <v>248</v>
      </c>
      <c r="M33" s="287">
        <v>235</v>
      </c>
      <c r="N33" s="287">
        <v>323</v>
      </c>
      <c r="O33" s="28" t="s">
        <v>270</v>
      </c>
      <c r="P33" s="683">
        <f t="shared" si="13"/>
        <v>37.082799999999999</v>
      </c>
      <c r="Q33" s="291">
        <v>2.4845000000000002</v>
      </c>
      <c r="R33" s="291">
        <v>2.3822999999999999</v>
      </c>
      <c r="S33" s="291">
        <v>2.4459999999999997</v>
      </c>
      <c r="T33" s="291">
        <v>2.3420000000000001</v>
      </c>
      <c r="U33" s="291">
        <v>2.0960000000000001</v>
      </c>
      <c r="V33" s="291">
        <v>3.6040000000000001</v>
      </c>
      <c r="W33" s="291">
        <v>3.2669999999999999</v>
      </c>
      <c r="X33" s="291">
        <v>2.899</v>
      </c>
      <c r="Y33" s="291">
        <v>3.5859999999999999</v>
      </c>
      <c r="Z33" s="291">
        <v>3.673</v>
      </c>
      <c r="AA33" s="291">
        <v>3.59</v>
      </c>
      <c r="AB33" s="291">
        <v>4.7130000000000001</v>
      </c>
      <c r="AC33" s="28" t="s">
        <v>270</v>
      </c>
      <c r="AD33" s="684">
        <f t="shared" si="24"/>
        <v>15.142017149857084</v>
      </c>
      <c r="AE33" s="288">
        <f t="shared" si="24"/>
        <v>16.674496644295303</v>
      </c>
      <c r="AF33" s="288">
        <f t="shared" si="24"/>
        <v>16.659440559440558</v>
      </c>
      <c r="AG33" s="288">
        <f t="shared" si="24"/>
        <v>16.527027027027025</v>
      </c>
      <c r="AH33" s="288">
        <f t="shared" si="24"/>
        <v>16.492957746478876</v>
      </c>
      <c r="AI33" s="288">
        <f t="shared" si="24"/>
        <v>12.402366863905325</v>
      </c>
      <c r="AJ33" s="288">
        <f t="shared" si="24"/>
        <v>15.271186440677967</v>
      </c>
      <c r="AK33" s="288">
        <f t="shared" si="24"/>
        <v>15.1953488372093</v>
      </c>
      <c r="AL33" s="288">
        <f t="shared" si="24"/>
        <v>14.072815533980583</v>
      </c>
      <c r="AM33" s="288">
        <f t="shared" si="18"/>
        <v>15.259574468085106</v>
      </c>
      <c r="AN33" s="288">
        <f t="shared" si="19"/>
        <v>14.810483870967742</v>
      </c>
      <c r="AO33" s="288">
        <f t="shared" si="20"/>
        <v>15.276595744680851</v>
      </c>
      <c r="AP33" s="288">
        <f t="shared" si="21"/>
        <v>14.591331269349846</v>
      </c>
      <c r="AQ33" s="28" t="s">
        <v>270</v>
      </c>
      <c r="AR33" s="685">
        <f t="shared" si="14"/>
        <v>60017</v>
      </c>
      <c r="AS33" s="173">
        <v>4838</v>
      </c>
      <c r="AT33" s="173">
        <v>4691</v>
      </c>
      <c r="AU33" s="173">
        <v>5274</v>
      </c>
      <c r="AV33" s="173">
        <v>4299</v>
      </c>
      <c r="AW33" s="173">
        <v>5004</v>
      </c>
      <c r="AX33" s="173">
        <v>5048</v>
      </c>
      <c r="AY33" s="173">
        <v>5169</v>
      </c>
      <c r="AZ33" s="173">
        <v>4451</v>
      </c>
      <c r="BA33" s="173">
        <v>4895</v>
      </c>
      <c r="BB33" s="173">
        <v>4849</v>
      </c>
      <c r="BC33" s="173">
        <v>4915</v>
      </c>
      <c r="BD33" s="173">
        <v>6584</v>
      </c>
      <c r="BE33" s="28" t="s">
        <v>270</v>
      </c>
      <c r="BF33" s="682">
        <f t="shared" si="15"/>
        <v>3746.0870399999994</v>
      </c>
      <c r="BG33" s="287">
        <v>301.76279999999997</v>
      </c>
      <c r="BH33" s="287">
        <v>295.70023000000003</v>
      </c>
      <c r="BI33" s="287">
        <v>333.35404999999997</v>
      </c>
      <c r="BJ33" s="287">
        <v>281.16888</v>
      </c>
      <c r="BK33" s="287">
        <v>327.08340999999996</v>
      </c>
      <c r="BL33" s="287">
        <v>311.06686999999999</v>
      </c>
      <c r="BM33" s="287">
        <v>340.44946000000004</v>
      </c>
      <c r="BN33" s="287">
        <v>279.34010000000001</v>
      </c>
      <c r="BO33" s="287">
        <v>294.17124999999999</v>
      </c>
      <c r="BP33" s="287">
        <v>303.31989999999996</v>
      </c>
      <c r="BQ33" s="287">
        <v>300.07650000000001</v>
      </c>
      <c r="BR33" s="287">
        <v>378.59359000000001</v>
      </c>
      <c r="BS33" s="28" t="s">
        <v>270</v>
      </c>
      <c r="BT33" s="688">
        <f t="shared" si="22"/>
        <v>62.417099155239342</v>
      </c>
      <c r="BU33" s="286">
        <f t="shared" si="22"/>
        <v>62.373460107482423</v>
      </c>
      <c r="BV33" s="286">
        <f t="shared" si="22"/>
        <v>63.035649115327232</v>
      </c>
      <c r="BW33" s="286">
        <f t="shared" si="22"/>
        <v>63.207062950322332</v>
      </c>
      <c r="BX33" s="286">
        <f t="shared" si="22"/>
        <v>65.403321702721556</v>
      </c>
      <c r="BY33" s="286">
        <f t="shared" si="22"/>
        <v>65.36439048760991</v>
      </c>
      <c r="BZ33" s="286">
        <f t="shared" si="22"/>
        <v>61.62180467511886</v>
      </c>
      <c r="CA33" s="286">
        <f t="shared" si="22"/>
        <v>65.863698974656614</v>
      </c>
      <c r="CB33" s="286">
        <f t="shared" si="22"/>
        <v>62.758953044259712</v>
      </c>
      <c r="CC33" s="286">
        <f t="shared" si="22"/>
        <v>60.096271705822261</v>
      </c>
      <c r="CD33" s="286">
        <f t="shared" si="22"/>
        <v>62.553083109919569</v>
      </c>
      <c r="CE33" s="286">
        <f t="shared" si="22"/>
        <v>61.053204476093597</v>
      </c>
      <c r="CF33" s="286">
        <f t="shared" si="22"/>
        <v>57.502064094775214</v>
      </c>
      <c r="CG33" s="28" t="s">
        <v>270</v>
      </c>
      <c r="CH33" s="682">
        <f t="shared" si="16"/>
        <v>19611</v>
      </c>
      <c r="CI33" s="287">
        <v>1585</v>
      </c>
      <c r="CJ33" s="287">
        <v>1574</v>
      </c>
      <c r="CK33" s="287">
        <v>1589</v>
      </c>
      <c r="CL33" s="287">
        <v>1658</v>
      </c>
      <c r="CM33" s="287">
        <v>1567</v>
      </c>
      <c r="CN33" s="287">
        <v>1826</v>
      </c>
      <c r="CO33" s="287">
        <v>1786</v>
      </c>
      <c r="CP33" s="287">
        <v>1403</v>
      </c>
      <c r="CQ33" s="287">
        <v>1593</v>
      </c>
      <c r="CR33" s="287">
        <v>1592</v>
      </c>
      <c r="CS33" s="287">
        <v>1507</v>
      </c>
      <c r="CT33" s="287">
        <v>1931</v>
      </c>
      <c r="CU33" s="28" t="s">
        <v>270</v>
      </c>
      <c r="CV33" s="682">
        <f t="shared" si="17"/>
        <v>2898.16932</v>
      </c>
      <c r="CW33" s="287">
        <v>242.69139000000001</v>
      </c>
      <c r="CX33" s="287">
        <v>235.74281999999999</v>
      </c>
      <c r="CY33" s="287">
        <v>231.29160000000002</v>
      </c>
      <c r="CZ33" s="287">
        <v>240.73787000000002</v>
      </c>
      <c r="DA33" s="287">
        <v>236.86054999999999</v>
      </c>
      <c r="DB33" s="287">
        <v>280.26900000000001</v>
      </c>
      <c r="DC33" s="287">
        <v>284.25099999999998</v>
      </c>
      <c r="DD33" s="287">
        <v>171.66640000000001</v>
      </c>
      <c r="DE33" s="287">
        <v>224.2578</v>
      </c>
      <c r="DF33" s="287">
        <v>246.13</v>
      </c>
      <c r="DG33" s="287">
        <v>214.89528999999999</v>
      </c>
      <c r="DH33" s="287">
        <v>289.37560000000002</v>
      </c>
      <c r="DI33" s="28" t="s">
        <v>270</v>
      </c>
      <c r="DJ33" s="688">
        <f t="shared" si="25"/>
        <v>147.78284228239252</v>
      </c>
      <c r="DK33" s="286">
        <f t="shared" si="25"/>
        <v>153.11759621451105</v>
      </c>
      <c r="DL33" s="286">
        <f t="shared" si="25"/>
        <v>149.7730749682338</v>
      </c>
      <c r="DM33" s="286">
        <f t="shared" si="25"/>
        <v>145.55796098174952</v>
      </c>
      <c r="DN33" s="286">
        <f t="shared" si="25"/>
        <v>145.19775030156816</v>
      </c>
      <c r="DO33" s="286">
        <f t="shared" si="25"/>
        <v>151.15542437779195</v>
      </c>
      <c r="DP33" s="286">
        <f t="shared" si="25"/>
        <v>153.48795180722891</v>
      </c>
      <c r="DQ33" s="286">
        <f t="shared" si="25"/>
        <v>159.15509518477043</v>
      </c>
      <c r="DR33" s="286">
        <f t="shared" si="23"/>
        <v>122.35666429080543</v>
      </c>
      <c r="DS33" s="286">
        <f t="shared" si="23"/>
        <v>140.77702448210925</v>
      </c>
      <c r="DT33" s="286">
        <f t="shared" si="23"/>
        <v>154.60427135678393</v>
      </c>
      <c r="DU33" s="286">
        <f t="shared" si="23"/>
        <v>142.5980690112807</v>
      </c>
      <c r="DV33" s="286">
        <f t="shared" si="23"/>
        <v>149.8578974624547</v>
      </c>
    </row>
    <row r="34" spans="1:127" ht="12.5" customHeight="1">
      <c r="A34" s="28" t="s">
        <v>271</v>
      </c>
      <c r="B34" s="682">
        <f t="shared" si="12"/>
        <v>119</v>
      </c>
      <c r="C34" s="287">
        <v>19</v>
      </c>
      <c r="D34" s="287">
        <v>4</v>
      </c>
      <c r="E34" s="287">
        <v>5</v>
      </c>
      <c r="F34" s="287">
        <v>5</v>
      </c>
      <c r="G34" s="287">
        <v>15</v>
      </c>
      <c r="H34" s="287">
        <v>18</v>
      </c>
      <c r="I34" s="287">
        <v>17</v>
      </c>
      <c r="J34" s="287">
        <v>14</v>
      </c>
      <c r="K34" s="287">
        <v>9</v>
      </c>
      <c r="L34" s="287">
        <v>3</v>
      </c>
      <c r="M34" s="287">
        <v>7</v>
      </c>
      <c r="N34" s="287">
        <v>3</v>
      </c>
      <c r="O34" s="28" t="s">
        <v>271</v>
      </c>
      <c r="P34" s="683">
        <f t="shared" si="13"/>
        <v>2.2121899999999997</v>
      </c>
      <c r="Q34" s="291">
        <v>0.38</v>
      </c>
      <c r="R34" s="291">
        <v>6.6449999999999995E-2</v>
      </c>
      <c r="S34" s="291">
        <v>9.2799999999999994E-2</v>
      </c>
      <c r="T34" s="291">
        <v>0.10100000000000001</v>
      </c>
      <c r="U34" s="291">
        <v>0.25019999999999998</v>
      </c>
      <c r="V34" s="291">
        <v>0.316</v>
      </c>
      <c r="W34" s="291">
        <v>0.33650000000000002</v>
      </c>
      <c r="X34" s="291">
        <v>0.26849999999999996</v>
      </c>
      <c r="Y34" s="291">
        <v>0.16500000000000001</v>
      </c>
      <c r="Z34" s="291">
        <v>5.1600000000000007E-2</v>
      </c>
      <c r="AA34" s="291">
        <v>0.12634000000000001</v>
      </c>
      <c r="AB34" s="291">
        <v>5.779999999999999E-2</v>
      </c>
      <c r="AC34" s="28" t="s">
        <v>271</v>
      </c>
      <c r="AD34" s="684">
        <f t="shared" si="24"/>
        <v>18.589831932773105</v>
      </c>
      <c r="AE34" s="288">
        <f t="shared" si="24"/>
        <v>20</v>
      </c>
      <c r="AF34" s="288">
        <f t="shared" si="24"/>
        <v>16.612499999999997</v>
      </c>
      <c r="AG34" s="288">
        <f t="shared" si="24"/>
        <v>18.559999999999999</v>
      </c>
      <c r="AH34" s="288">
        <f t="shared" si="24"/>
        <v>20.200000000000003</v>
      </c>
      <c r="AI34" s="288">
        <f t="shared" si="24"/>
        <v>16.679999999999996</v>
      </c>
      <c r="AJ34" s="288">
        <f t="shared" si="24"/>
        <v>17.555555555555557</v>
      </c>
      <c r="AK34" s="288">
        <f t="shared" si="24"/>
        <v>19.794117647058822</v>
      </c>
      <c r="AL34" s="288">
        <f t="shared" si="24"/>
        <v>19.178571428571427</v>
      </c>
      <c r="AM34" s="288">
        <f t="shared" si="18"/>
        <v>18.333333333333332</v>
      </c>
      <c r="AN34" s="288">
        <f t="shared" si="19"/>
        <v>17.200000000000003</v>
      </c>
      <c r="AO34" s="288">
        <f t="shared" si="20"/>
        <v>18.048571428571432</v>
      </c>
      <c r="AP34" s="288">
        <f t="shared" si="21"/>
        <v>19.266666666666666</v>
      </c>
      <c r="AQ34" s="28" t="s">
        <v>271</v>
      </c>
      <c r="AR34" s="685">
        <f t="shared" si="14"/>
        <v>23834</v>
      </c>
      <c r="AS34" s="173">
        <v>2378</v>
      </c>
      <c r="AT34" s="173">
        <v>1935</v>
      </c>
      <c r="AU34" s="173">
        <v>2118</v>
      </c>
      <c r="AV34" s="173">
        <v>1762</v>
      </c>
      <c r="AW34" s="173">
        <v>1955</v>
      </c>
      <c r="AX34" s="173">
        <v>2013</v>
      </c>
      <c r="AY34" s="173">
        <v>1840</v>
      </c>
      <c r="AZ34" s="173">
        <v>2183</v>
      </c>
      <c r="BA34" s="173">
        <v>1984</v>
      </c>
      <c r="BB34" s="173">
        <v>1692</v>
      </c>
      <c r="BC34" s="173">
        <v>1505</v>
      </c>
      <c r="BD34" s="173">
        <v>2469</v>
      </c>
      <c r="BE34" s="28" t="s">
        <v>271</v>
      </c>
      <c r="BF34" s="682">
        <f t="shared" si="15"/>
        <v>1756.4159999999999</v>
      </c>
      <c r="BG34" s="287">
        <v>189.70500000000001</v>
      </c>
      <c r="BH34" s="287">
        <v>153.255</v>
      </c>
      <c r="BI34" s="287">
        <v>151.37899999999999</v>
      </c>
      <c r="BJ34" s="287">
        <v>121.78899999999999</v>
      </c>
      <c r="BK34" s="287">
        <v>145.41399999999999</v>
      </c>
      <c r="BL34" s="287">
        <v>148.26</v>
      </c>
      <c r="BM34" s="287">
        <v>126.646</v>
      </c>
      <c r="BN34" s="287">
        <v>153.55200000000002</v>
      </c>
      <c r="BO34" s="287">
        <v>148.57999999999998</v>
      </c>
      <c r="BP34" s="287">
        <v>120.452</v>
      </c>
      <c r="BQ34" s="287">
        <v>115.239</v>
      </c>
      <c r="BR34" s="287">
        <v>182.14500000000001</v>
      </c>
      <c r="BS34" s="28" t="s">
        <v>271</v>
      </c>
      <c r="BT34" s="688">
        <f t="shared" si="22"/>
        <v>73.693714861122757</v>
      </c>
      <c r="BU34" s="286">
        <f t="shared" si="22"/>
        <v>79.775021026072338</v>
      </c>
      <c r="BV34" s="286">
        <f t="shared" si="22"/>
        <v>79.201550387596896</v>
      </c>
      <c r="BW34" s="286">
        <f t="shared" si="22"/>
        <v>71.472615675165244</v>
      </c>
      <c r="BX34" s="286">
        <f t="shared" si="22"/>
        <v>69.11975028376844</v>
      </c>
      <c r="BY34" s="286">
        <f t="shared" si="22"/>
        <v>74.380562659846532</v>
      </c>
      <c r="BZ34" s="286">
        <f t="shared" si="22"/>
        <v>73.651266766020868</v>
      </c>
      <c r="CA34" s="286">
        <f t="shared" si="22"/>
        <v>68.829347826086959</v>
      </c>
      <c r="CB34" s="286">
        <f t="shared" si="22"/>
        <v>70.339899221255166</v>
      </c>
      <c r="CC34" s="286">
        <f t="shared" si="22"/>
        <v>74.889112903225794</v>
      </c>
      <c r="CD34" s="286">
        <f t="shared" si="22"/>
        <v>71.189125295508276</v>
      </c>
      <c r="CE34" s="286">
        <f t="shared" si="22"/>
        <v>76.570764119601321</v>
      </c>
      <c r="CF34" s="286">
        <f t="shared" si="22"/>
        <v>73.772782503037675</v>
      </c>
      <c r="CG34" s="28" t="s">
        <v>271</v>
      </c>
      <c r="CH34" s="682">
        <f t="shared" si="16"/>
        <v>11653</v>
      </c>
      <c r="CI34" s="287">
        <v>1155</v>
      </c>
      <c r="CJ34" s="287">
        <v>932</v>
      </c>
      <c r="CK34" s="287">
        <v>993</v>
      </c>
      <c r="CL34" s="287">
        <v>870</v>
      </c>
      <c r="CM34" s="287">
        <v>927</v>
      </c>
      <c r="CN34" s="287">
        <v>1007</v>
      </c>
      <c r="CO34" s="287">
        <v>1024</v>
      </c>
      <c r="CP34" s="287">
        <v>1010</v>
      </c>
      <c r="CQ34" s="287">
        <v>951</v>
      </c>
      <c r="CR34" s="287">
        <v>901</v>
      </c>
      <c r="CS34" s="287">
        <v>980</v>
      </c>
      <c r="CT34" s="287">
        <v>903</v>
      </c>
      <c r="CU34" s="28" t="s">
        <v>271</v>
      </c>
      <c r="CV34" s="682">
        <f t="shared" si="17"/>
        <v>1817.7919999999999</v>
      </c>
      <c r="CW34" s="287">
        <v>173.30900000000003</v>
      </c>
      <c r="CX34" s="287">
        <v>143.77500000000001</v>
      </c>
      <c r="CY34" s="287">
        <v>161.982</v>
      </c>
      <c r="CZ34" s="287">
        <v>134.125</v>
      </c>
      <c r="DA34" s="287">
        <v>147.27100000000002</v>
      </c>
      <c r="DB34" s="287">
        <v>152.99199999999999</v>
      </c>
      <c r="DC34" s="287">
        <v>147.00899999999999</v>
      </c>
      <c r="DD34" s="287">
        <v>161.42500000000001</v>
      </c>
      <c r="DE34" s="287">
        <v>145.61500000000001</v>
      </c>
      <c r="DF34" s="287">
        <v>144.77000000000001</v>
      </c>
      <c r="DG34" s="287">
        <v>159.46899999999999</v>
      </c>
      <c r="DH34" s="287">
        <v>146.05000000000001</v>
      </c>
      <c r="DI34" s="28" t="s">
        <v>271</v>
      </c>
      <c r="DJ34" s="688">
        <f t="shared" si="25"/>
        <v>155.99347807431562</v>
      </c>
      <c r="DK34" s="286">
        <f t="shared" si="25"/>
        <v>150.05108225108228</v>
      </c>
      <c r="DL34" s="286">
        <f t="shared" si="25"/>
        <v>154.26502145922746</v>
      </c>
      <c r="DM34" s="286">
        <f t="shared" si="25"/>
        <v>163.12386706948641</v>
      </c>
      <c r="DN34" s="286">
        <f t="shared" si="25"/>
        <v>154.16666666666669</v>
      </c>
      <c r="DO34" s="286">
        <f t="shared" si="25"/>
        <v>158.8683926645092</v>
      </c>
      <c r="DP34" s="286">
        <f t="shared" si="25"/>
        <v>151.92850049652432</v>
      </c>
      <c r="DQ34" s="286">
        <f t="shared" si="25"/>
        <v>143.5634765625</v>
      </c>
      <c r="DR34" s="286">
        <f t="shared" si="23"/>
        <v>159.82673267326734</v>
      </c>
      <c r="DS34" s="286">
        <f t="shared" si="23"/>
        <v>153.11777076761305</v>
      </c>
      <c r="DT34" s="286">
        <f t="shared" si="23"/>
        <v>160.677025527192</v>
      </c>
      <c r="DU34" s="286">
        <f t="shared" si="23"/>
        <v>162.72346938775507</v>
      </c>
      <c r="DV34" s="286">
        <f t="shared" si="23"/>
        <v>161.73864894795128</v>
      </c>
    </row>
    <row r="35" spans="1:127" ht="12.5" customHeight="1">
      <c r="A35" s="28" t="s">
        <v>272</v>
      </c>
      <c r="B35" s="682">
        <f t="shared" si="12"/>
        <v>0</v>
      </c>
      <c r="C35" s="287">
        <v>0</v>
      </c>
      <c r="D35" s="287">
        <v>0</v>
      </c>
      <c r="E35" s="287">
        <v>0</v>
      </c>
      <c r="F35" s="287">
        <v>0</v>
      </c>
      <c r="G35" s="287">
        <v>0</v>
      </c>
      <c r="H35" s="287">
        <v>0</v>
      </c>
      <c r="I35" s="287">
        <v>0</v>
      </c>
      <c r="J35" s="287">
        <v>0</v>
      </c>
      <c r="K35" s="287">
        <v>0</v>
      </c>
      <c r="L35" s="287">
        <v>0</v>
      </c>
      <c r="M35" s="287">
        <v>0</v>
      </c>
      <c r="N35" s="287">
        <v>0</v>
      </c>
      <c r="O35" s="28" t="s">
        <v>272</v>
      </c>
      <c r="P35" s="683">
        <f t="shared" si="13"/>
        <v>0</v>
      </c>
      <c r="Q35" s="291">
        <v>0</v>
      </c>
      <c r="R35" s="291">
        <v>0</v>
      </c>
      <c r="S35" s="291">
        <v>0</v>
      </c>
      <c r="T35" s="291">
        <v>0</v>
      </c>
      <c r="U35" s="291">
        <v>0</v>
      </c>
      <c r="V35" s="291">
        <v>0</v>
      </c>
      <c r="W35" s="291">
        <v>0</v>
      </c>
      <c r="X35" s="291">
        <v>0</v>
      </c>
      <c r="Y35" s="291">
        <v>0</v>
      </c>
      <c r="Z35" s="291">
        <v>0</v>
      </c>
      <c r="AA35" s="291">
        <v>0</v>
      </c>
      <c r="AB35" s="291">
        <v>0</v>
      </c>
      <c r="AC35" s="28" t="s">
        <v>272</v>
      </c>
      <c r="AD35" s="684" t="s">
        <v>50</v>
      </c>
      <c r="AE35" s="288" t="s">
        <v>75</v>
      </c>
      <c r="AF35" s="288" t="s">
        <v>75</v>
      </c>
      <c r="AG35" s="288" t="s">
        <v>75</v>
      </c>
      <c r="AH35" s="288" t="s">
        <v>75</v>
      </c>
      <c r="AI35" s="288" t="s">
        <v>75</v>
      </c>
      <c r="AJ35" s="288" t="s">
        <v>75</v>
      </c>
      <c r="AK35" s="288" t="s">
        <v>75</v>
      </c>
      <c r="AL35" s="288" t="s">
        <v>75</v>
      </c>
      <c r="AM35" s="288" t="s">
        <v>75</v>
      </c>
      <c r="AN35" s="288" t="s">
        <v>75</v>
      </c>
      <c r="AO35" s="288" t="s">
        <v>75</v>
      </c>
      <c r="AP35" s="288" t="s">
        <v>75</v>
      </c>
      <c r="AQ35" s="28" t="s">
        <v>272</v>
      </c>
      <c r="AR35" s="685">
        <f t="shared" si="14"/>
        <v>11143</v>
      </c>
      <c r="AS35" s="173">
        <v>1014</v>
      </c>
      <c r="AT35" s="173">
        <v>981</v>
      </c>
      <c r="AU35" s="173">
        <v>965</v>
      </c>
      <c r="AV35" s="173">
        <v>779</v>
      </c>
      <c r="AW35" s="173">
        <v>948</v>
      </c>
      <c r="AX35" s="173">
        <v>954</v>
      </c>
      <c r="AY35" s="173">
        <v>815</v>
      </c>
      <c r="AZ35" s="173">
        <v>832</v>
      </c>
      <c r="BA35" s="173">
        <v>874</v>
      </c>
      <c r="BB35" s="173">
        <v>940</v>
      </c>
      <c r="BC35" s="173">
        <v>1020</v>
      </c>
      <c r="BD35" s="173">
        <v>1021</v>
      </c>
      <c r="BE35" s="28" t="s">
        <v>272</v>
      </c>
      <c r="BF35" s="682">
        <f t="shared" si="15"/>
        <v>787.54844000000003</v>
      </c>
      <c r="BG35" s="287">
        <v>66.084400000000002</v>
      </c>
      <c r="BH35" s="287">
        <v>63.1648</v>
      </c>
      <c r="BI35" s="287">
        <v>61.640300000000003</v>
      </c>
      <c r="BJ35" s="287">
        <v>54.878979999999999</v>
      </c>
      <c r="BK35" s="287">
        <v>71.636749999999992</v>
      </c>
      <c r="BL35" s="287">
        <v>72.46181</v>
      </c>
      <c r="BM35" s="287">
        <v>61.909710000000004</v>
      </c>
      <c r="BN35" s="287">
        <v>66.132629999999992</v>
      </c>
      <c r="BO35" s="287">
        <v>63.036250000000003</v>
      </c>
      <c r="BP35" s="287">
        <v>68.851680000000016</v>
      </c>
      <c r="BQ35" s="287">
        <v>68.711849999999998</v>
      </c>
      <c r="BR35" s="287">
        <v>69.039279999999991</v>
      </c>
      <c r="BS35" s="28" t="s">
        <v>272</v>
      </c>
      <c r="BT35" s="688">
        <f t="shared" si="22"/>
        <v>70.676517993359056</v>
      </c>
      <c r="BU35" s="286">
        <f t="shared" si="22"/>
        <v>65.171992110453644</v>
      </c>
      <c r="BV35" s="286">
        <f t="shared" si="22"/>
        <v>64.38817533129459</v>
      </c>
      <c r="BW35" s="286">
        <f t="shared" si="22"/>
        <v>63.875958549222801</v>
      </c>
      <c r="BX35" s="286">
        <f t="shared" si="22"/>
        <v>70.447984595635432</v>
      </c>
      <c r="BY35" s="286">
        <f t="shared" si="22"/>
        <v>75.566191983122351</v>
      </c>
      <c r="BZ35" s="286">
        <f t="shared" si="22"/>
        <v>75.95577568134172</v>
      </c>
      <c r="CA35" s="286">
        <f t="shared" si="22"/>
        <v>75.962834355828221</v>
      </c>
      <c r="CB35" s="286">
        <f t="shared" si="22"/>
        <v>79.486334134615376</v>
      </c>
      <c r="CC35" s="286">
        <f t="shared" si="22"/>
        <v>72.123855835240278</v>
      </c>
      <c r="CD35" s="286">
        <f t="shared" si="22"/>
        <v>73.2464680851064</v>
      </c>
      <c r="CE35" s="286">
        <f t="shared" si="22"/>
        <v>67.364558823529421</v>
      </c>
      <c r="CF35" s="286">
        <f t="shared" si="22"/>
        <v>67.619275220372174</v>
      </c>
      <c r="CG35" s="28" t="s">
        <v>272</v>
      </c>
      <c r="CH35" s="682">
        <f t="shared" si="16"/>
        <v>9032</v>
      </c>
      <c r="CI35" s="287">
        <v>713</v>
      </c>
      <c r="CJ35" s="287">
        <v>794</v>
      </c>
      <c r="CK35" s="287">
        <v>841</v>
      </c>
      <c r="CL35" s="287">
        <v>857</v>
      </c>
      <c r="CM35" s="287">
        <v>809</v>
      </c>
      <c r="CN35" s="287">
        <v>801</v>
      </c>
      <c r="CO35" s="287">
        <v>733</v>
      </c>
      <c r="CP35" s="287">
        <v>666</v>
      </c>
      <c r="CQ35" s="287">
        <v>627</v>
      </c>
      <c r="CR35" s="287">
        <v>666</v>
      </c>
      <c r="CS35" s="287">
        <v>784</v>
      </c>
      <c r="CT35" s="287">
        <v>741</v>
      </c>
      <c r="CU35" s="28" t="s">
        <v>272</v>
      </c>
      <c r="CV35" s="682">
        <f t="shared" si="17"/>
        <v>1546.9573600000001</v>
      </c>
      <c r="CW35" s="287">
        <v>116.65818</v>
      </c>
      <c r="CX35" s="287">
        <v>132.41839999999999</v>
      </c>
      <c r="CY35" s="287">
        <v>141.0547</v>
      </c>
      <c r="CZ35" s="287">
        <v>145.61544000000001</v>
      </c>
      <c r="DA35" s="287">
        <v>136.63374999999999</v>
      </c>
      <c r="DB35" s="287">
        <v>136.06059999999999</v>
      </c>
      <c r="DC35" s="287">
        <v>127.10485</v>
      </c>
      <c r="DD35" s="287">
        <v>116.43491</v>
      </c>
      <c r="DE35" s="287">
        <v>108.05379000000001</v>
      </c>
      <c r="DF35" s="287">
        <v>116.51198000000001</v>
      </c>
      <c r="DG35" s="287">
        <v>139.01860000000002</v>
      </c>
      <c r="DH35" s="287">
        <v>131.39216000000002</v>
      </c>
      <c r="DI35" s="28" t="s">
        <v>272</v>
      </c>
      <c r="DJ35" s="688">
        <f t="shared" si="25"/>
        <v>171.27517271922054</v>
      </c>
      <c r="DK35" s="286">
        <f t="shared" si="25"/>
        <v>163.61596072931275</v>
      </c>
      <c r="DL35" s="286">
        <f t="shared" si="25"/>
        <v>166.77380352644835</v>
      </c>
      <c r="DM35" s="286">
        <f t="shared" si="25"/>
        <v>167.72259215219975</v>
      </c>
      <c r="DN35" s="286">
        <f t="shared" si="25"/>
        <v>169.91299883313889</v>
      </c>
      <c r="DO35" s="286">
        <f t="shared" si="25"/>
        <v>168.89215080346108</v>
      </c>
      <c r="DP35" s="286">
        <f t="shared" si="25"/>
        <v>169.86342072409488</v>
      </c>
      <c r="DQ35" s="286">
        <f t="shared" si="25"/>
        <v>173.40361527967258</v>
      </c>
      <c r="DR35" s="286">
        <f t="shared" si="23"/>
        <v>174.8271921921922</v>
      </c>
      <c r="DS35" s="286">
        <f t="shared" si="23"/>
        <v>172.3345933014354</v>
      </c>
      <c r="DT35" s="286">
        <f t="shared" si="23"/>
        <v>174.94291291291293</v>
      </c>
      <c r="DU35" s="286">
        <f t="shared" si="23"/>
        <v>177.3196428571429</v>
      </c>
      <c r="DV35" s="286">
        <f t="shared" si="23"/>
        <v>177.31735492577599</v>
      </c>
    </row>
    <row r="36" spans="1:127" ht="12.5" customHeight="1" thickBot="1">
      <c r="A36" s="501" t="s">
        <v>273</v>
      </c>
      <c r="B36" s="817">
        <v>0</v>
      </c>
      <c r="C36" s="818">
        <v>0</v>
      </c>
      <c r="D36" s="818">
        <v>0</v>
      </c>
      <c r="E36" s="818">
        <v>0</v>
      </c>
      <c r="F36" s="818">
        <v>0</v>
      </c>
      <c r="G36" s="818">
        <v>0</v>
      </c>
      <c r="H36" s="818">
        <v>0</v>
      </c>
      <c r="I36" s="818">
        <v>0</v>
      </c>
      <c r="J36" s="818">
        <v>0</v>
      </c>
      <c r="K36" s="818">
        <v>0</v>
      </c>
      <c r="L36" s="818">
        <v>0</v>
      </c>
      <c r="M36" s="818">
        <v>0</v>
      </c>
      <c r="N36" s="818">
        <v>0</v>
      </c>
      <c r="O36" s="501" t="s">
        <v>273</v>
      </c>
      <c r="P36" s="819">
        <v>0</v>
      </c>
      <c r="Q36" s="820">
        <v>0</v>
      </c>
      <c r="R36" s="820">
        <v>0</v>
      </c>
      <c r="S36" s="820">
        <v>0</v>
      </c>
      <c r="T36" s="820">
        <v>0</v>
      </c>
      <c r="U36" s="820">
        <v>0</v>
      </c>
      <c r="V36" s="820">
        <v>0</v>
      </c>
      <c r="W36" s="820">
        <v>0</v>
      </c>
      <c r="X36" s="820">
        <v>0</v>
      </c>
      <c r="Y36" s="820">
        <v>0</v>
      </c>
      <c r="Z36" s="820">
        <v>0</v>
      </c>
      <c r="AA36" s="820">
        <v>0</v>
      </c>
      <c r="AB36" s="820">
        <v>0</v>
      </c>
      <c r="AC36" s="501" t="s">
        <v>273</v>
      </c>
      <c r="AD36" s="821" t="s">
        <v>50</v>
      </c>
      <c r="AE36" s="822" t="s">
        <v>75</v>
      </c>
      <c r="AF36" s="822" t="s">
        <v>75</v>
      </c>
      <c r="AG36" s="822" t="s">
        <v>75</v>
      </c>
      <c r="AH36" s="822" t="s">
        <v>75</v>
      </c>
      <c r="AI36" s="822" t="s">
        <v>75</v>
      </c>
      <c r="AJ36" s="822" t="s">
        <v>75</v>
      </c>
      <c r="AK36" s="822" t="s">
        <v>75</v>
      </c>
      <c r="AL36" s="822" t="s">
        <v>75</v>
      </c>
      <c r="AM36" s="822" t="s">
        <v>75</v>
      </c>
      <c r="AN36" s="822" t="s">
        <v>75</v>
      </c>
      <c r="AO36" s="822" t="s">
        <v>75</v>
      </c>
      <c r="AP36" s="822" t="s">
        <v>75</v>
      </c>
      <c r="AQ36" s="501" t="s">
        <v>273</v>
      </c>
      <c r="AR36" s="823" t="s">
        <v>334</v>
      </c>
      <c r="AS36" s="470">
        <v>937</v>
      </c>
      <c r="AT36" s="470">
        <v>995</v>
      </c>
      <c r="AU36" s="470">
        <v>972</v>
      </c>
      <c r="AV36" s="470">
        <v>1140</v>
      </c>
      <c r="AW36" s="470">
        <v>1020</v>
      </c>
      <c r="AX36" s="470">
        <v>1447</v>
      </c>
      <c r="AY36" s="470">
        <v>1341</v>
      </c>
      <c r="AZ36" s="470">
        <v>1320</v>
      </c>
      <c r="BA36" s="470">
        <v>1300</v>
      </c>
      <c r="BB36" s="470">
        <v>1575</v>
      </c>
      <c r="BC36" s="470">
        <v>1225</v>
      </c>
      <c r="BD36" s="470">
        <v>1876</v>
      </c>
      <c r="BE36" s="501" t="s">
        <v>273</v>
      </c>
      <c r="BF36" s="824" t="s">
        <v>75</v>
      </c>
      <c r="BG36" s="818">
        <v>71.5</v>
      </c>
      <c r="BH36" s="818">
        <v>76.63</v>
      </c>
      <c r="BI36" s="818">
        <v>72.72</v>
      </c>
      <c r="BJ36" s="818">
        <v>85.5</v>
      </c>
      <c r="BK36" s="818">
        <v>71.599999999999994</v>
      </c>
      <c r="BL36" s="818">
        <v>101.4</v>
      </c>
      <c r="BM36" s="818">
        <v>92.53</v>
      </c>
      <c r="BN36" s="818">
        <v>89.64</v>
      </c>
      <c r="BO36" s="818">
        <v>86.449999999999989</v>
      </c>
      <c r="BP36" s="818">
        <v>103.7</v>
      </c>
      <c r="BQ36" s="818">
        <v>83.51</v>
      </c>
      <c r="BR36" s="818">
        <v>137</v>
      </c>
      <c r="BS36" s="501" t="s">
        <v>273</v>
      </c>
      <c r="BT36" s="821" t="s">
        <v>75</v>
      </c>
      <c r="BU36" s="822" t="s">
        <v>75</v>
      </c>
      <c r="BV36" s="822" t="s">
        <v>75</v>
      </c>
      <c r="BW36" s="822" t="s">
        <v>75</v>
      </c>
      <c r="BX36" s="822" t="s">
        <v>75</v>
      </c>
      <c r="BY36" s="822" t="s">
        <v>75</v>
      </c>
      <c r="BZ36" s="822" t="s">
        <v>75</v>
      </c>
      <c r="CA36" s="822" t="s">
        <v>75</v>
      </c>
      <c r="CB36" s="822" t="s">
        <v>75</v>
      </c>
      <c r="CC36" s="822" t="s">
        <v>75</v>
      </c>
      <c r="CD36" s="822" t="s">
        <v>75</v>
      </c>
      <c r="CE36" s="822" t="s">
        <v>75</v>
      </c>
      <c r="CF36" s="822" t="s">
        <v>75</v>
      </c>
      <c r="CG36" s="501" t="s">
        <v>273</v>
      </c>
      <c r="CH36" s="825">
        <f t="shared" si="16"/>
        <v>14350</v>
      </c>
      <c r="CI36" s="826">
        <v>1144</v>
      </c>
      <c r="CJ36" s="826">
        <v>1058</v>
      </c>
      <c r="CK36" s="826">
        <v>1310</v>
      </c>
      <c r="CL36" s="826">
        <v>1222</v>
      </c>
      <c r="CM36" s="826">
        <v>1189</v>
      </c>
      <c r="CN36" s="826">
        <v>1125</v>
      </c>
      <c r="CO36" s="826">
        <v>1198</v>
      </c>
      <c r="CP36" s="826">
        <v>1230</v>
      </c>
      <c r="CQ36" s="826">
        <v>1184</v>
      </c>
      <c r="CR36" s="826">
        <v>1214</v>
      </c>
      <c r="CS36" s="826">
        <v>1297</v>
      </c>
      <c r="CT36" s="826">
        <v>1179</v>
      </c>
      <c r="CU36" s="501" t="s">
        <v>273</v>
      </c>
      <c r="CV36" s="825">
        <f t="shared" si="17"/>
        <v>2243.7244500000002</v>
      </c>
      <c r="CW36" s="826">
        <v>186.78</v>
      </c>
      <c r="CX36" s="826">
        <v>170.3</v>
      </c>
      <c r="CY36" s="826">
        <v>206.51999999999998</v>
      </c>
      <c r="CZ36" s="826">
        <v>191.88</v>
      </c>
      <c r="DA36" s="826">
        <v>190.41</v>
      </c>
      <c r="DB36" s="826">
        <v>180.73000000000002</v>
      </c>
      <c r="DC36" s="826">
        <v>182.85</v>
      </c>
      <c r="DD36" s="826">
        <v>154.84444999999999</v>
      </c>
      <c r="DE36" s="826">
        <v>189.91</v>
      </c>
      <c r="DF36" s="826">
        <v>194.51</v>
      </c>
      <c r="DG36" s="826">
        <v>207.11</v>
      </c>
      <c r="DH36" s="826">
        <v>187.88</v>
      </c>
      <c r="DI36" s="501" t="s">
        <v>273</v>
      </c>
      <c r="DJ36" s="827">
        <f t="shared" si="25"/>
        <v>156.35710452961675</v>
      </c>
      <c r="DK36" s="828">
        <f t="shared" si="25"/>
        <v>163.26923076923077</v>
      </c>
      <c r="DL36" s="828">
        <f t="shared" si="25"/>
        <v>160.96408317580341</v>
      </c>
      <c r="DM36" s="828">
        <f t="shared" si="25"/>
        <v>157.64885496183203</v>
      </c>
      <c r="DN36" s="828">
        <f t="shared" si="25"/>
        <v>157.02127659574469</v>
      </c>
      <c r="DO36" s="828">
        <f t="shared" si="25"/>
        <v>160.14297729184187</v>
      </c>
      <c r="DP36" s="828">
        <f t="shared" si="25"/>
        <v>160.64888888888891</v>
      </c>
      <c r="DQ36" s="828">
        <f t="shared" si="25"/>
        <v>152.62938230383975</v>
      </c>
      <c r="DR36" s="828">
        <f t="shared" si="23"/>
        <v>125.88979674796747</v>
      </c>
      <c r="DS36" s="828">
        <f t="shared" si="23"/>
        <v>160.39695945945945</v>
      </c>
      <c r="DT36" s="828">
        <f t="shared" si="23"/>
        <v>160.22240527182865</v>
      </c>
      <c r="DU36" s="828">
        <f t="shared" si="23"/>
        <v>159.68388589051656</v>
      </c>
      <c r="DV36" s="828">
        <f t="shared" si="23"/>
        <v>159.3553859202714</v>
      </c>
    </row>
    <row r="37" spans="1:127" ht="11" customHeight="1">
      <c r="A37" s="778" t="s">
        <v>402</v>
      </c>
      <c r="B37" s="812"/>
      <c r="C37" s="812"/>
      <c r="D37" s="812"/>
      <c r="E37" s="812"/>
      <c r="F37" s="812"/>
      <c r="G37" s="812"/>
      <c r="H37" s="812"/>
      <c r="I37" s="812"/>
      <c r="J37" s="829"/>
      <c r="K37" s="829"/>
      <c r="L37" s="829"/>
      <c r="M37" s="829"/>
      <c r="N37" s="829"/>
      <c r="O37" s="778" t="s">
        <v>402</v>
      </c>
      <c r="P37" s="812"/>
      <c r="Q37" s="812"/>
      <c r="R37" s="812"/>
      <c r="S37" s="812"/>
      <c r="T37" s="812"/>
      <c r="U37" s="812"/>
      <c r="V37" s="812"/>
      <c r="W37" s="812"/>
      <c r="X37" s="830"/>
      <c r="Y37" s="830"/>
      <c r="Z37" s="830"/>
      <c r="AA37" s="830"/>
      <c r="AB37" s="830"/>
      <c r="AC37" s="778" t="s">
        <v>402</v>
      </c>
      <c r="AD37" s="812"/>
      <c r="AE37" s="812"/>
      <c r="AF37" s="812"/>
      <c r="AG37" s="812"/>
      <c r="AH37" s="812"/>
      <c r="AI37" s="812"/>
      <c r="AJ37" s="812"/>
      <c r="AK37" s="812"/>
      <c r="AL37" s="831"/>
      <c r="AM37" s="831"/>
      <c r="AN37" s="831"/>
      <c r="AO37" s="831"/>
      <c r="AP37" s="831"/>
      <c r="AQ37" s="778" t="s">
        <v>402</v>
      </c>
      <c r="AR37" s="812"/>
      <c r="AS37" s="812"/>
      <c r="AT37" s="812"/>
      <c r="AU37" s="812"/>
      <c r="AV37" s="812"/>
      <c r="AW37" s="812"/>
      <c r="AX37" s="812"/>
      <c r="AY37" s="812"/>
      <c r="AZ37" s="829"/>
      <c r="BA37" s="829"/>
      <c r="BB37" s="829"/>
      <c r="BC37" s="829"/>
      <c r="BD37" s="829"/>
      <c r="BE37" s="778" t="s">
        <v>402</v>
      </c>
      <c r="BF37" s="812"/>
      <c r="BG37" s="812"/>
      <c r="BH37" s="812"/>
      <c r="BI37" s="812"/>
      <c r="BJ37" s="812"/>
      <c r="BK37" s="812"/>
      <c r="BL37" s="812"/>
      <c r="BM37" s="812"/>
      <c r="BN37" s="830"/>
      <c r="BO37" s="830"/>
      <c r="BP37" s="830"/>
      <c r="BQ37" s="830"/>
      <c r="BR37" s="830"/>
      <c r="BS37" s="778" t="s">
        <v>402</v>
      </c>
      <c r="BT37" s="812"/>
      <c r="BU37" s="812"/>
      <c r="BV37" s="812"/>
      <c r="BW37" s="812"/>
      <c r="BX37" s="812"/>
      <c r="BY37" s="812"/>
      <c r="BZ37" s="812"/>
      <c r="CA37" s="812"/>
      <c r="CB37" s="830"/>
      <c r="CC37" s="830"/>
      <c r="CD37" s="830"/>
      <c r="CE37" s="830"/>
      <c r="CF37" s="830"/>
      <c r="CG37" s="778" t="s">
        <v>402</v>
      </c>
      <c r="CH37" s="812"/>
      <c r="CI37" s="812"/>
      <c r="CJ37" s="812"/>
      <c r="CK37" s="812"/>
      <c r="CL37" s="812"/>
      <c r="CM37" s="812"/>
      <c r="CN37" s="812"/>
      <c r="CO37" s="812"/>
      <c r="CP37" s="829"/>
      <c r="CQ37" s="829"/>
      <c r="CR37" s="829"/>
      <c r="CS37" s="829"/>
      <c r="CT37" s="829"/>
      <c r="CU37" s="778" t="s">
        <v>402</v>
      </c>
      <c r="CV37" s="812"/>
      <c r="CW37" s="812"/>
      <c r="CX37" s="812"/>
      <c r="CY37" s="812"/>
      <c r="CZ37" s="812"/>
      <c r="DA37" s="812"/>
      <c r="DB37" s="812"/>
      <c r="DC37" s="812"/>
      <c r="DD37" s="830"/>
      <c r="DE37" s="830"/>
      <c r="DF37" s="830"/>
      <c r="DG37" s="830"/>
      <c r="DH37" s="830"/>
      <c r="DI37" s="778" t="s">
        <v>402</v>
      </c>
      <c r="DJ37" s="812"/>
      <c r="DK37" s="812"/>
      <c r="DL37" s="812"/>
      <c r="DM37" s="812"/>
      <c r="DN37" s="812"/>
      <c r="DO37" s="812"/>
      <c r="DP37" s="812"/>
      <c r="DQ37" s="812"/>
      <c r="DR37" s="830"/>
      <c r="DS37" s="830"/>
      <c r="DT37" s="830"/>
      <c r="DU37" s="830"/>
      <c r="DV37" s="830"/>
      <c r="DW37" s="29"/>
    </row>
    <row r="38" spans="1:127" ht="9" customHeight="1">
      <c r="A38" s="778" t="s">
        <v>359</v>
      </c>
      <c r="B38" s="812"/>
      <c r="C38" s="812"/>
      <c r="D38" s="812"/>
      <c r="E38" s="812"/>
      <c r="F38" s="812"/>
      <c r="G38" s="812"/>
      <c r="H38" s="812"/>
      <c r="I38" s="812"/>
      <c r="J38" s="829"/>
      <c r="K38" s="829"/>
      <c r="L38" s="832"/>
      <c r="M38" s="829"/>
      <c r="N38" s="829"/>
      <c r="O38" s="778" t="s">
        <v>359</v>
      </c>
      <c r="P38" s="812"/>
      <c r="Q38" s="812"/>
      <c r="R38" s="812"/>
      <c r="S38" s="812"/>
      <c r="T38" s="812"/>
      <c r="U38" s="812"/>
      <c r="V38" s="812"/>
      <c r="W38" s="812"/>
      <c r="X38" s="829"/>
      <c r="Y38" s="829"/>
      <c r="Z38" s="832"/>
      <c r="AA38" s="829"/>
      <c r="AB38" s="829"/>
      <c r="AC38" s="778" t="s">
        <v>359</v>
      </c>
      <c r="AD38" s="812"/>
      <c r="AE38" s="812"/>
      <c r="AF38" s="812"/>
      <c r="AG38" s="812"/>
      <c r="AH38" s="812"/>
      <c r="AI38" s="812"/>
      <c r="AJ38" s="812"/>
      <c r="AK38" s="812"/>
      <c r="AL38" s="831"/>
      <c r="AM38" s="831"/>
      <c r="AN38" s="831"/>
      <c r="AO38" s="831"/>
      <c r="AP38" s="831"/>
      <c r="AQ38" s="778" t="s">
        <v>359</v>
      </c>
      <c r="AR38" s="812"/>
      <c r="AS38" s="812"/>
      <c r="AT38" s="812"/>
      <c r="AU38" s="812"/>
      <c r="AV38" s="812"/>
      <c r="AW38" s="812"/>
      <c r="AX38" s="812"/>
      <c r="AY38" s="812"/>
      <c r="AZ38" s="833"/>
      <c r="BA38" s="829"/>
      <c r="BB38" s="832"/>
      <c r="BC38" s="829"/>
      <c r="BD38" s="829"/>
      <c r="BE38" s="778" t="s">
        <v>359</v>
      </c>
      <c r="BF38" s="812"/>
      <c r="BG38" s="812"/>
      <c r="BH38" s="812"/>
      <c r="BI38" s="812"/>
      <c r="BJ38" s="812"/>
      <c r="BK38" s="812"/>
      <c r="BL38" s="812"/>
      <c r="BM38" s="812"/>
      <c r="BN38" s="833"/>
      <c r="BO38" s="829"/>
      <c r="BP38" s="832"/>
      <c r="BQ38" s="829"/>
      <c r="BR38" s="829"/>
      <c r="BS38" s="778" t="s">
        <v>359</v>
      </c>
      <c r="BT38" s="812"/>
      <c r="BU38" s="812"/>
      <c r="BV38" s="812"/>
      <c r="BW38" s="812"/>
      <c r="BX38" s="812"/>
      <c r="BY38" s="812"/>
      <c r="BZ38" s="812"/>
      <c r="CA38" s="812"/>
      <c r="CB38" s="833"/>
      <c r="CC38" s="829"/>
      <c r="CD38" s="832"/>
      <c r="CE38" s="829"/>
      <c r="CF38" s="829"/>
      <c r="CG38" s="778" t="s">
        <v>359</v>
      </c>
      <c r="CH38" s="812"/>
      <c r="CI38" s="812"/>
      <c r="CJ38" s="812"/>
      <c r="CK38" s="812"/>
      <c r="CL38" s="812"/>
      <c r="CM38" s="812"/>
      <c r="CN38" s="812"/>
      <c r="CO38" s="812"/>
      <c r="CP38" s="829"/>
      <c r="CQ38" s="829"/>
      <c r="CR38" s="832"/>
      <c r="CS38" s="829"/>
      <c r="CT38" s="829"/>
      <c r="CU38" s="778" t="s">
        <v>359</v>
      </c>
      <c r="CV38" s="812"/>
      <c r="CW38" s="812"/>
      <c r="CX38" s="812"/>
      <c r="CY38" s="812"/>
      <c r="CZ38" s="812"/>
      <c r="DA38" s="812"/>
      <c r="DB38" s="812"/>
      <c r="DC38" s="812"/>
      <c r="DD38" s="829"/>
      <c r="DE38" s="829"/>
      <c r="DF38" s="832"/>
      <c r="DG38" s="829"/>
      <c r="DH38" s="829"/>
      <c r="DI38" s="778" t="s">
        <v>359</v>
      </c>
      <c r="DJ38" s="812"/>
      <c r="DK38" s="812"/>
      <c r="DL38" s="812"/>
      <c r="DM38" s="812"/>
      <c r="DN38" s="812"/>
      <c r="DO38" s="812"/>
      <c r="DP38" s="812"/>
      <c r="DQ38" s="812"/>
      <c r="DR38" s="829"/>
      <c r="DS38" s="829"/>
      <c r="DT38" s="832"/>
      <c r="DU38" s="829"/>
      <c r="DV38" s="829"/>
      <c r="DW38" s="29"/>
    </row>
    <row r="39" spans="1:127" s="27" customFormat="1" ht="9" customHeight="1">
      <c r="A39" s="780" t="s">
        <v>358</v>
      </c>
      <c r="B39" s="812"/>
      <c r="C39" s="812"/>
      <c r="D39" s="812"/>
      <c r="E39" s="812"/>
      <c r="F39" s="812"/>
      <c r="G39" s="812"/>
      <c r="H39" s="812"/>
      <c r="I39" s="812"/>
      <c r="J39" s="832"/>
      <c r="K39" s="832"/>
      <c r="L39" s="832"/>
      <c r="M39" s="832"/>
      <c r="N39" s="832"/>
      <c r="O39" s="780" t="s">
        <v>358</v>
      </c>
      <c r="P39" s="812"/>
      <c r="Q39" s="812"/>
      <c r="R39" s="812"/>
      <c r="S39" s="812"/>
      <c r="T39" s="812"/>
      <c r="U39" s="812"/>
      <c r="V39" s="812"/>
      <c r="W39" s="812"/>
      <c r="X39" s="832"/>
      <c r="Y39" s="832"/>
      <c r="Z39" s="832"/>
      <c r="AA39" s="832"/>
      <c r="AB39" s="832"/>
      <c r="AC39" s="780" t="s">
        <v>358</v>
      </c>
      <c r="AD39" s="812"/>
      <c r="AE39" s="812"/>
      <c r="AF39" s="812"/>
      <c r="AG39" s="812"/>
      <c r="AH39" s="812"/>
      <c r="AI39" s="812"/>
      <c r="AJ39" s="812"/>
      <c r="AK39" s="812"/>
      <c r="AL39" s="834"/>
      <c r="AM39" s="834"/>
      <c r="AN39" s="834"/>
      <c r="AO39" s="834"/>
      <c r="AP39" s="834"/>
      <c r="AQ39" s="780" t="s">
        <v>358</v>
      </c>
      <c r="AR39" s="812"/>
      <c r="AS39" s="812"/>
      <c r="AT39" s="812"/>
      <c r="AU39" s="812"/>
      <c r="AV39" s="812"/>
      <c r="AW39" s="812"/>
      <c r="AX39" s="812"/>
      <c r="AY39" s="812"/>
      <c r="AZ39" s="832"/>
      <c r="BA39" s="832"/>
      <c r="BB39" s="832"/>
      <c r="BC39" s="832"/>
      <c r="BD39" s="832"/>
      <c r="BE39" s="780" t="s">
        <v>358</v>
      </c>
      <c r="BF39" s="812"/>
      <c r="BG39" s="812"/>
      <c r="BH39" s="812"/>
      <c r="BI39" s="812"/>
      <c r="BJ39" s="812"/>
      <c r="BK39" s="812"/>
      <c r="BL39" s="812"/>
      <c r="BM39" s="812"/>
      <c r="BN39" s="832"/>
      <c r="BO39" s="832"/>
      <c r="BP39" s="832"/>
      <c r="BQ39" s="832"/>
      <c r="BR39" s="832"/>
      <c r="BS39" s="780" t="s">
        <v>358</v>
      </c>
      <c r="BT39" s="812"/>
      <c r="BU39" s="812"/>
      <c r="BV39" s="812"/>
      <c r="BW39" s="812"/>
      <c r="BX39" s="812"/>
      <c r="BY39" s="812"/>
      <c r="BZ39" s="812"/>
      <c r="CA39" s="812"/>
      <c r="CB39" s="832"/>
      <c r="CC39" s="832"/>
      <c r="CD39" s="832"/>
      <c r="CE39" s="832"/>
      <c r="CF39" s="832"/>
      <c r="CG39" s="780" t="s">
        <v>358</v>
      </c>
      <c r="CH39" s="812"/>
      <c r="CI39" s="812"/>
      <c r="CJ39" s="812"/>
      <c r="CK39" s="812"/>
      <c r="CL39" s="812"/>
      <c r="CM39" s="812"/>
      <c r="CN39" s="812"/>
      <c r="CO39" s="812"/>
      <c r="CP39" s="832"/>
      <c r="CQ39" s="832"/>
      <c r="CR39" s="832"/>
      <c r="CS39" s="832"/>
      <c r="CT39" s="832"/>
      <c r="CU39" s="780" t="s">
        <v>358</v>
      </c>
      <c r="CV39" s="812"/>
      <c r="CW39" s="812"/>
      <c r="CX39" s="812"/>
      <c r="CY39" s="812"/>
      <c r="CZ39" s="812"/>
      <c r="DA39" s="812"/>
      <c r="DB39" s="812"/>
      <c r="DC39" s="812"/>
      <c r="DD39" s="832"/>
      <c r="DE39" s="832"/>
      <c r="DF39" s="832"/>
      <c r="DG39" s="832"/>
      <c r="DH39" s="832"/>
      <c r="DI39" s="780" t="s">
        <v>358</v>
      </c>
      <c r="DJ39" s="812"/>
      <c r="DK39" s="812"/>
      <c r="DL39" s="812"/>
      <c r="DM39" s="812"/>
      <c r="DN39" s="812"/>
      <c r="DO39" s="812"/>
      <c r="DP39" s="812"/>
      <c r="DQ39" s="812"/>
      <c r="DR39" s="832"/>
      <c r="DS39" s="832"/>
      <c r="DT39" s="832"/>
      <c r="DU39" s="832"/>
      <c r="DV39" s="832"/>
      <c r="DW39" s="281"/>
    </row>
    <row r="40" spans="1:127" ht="13.25" customHeight="1">
      <c r="DI40" s="31"/>
    </row>
    <row r="41" spans="1:127" ht="13.25" customHeight="1">
      <c r="DI41" s="31"/>
    </row>
    <row r="42" spans="1:127" ht="13.25" customHeight="1">
      <c r="DI42" s="31"/>
    </row>
    <row r="43" spans="1:127" ht="13.25" customHeight="1">
      <c r="DI43" s="31"/>
    </row>
    <row r="44" spans="1:127" ht="13.25" customHeight="1">
      <c r="DI44" s="31"/>
    </row>
    <row r="45" spans="1:127" ht="13.25" customHeight="1">
      <c r="DI45" s="31"/>
    </row>
    <row r="46" spans="1:127" ht="13.25" customHeight="1">
      <c r="DI46" s="31"/>
    </row>
    <row r="47" spans="1:127" ht="13.25" customHeight="1">
      <c r="DI47" s="31"/>
    </row>
    <row r="48" spans="1:127" ht="13.25" customHeight="1">
      <c r="DI48" s="31"/>
    </row>
    <row r="49" spans="113:113" ht="13.25" customHeight="1">
      <c r="DI49" s="31"/>
    </row>
    <row r="50" spans="113:113" ht="13.25" customHeight="1">
      <c r="DI50" s="31"/>
    </row>
    <row r="51" spans="113:113" ht="13.25" customHeight="1">
      <c r="DI51" s="31"/>
    </row>
    <row r="52" spans="113:113" ht="13.25" customHeight="1">
      <c r="DI52" s="31"/>
    </row>
    <row r="53" spans="113:113" ht="13.25" customHeight="1">
      <c r="DI53" s="31"/>
    </row>
    <row r="54" spans="113:113" ht="13.25" customHeight="1">
      <c r="DI54" s="31"/>
    </row>
    <row r="55" spans="113:113" ht="13.25" customHeight="1" thickBot="1">
      <c r="DI55" s="32"/>
    </row>
  </sheetData>
  <printOptions horizontalCentered="1" verticalCentered="1" gridLinesSet="0"/>
  <pageMargins left="0" right="0" top="0" bottom="0" header="0" footer="0"/>
  <pageSetup paperSize="9" orientation="landscape"/>
  <headerFooter scaleWithDoc="0" alignWithMargins="0"/>
  <colBreaks count="8" manualBreakCount="8">
    <brk id="14" max="1048575" man="1"/>
    <brk id="28" min="1" max="38" man="1"/>
    <brk id="42" max="1048575" man="1"/>
    <brk id="56" max="1048575" man="1"/>
    <brk id="70" min="1" max="38" man="1"/>
    <brk id="84" max="1048575" man="1"/>
    <brk id="98" max="1048575" man="1"/>
    <brk id="112" min="1" max="38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93">
    <tabColor theme="9" tint="0.59999389629810485"/>
  </sheetPr>
  <dimension ref="A1"/>
  <sheetViews>
    <sheetView showGridLines="0" zoomScaleNormal="100" workbookViewId="0">
      <selection activeCell="A33" sqref="A33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syncVertical="1" syncRef="A1" transitionEvaluation="1" codeName="Hoja94">
    <tabColor theme="9" tint="0.59999389629810485"/>
  </sheetPr>
  <dimension ref="A1:X63"/>
  <sheetViews>
    <sheetView showGridLines="0" zoomScaleNormal="100" workbookViewId="0">
      <selection activeCell="P59" sqref="P59"/>
    </sheetView>
  </sheetViews>
  <sheetFormatPr baseColWidth="10" defaultColWidth="9.796875" defaultRowHeight="13.25" customHeight="1"/>
  <cols>
    <col min="1" max="1" width="7.3984375" style="293" customWidth="1"/>
    <col min="2" max="3" width="9.19921875" style="293" customWidth="1"/>
    <col min="4" max="9" width="8" style="293" customWidth="1"/>
    <col min="10" max="11" width="8.3984375" style="293" customWidth="1"/>
    <col min="12" max="12" width="8" style="293" customWidth="1"/>
    <col min="13" max="13" width="8.3984375" style="293" customWidth="1"/>
    <col min="14" max="256" width="9.796875" style="293"/>
    <col min="257" max="257" width="7.3984375" style="293" customWidth="1"/>
    <col min="258" max="258" width="9.3984375" style="293" customWidth="1"/>
    <col min="259" max="259" width="8.3984375" style="293" customWidth="1"/>
    <col min="260" max="260" width="9.19921875" style="293" customWidth="1"/>
    <col min="261" max="261" width="9" style="293" customWidth="1"/>
    <col min="262" max="263" width="9.3984375" style="293" customWidth="1"/>
    <col min="264" max="264" width="8.796875" style="293" customWidth="1"/>
    <col min="265" max="265" width="8.3984375" style="293" customWidth="1"/>
    <col min="266" max="266" width="1.19921875" style="293" customWidth="1"/>
    <col min="267" max="267" width="10.3984375" style="293" customWidth="1"/>
    <col min="268" max="268" width="1.3984375" style="293" customWidth="1"/>
    <col min="269" max="269" width="8.3984375" style="293" customWidth="1"/>
    <col min="270" max="512" width="9.796875" style="293"/>
    <col min="513" max="513" width="7.3984375" style="293" customWidth="1"/>
    <col min="514" max="514" width="9.3984375" style="293" customWidth="1"/>
    <col min="515" max="515" width="8.3984375" style="293" customWidth="1"/>
    <col min="516" max="516" width="9.19921875" style="293" customWidth="1"/>
    <col min="517" max="517" width="9" style="293" customWidth="1"/>
    <col min="518" max="519" width="9.3984375" style="293" customWidth="1"/>
    <col min="520" max="520" width="8.796875" style="293" customWidth="1"/>
    <col min="521" max="521" width="8.3984375" style="293" customWidth="1"/>
    <col min="522" max="522" width="1.19921875" style="293" customWidth="1"/>
    <col min="523" max="523" width="10.3984375" style="293" customWidth="1"/>
    <col min="524" max="524" width="1.3984375" style="293" customWidth="1"/>
    <col min="525" max="525" width="8.3984375" style="293" customWidth="1"/>
    <col min="526" max="768" width="9.796875" style="293"/>
    <col min="769" max="769" width="7.3984375" style="293" customWidth="1"/>
    <col min="770" max="770" width="9.3984375" style="293" customWidth="1"/>
    <col min="771" max="771" width="8.3984375" style="293" customWidth="1"/>
    <col min="772" max="772" width="9.19921875" style="293" customWidth="1"/>
    <col min="773" max="773" width="9" style="293" customWidth="1"/>
    <col min="774" max="775" width="9.3984375" style="293" customWidth="1"/>
    <col min="776" max="776" width="8.796875" style="293" customWidth="1"/>
    <col min="777" max="777" width="8.3984375" style="293" customWidth="1"/>
    <col min="778" max="778" width="1.19921875" style="293" customWidth="1"/>
    <col min="779" max="779" width="10.3984375" style="293" customWidth="1"/>
    <col min="780" max="780" width="1.3984375" style="293" customWidth="1"/>
    <col min="781" max="781" width="8.3984375" style="293" customWidth="1"/>
    <col min="782" max="1024" width="9.796875" style="293"/>
    <col min="1025" max="1025" width="7.3984375" style="293" customWidth="1"/>
    <col min="1026" max="1026" width="9.3984375" style="293" customWidth="1"/>
    <col min="1027" max="1027" width="8.3984375" style="293" customWidth="1"/>
    <col min="1028" max="1028" width="9.19921875" style="293" customWidth="1"/>
    <col min="1029" max="1029" width="9" style="293" customWidth="1"/>
    <col min="1030" max="1031" width="9.3984375" style="293" customWidth="1"/>
    <col min="1032" max="1032" width="8.796875" style="293" customWidth="1"/>
    <col min="1033" max="1033" width="8.3984375" style="293" customWidth="1"/>
    <col min="1034" max="1034" width="1.19921875" style="293" customWidth="1"/>
    <col min="1035" max="1035" width="10.3984375" style="293" customWidth="1"/>
    <col min="1036" max="1036" width="1.3984375" style="293" customWidth="1"/>
    <col min="1037" max="1037" width="8.3984375" style="293" customWidth="1"/>
    <col min="1038" max="1280" width="9.796875" style="293"/>
    <col min="1281" max="1281" width="7.3984375" style="293" customWidth="1"/>
    <col min="1282" max="1282" width="9.3984375" style="293" customWidth="1"/>
    <col min="1283" max="1283" width="8.3984375" style="293" customWidth="1"/>
    <col min="1284" max="1284" width="9.19921875" style="293" customWidth="1"/>
    <col min="1285" max="1285" width="9" style="293" customWidth="1"/>
    <col min="1286" max="1287" width="9.3984375" style="293" customWidth="1"/>
    <col min="1288" max="1288" width="8.796875" style="293" customWidth="1"/>
    <col min="1289" max="1289" width="8.3984375" style="293" customWidth="1"/>
    <col min="1290" max="1290" width="1.19921875" style="293" customWidth="1"/>
    <col min="1291" max="1291" width="10.3984375" style="293" customWidth="1"/>
    <col min="1292" max="1292" width="1.3984375" style="293" customWidth="1"/>
    <col min="1293" max="1293" width="8.3984375" style="293" customWidth="1"/>
    <col min="1294" max="1536" width="9.796875" style="293"/>
    <col min="1537" max="1537" width="7.3984375" style="293" customWidth="1"/>
    <col min="1538" max="1538" width="9.3984375" style="293" customWidth="1"/>
    <col min="1539" max="1539" width="8.3984375" style="293" customWidth="1"/>
    <col min="1540" max="1540" width="9.19921875" style="293" customWidth="1"/>
    <col min="1541" max="1541" width="9" style="293" customWidth="1"/>
    <col min="1542" max="1543" width="9.3984375" style="293" customWidth="1"/>
    <col min="1544" max="1544" width="8.796875" style="293" customWidth="1"/>
    <col min="1545" max="1545" width="8.3984375" style="293" customWidth="1"/>
    <col min="1546" max="1546" width="1.19921875" style="293" customWidth="1"/>
    <col min="1547" max="1547" width="10.3984375" style="293" customWidth="1"/>
    <col min="1548" max="1548" width="1.3984375" style="293" customWidth="1"/>
    <col min="1549" max="1549" width="8.3984375" style="293" customWidth="1"/>
    <col min="1550" max="1792" width="9.796875" style="293"/>
    <col min="1793" max="1793" width="7.3984375" style="293" customWidth="1"/>
    <col min="1794" max="1794" width="9.3984375" style="293" customWidth="1"/>
    <col min="1795" max="1795" width="8.3984375" style="293" customWidth="1"/>
    <col min="1796" max="1796" width="9.19921875" style="293" customWidth="1"/>
    <col min="1797" max="1797" width="9" style="293" customWidth="1"/>
    <col min="1798" max="1799" width="9.3984375" style="293" customWidth="1"/>
    <col min="1800" max="1800" width="8.796875" style="293" customWidth="1"/>
    <col min="1801" max="1801" width="8.3984375" style="293" customWidth="1"/>
    <col min="1802" max="1802" width="1.19921875" style="293" customWidth="1"/>
    <col min="1803" max="1803" width="10.3984375" style="293" customWidth="1"/>
    <col min="1804" max="1804" width="1.3984375" style="293" customWidth="1"/>
    <col min="1805" max="1805" width="8.3984375" style="293" customWidth="1"/>
    <col min="1806" max="2048" width="9.796875" style="293"/>
    <col min="2049" max="2049" width="7.3984375" style="293" customWidth="1"/>
    <col min="2050" max="2050" width="9.3984375" style="293" customWidth="1"/>
    <col min="2051" max="2051" width="8.3984375" style="293" customWidth="1"/>
    <col min="2052" max="2052" width="9.19921875" style="293" customWidth="1"/>
    <col min="2053" max="2053" width="9" style="293" customWidth="1"/>
    <col min="2054" max="2055" width="9.3984375" style="293" customWidth="1"/>
    <col min="2056" max="2056" width="8.796875" style="293" customWidth="1"/>
    <col min="2057" max="2057" width="8.3984375" style="293" customWidth="1"/>
    <col min="2058" max="2058" width="1.19921875" style="293" customWidth="1"/>
    <col min="2059" max="2059" width="10.3984375" style="293" customWidth="1"/>
    <col min="2060" max="2060" width="1.3984375" style="293" customWidth="1"/>
    <col min="2061" max="2061" width="8.3984375" style="293" customWidth="1"/>
    <col min="2062" max="2304" width="9.796875" style="293"/>
    <col min="2305" max="2305" width="7.3984375" style="293" customWidth="1"/>
    <col min="2306" max="2306" width="9.3984375" style="293" customWidth="1"/>
    <col min="2307" max="2307" width="8.3984375" style="293" customWidth="1"/>
    <col min="2308" max="2308" width="9.19921875" style="293" customWidth="1"/>
    <col min="2309" max="2309" width="9" style="293" customWidth="1"/>
    <col min="2310" max="2311" width="9.3984375" style="293" customWidth="1"/>
    <col min="2312" max="2312" width="8.796875" style="293" customWidth="1"/>
    <col min="2313" max="2313" width="8.3984375" style="293" customWidth="1"/>
    <col min="2314" max="2314" width="1.19921875" style="293" customWidth="1"/>
    <col min="2315" max="2315" width="10.3984375" style="293" customWidth="1"/>
    <col min="2316" max="2316" width="1.3984375" style="293" customWidth="1"/>
    <col min="2317" max="2317" width="8.3984375" style="293" customWidth="1"/>
    <col min="2318" max="2560" width="9.796875" style="293"/>
    <col min="2561" max="2561" width="7.3984375" style="293" customWidth="1"/>
    <col min="2562" max="2562" width="9.3984375" style="293" customWidth="1"/>
    <col min="2563" max="2563" width="8.3984375" style="293" customWidth="1"/>
    <col min="2564" max="2564" width="9.19921875" style="293" customWidth="1"/>
    <col min="2565" max="2565" width="9" style="293" customWidth="1"/>
    <col min="2566" max="2567" width="9.3984375" style="293" customWidth="1"/>
    <col min="2568" max="2568" width="8.796875" style="293" customWidth="1"/>
    <col min="2569" max="2569" width="8.3984375" style="293" customWidth="1"/>
    <col min="2570" max="2570" width="1.19921875" style="293" customWidth="1"/>
    <col min="2571" max="2571" width="10.3984375" style="293" customWidth="1"/>
    <col min="2572" max="2572" width="1.3984375" style="293" customWidth="1"/>
    <col min="2573" max="2573" width="8.3984375" style="293" customWidth="1"/>
    <col min="2574" max="2816" width="9.796875" style="293"/>
    <col min="2817" max="2817" width="7.3984375" style="293" customWidth="1"/>
    <col min="2818" max="2818" width="9.3984375" style="293" customWidth="1"/>
    <col min="2819" max="2819" width="8.3984375" style="293" customWidth="1"/>
    <col min="2820" max="2820" width="9.19921875" style="293" customWidth="1"/>
    <col min="2821" max="2821" width="9" style="293" customWidth="1"/>
    <col min="2822" max="2823" width="9.3984375" style="293" customWidth="1"/>
    <col min="2824" max="2824" width="8.796875" style="293" customWidth="1"/>
    <col min="2825" max="2825" width="8.3984375" style="293" customWidth="1"/>
    <col min="2826" max="2826" width="1.19921875" style="293" customWidth="1"/>
    <col min="2827" max="2827" width="10.3984375" style="293" customWidth="1"/>
    <col min="2828" max="2828" width="1.3984375" style="293" customWidth="1"/>
    <col min="2829" max="2829" width="8.3984375" style="293" customWidth="1"/>
    <col min="2830" max="3072" width="9.796875" style="293"/>
    <col min="3073" max="3073" width="7.3984375" style="293" customWidth="1"/>
    <col min="3074" max="3074" width="9.3984375" style="293" customWidth="1"/>
    <col min="3075" max="3075" width="8.3984375" style="293" customWidth="1"/>
    <col min="3076" max="3076" width="9.19921875" style="293" customWidth="1"/>
    <col min="3077" max="3077" width="9" style="293" customWidth="1"/>
    <col min="3078" max="3079" width="9.3984375" style="293" customWidth="1"/>
    <col min="3080" max="3080" width="8.796875" style="293" customWidth="1"/>
    <col min="3081" max="3081" width="8.3984375" style="293" customWidth="1"/>
    <col min="3082" max="3082" width="1.19921875" style="293" customWidth="1"/>
    <col min="3083" max="3083" width="10.3984375" style="293" customWidth="1"/>
    <col min="3084" max="3084" width="1.3984375" style="293" customWidth="1"/>
    <col min="3085" max="3085" width="8.3984375" style="293" customWidth="1"/>
    <col min="3086" max="3328" width="9.796875" style="293"/>
    <col min="3329" max="3329" width="7.3984375" style="293" customWidth="1"/>
    <col min="3330" max="3330" width="9.3984375" style="293" customWidth="1"/>
    <col min="3331" max="3331" width="8.3984375" style="293" customWidth="1"/>
    <col min="3332" max="3332" width="9.19921875" style="293" customWidth="1"/>
    <col min="3333" max="3333" width="9" style="293" customWidth="1"/>
    <col min="3334" max="3335" width="9.3984375" style="293" customWidth="1"/>
    <col min="3336" max="3336" width="8.796875" style="293" customWidth="1"/>
    <col min="3337" max="3337" width="8.3984375" style="293" customWidth="1"/>
    <col min="3338" max="3338" width="1.19921875" style="293" customWidth="1"/>
    <col min="3339" max="3339" width="10.3984375" style="293" customWidth="1"/>
    <col min="3340" max="3340" width="1.3984375" style="293" customWidth="1"/>
    <col min="3341" max="3341" width="8.3984375" style="293" customWidth="1"/>
    <col min="3342" max="3584" width="9.796875" style="293"/>
    <col min="3585" max="3585" width="7.3984375" style="293" customWidth="1"/>
    <col min="3586" max="3586" width="9.3984375" style="293" customWidth="1"/>
    <col min="3587" max="3587" width="8.3984375" style="293" customWidth="1"/>
    <col min="3588" max="3588" width="9.19921875" style="293" customWidth="1"/>
    <col min="3589" max="3589" width="9" style="293" customWidth="1"/>
    <col min="3590" max="3591" width="9.3984375" style="293" customWidth="1"/>
    <col min="3592" max="3592" width="8.796875" style="293" customWidth="1"/>
    <col min="3593" max="3593" width="8.3984375" style="293" customWidth="1"/>
    <col min="3594" max="3594" width="1.19921875" style="293" customWidth="1"/>
    <col min="3595" max="3595" width="10.3984375" style="293" customWidth="1"/>
    <col min="3596" max="3596" width="1.3984375" style="293" customWidth="1"/>
    <col min="3597" max="3597" width="8.3984375" style="293" customWidth="1"/>
    <col min="3598" max="3840" width="9.796875" style="293"/>
    <col min="3841" max="3841" width="7.3984375" style="293" customWidth="1"/>
    <col min="3842" max="3842" width="9.3984375" style="293" customWidth="1"/>
    <col min="3843" max="3843" width="8.3984375" style="293" customWidth="1"/>
    <col min="3844" max="3844" width="9.19921875" style="293" customWidth="1"/>
    <col min="3845" max="3845" width="9" style="293" customWidth="1"/>
    <col min="3846" max="3847" width="9.3984375" style="293" customWidth="1"/>
    <col min="3848" max="3848" width="8.796875" style="293" customWidth="1"/>
    <col min="3849" max="3849" width="8.3984375" style="293" customWidth="1"/>
    <col min="3850" max="3850" width="1.19921875" style="293" customWidth="1"/>
    <col min="3851" max="3851" width="10.3984375" style="293" customWidth="1"/>
    <col min="3852" max="3852" width="1.3984375" style="293" customWidth="1"/>
    <col min="3853" max="3853" width="8.3984375" style="293" customWidth="1"/>
    <col min="3854" max="4096" width="9.796875" style="293"/>
    <col min="4097" max="4097" width="7.3984375" style="293" customWidth="1"/>
    <col min="4098" max="4098" width="9.3984375" style="293" customWidth="1"/>
    <col min="4099" max="4099" width="8.3984375" style="293" customWidth="1"/>
    <col min="4100" max="4100" width="9.19921875" style="293" customWidth="1"/>
    <col min="4101" max="4101" width="9" style="293" customWidth="1"/>
    <col min="4102" max="4103" width="9.3984375" style="293" customWidth="1"/>
    <col min="4104" max="4104" width="8.796875" style="293" customWidth="1"/>
    <col min="4105" max="4105" width="8.3984375" style="293" customWidth="1"/>
    <col min="4106" max="4106" width="1.19921875" style="293" customWidth="1"/>
    <col min="4107" max="4107" width="10.3984375" style="293" customWidth="1"/>
    <col min="4108" max="4108" width="1.3984375" style="293" customWidth="1"/>
    <col min="4109" max="4109" width="8.3984375" style="293" customWidth="1"/>
    <col min="4110" max="4352" width="9.796875" style="293"/>
    <col min="4353" max="4353" width="7.3984375" style="293" customWidth="1"/>
    <col min="4354" max="4354" width="9.3984375" style="293" customWidth="1"/>
    <col min="4355" max="4355" width="8.3984375" style="293" customWidth="1"/>
    <col min="4356" max="4356" width="9.19921875" style="293" customWidth="1"/>
    <col min="4357" max="4357" width="9" style="293" customWidth="1"/>
    <col min="4358" max="4359" width="9.3984375" style="293" customWidth="1"/>
    <col min="4360" max="4360" width="8.796875" style="293" customWidth="1"/>
    <col min="4361" max="4361" width="8.3984375" style="293" customWidth="1"/>
    <col min="4362" max="4362" width="1.19921875" style="293" customWidth="1"/>
    <col min="4363" max="4363" width="10.3984375" style="293" customWidth="1"/>
    <col min="4364" max="4364" width="1.3984375" style="293" customWidth="1"/>
    <col min="4365" max="4365" width="8.3984375" style="293" customWidth="1"/>
    <col min="4366" max="4608" width="9.796875" style="293"/>
    <col min="4609" max="4609" width="7.3984375" style="293" customWidth="1"/>
    <col min="4610" max="4610" width="9.3984375" style="293" customWidth="1"/>
    <col min="4611" max="4611" width="8.3984375" style="293" customWidth="1"/>
    <col min="4612" max="4612" width="9.19921875" style="293" customWidth="1"/>
    <col min="4613" max="4613" width="9" style="293" customWidth="1"/>
    <col min="4614" max="4615" width="9.3984375" style="293" customWidth="1"/>
    <col min="4616" max="4616" width="8.796875" style="293" customWidth="1"/>
    <col min="4617" max="4617" width="8.3984375" style="293" customWidth="1"/>
    <col min="4618" max="4618" width="1.19921875" style="293" customWidth="1"/>
    <col min="4619" max="4619" width="10.3984375" style="293" customWidth="1"/>
    <col min="4620" max="4620" width="1.3984375" style="293" customWidth="1"/>
    <col min="4621" max="4621" width="8.3984375" style="293" customWidth="1"/>
    <col min="4622" max="4864" width="9.796875" style="293"/>
    <col min="4865" max="4865" width="7.3984375" style="293" customWidth="1"/>
    <col min="4866" max="4866" width="9.3984375" style="293" customWidth="1"/>
    <col min="4867" max="4867" width="8.3984375" style="293" customWidth="1"/>
    <col min="4868" max="4868" width="9.19921875" style="293" customWidth="1"/>
    <col min="4869" max="4869" width="9" style="293" customWidth="1"/>
    <col min="4870" max="4871" width="9.3984375" style="293" customWidth="1"/>
    <col min="4872" max="4872" width="8.796875" style="293" customWidth="1"/>
    <col min="4873" max="4873" width="8.3984375" style="293" customWidth="1"/>
    <col min="4874" max="4874" width="1.19921875" style="293" customWidth="1"/>
    <col min="4875" max="4875" width="10.3984375" style="293" customWidth="1"/>
    <col min="4876" max="4876" width="1.3984375" style="293" customWidth="1"/>
    <col min="4877" max="4877" width="8.3984375" style="293" customWidth="1"/>
    <col min="4878" max="5120" width="9.796875" style="293"/>
    <col min="5121" max="5121" width="7.3984375" style="293" customWidth="1"/>
    <col min="5122" max="5122" width="9.3984375" style="293" customWidth="1"/>
    <col min="5123" max="5123" width="8.3984375" style="293" customWidth="1"/>
    <col min="5124" max="5124" width="9.19921875" style="293" customWidth="1"/>
    <col min="5125" max="5125" width="9" style="293" customWidth="1"/>
    <col min="5126" max="5127" width="9.3984375" style="293" customWidth="1"/>
    <col min="5128" max="5128" width="8.796875" style="293" customWidth="1"/>
    <col min="5129" max="5129" width="8.3984375" style="293" customWidth="1"/>
    <col min="5130" max="5130" width="1.19921875" style="293" customWidth="1"/>
    <col min="5131" max="5131" width="10.3984375" style="293" customWidth="1"/>
    <col min="5132" max="5132" width="1.3984375" style="293" customWidth="1"/>
    <col min="5133" max="5133" width="8.3984375" style="293" customWidth="1"/>
    <col min="5134" max="5376" width="9.796875" style="293"/>
    <col min="5377" max="5377" width="7.3984375" style="293" customWidth="1"/>
    <col min="5378" max="5378" width="9.3984375" style="293" customWidth="1"/>
    <col min="5379" max="5379" width="8.3984375" style="293" customWidth="1"/>
    <col min="5380" max="5380" width="9.19921875" style="293" customWidth="1"/>
    <col min="5381" max="5381" width="9" style="293" customWidth="1"/>
    <col min="5382" max="5383" width="9.3984375" style="293" customWidth="1"/>
    <col min="5384" max="5384" width="8.796875" style="293" customWidth="1"/>
    <col min="5385" max="5385" width="8.3984375" style="293" customWidth="1"/>
    <col min="5386" max="5386" width="1.19921875" style="293" customWidth="1"/>
    <col min="5387" max="5387" width="10.3984375" style="293" customWidth="1"/>
    <col min="5388" max="5388" width="1.3984375" style="293" customWidth="1"/>
    <col min="5389" max="5389" width="8.3984375" style="293" customWidth="1"/>
    <col min="5390" max="5632" width="9.796875" style="293"/>
    <col min="5633" max="5633" width="7.3984375" style="293" customWidth="1"/>
    <col min="5634" max="5634" width="9.3984375" style="293" customWidth="1"/>
    <col min="5635" max="5635" width="8.3984375" style="293" customWidth="1"/>
    <col min="5636" max="5636" width="9.19921875" style="293" customWidth="1"/>
    <col min="5637" max="5637" width="9" style="293" customWidth="1"/>
    <col min="5638" max="5639" width="9.3984375" style="293" customWidth="1"/>
    <col min="5640" max="5640" width="8.796875" style="293" customWidth="1"/>
    <col min="5641" max="5641" width="8.3984375" style="293" customWidth="1"/>
    <col min="5642" max="5642" width="1.19921875" style="293" customWidth="1"/>
    <col min="5643" max="5643" width="10.3984375" style="293" customWidth="1"/>
    <col min="5644" max="5644" width="1.3984375" style="293" customWidth="1"/>
    <col min="5645" max="5645" width="8.3984375" style="293" customWidth="1"/>
    <col min="5646" max="5888" width="9.796875" style="293"/>
    <col min="5889" max="5889" width="7.3984375" style="293" customWidth="1"/>
    <col min="5890" max="5890" width="9.3984375" style="293" customWidth="1"/>
    <col min="5891" max="5891" width="8.3984375" style="293" customWidth="1"/>
    <col min="5892" max="5892" width="9.19921875" style="293" customWidth="1"/>
    <col min="5893" max="5893" width="9" style="293" customWidth="1"/>
    <col min="5894" max="5895" width="9.3984375" style="293" customWidth="1"/>
    <col min="5896" max="5896" width="8.796875" style="293" customWidth="1"/>
    <col min="5897" max="5897" width="8.3984375" style="293" customWidth="1"/>
    <col min="5898" max="5898" width="1.19921875" style="293" customWidth="1"/>
    <col min="5899" max="5899" width="10.3984375" style="293" customWidth="1"/>
    <col min="5900" max="5900" width="1.3984375" style="293" customWidth="1"/>
    <col min="5901" max="5901" width="8.3984375" style="293" customWidth="1"/>
    <col min="5902" max="6144" width="9.796875" style="293"/>
    <col min="6145" max="6145" width="7.3984375" style="293" customWidth="1"/>
    <col min="6146" max="6146" width="9.3984375" style="293" customWidth="1"/>
    <col min="6147" max="6147" width="8.3984375" style="293" customWidth="1"/>
    <col min="6148" max="6148" width="9.19921875" style="293" customWidth="1"/>
    <col min="6149" max="6149" width="9" style="293" customWidth="1"/>
    <col min="6150" max="6151" width="9.3984375" style="293" customWidth="1"/>
    <col min="6152" max="6152" width="8.796875" style="293" customWidth="1"/>
    <col min="6153" max="6153" width="8.3984375" style="293" customWidth="1"/>
    <col min="6154" max="6154" width="1.19921875" style="293" customWidth="1"/>
    <col min="6155" max="6155" width="10.3984375" style="293" customWidth="1"/>
    <col min="6156" max="6156" width="1.3984375" style="293" customWidth="1"/>
    <col min="6157" max="6157" width="8.3984375" style="293" customWidth="1"/>
    <col min="6158" max="6400" width="9.796875" style="293"/>
    <col min="6401" max="6401" width="7.3984375" style="293" customWidth="1"/>
    <col min="6402" max="6402" width="9.3984375" style="293" customWidth="1"/>
    <col min="6403" max="6403" width="8.3984375" style="293" customWidth="1"/>
    <col min="6404" max="6404" width="9.19921875" style="293" customWidth="1"/>
    <col min="6405" max="6405" width="9" style="293" customWidth="1"/>
    <col min="6406" max="6407" width="9.3984375" style="293" customWidth="1"/>
    <col min="6408" max="6408" width="8.796875" style="293" customWidth="1"/>
    <col min="6409" max="6409" width="8.3984375" style="293" customWidth="1"/>
    <col min="6410" max="6410" width="1.19921875" style="293" customWidth="1"/>
    <col min="6411" max="6411" width="10.3984375" style="293" customWidth="1"/>
    <col min="6412" max="6412" width="1.3984375" style="293" customWidth="1"/>
    <col min="6413" max="6413" width="8.3984375" style="293" customWidth="1"/>
    <col min="6414" max="6656" width="9.796875" style="293"/>
    <col min="6657" max="6657" width="7.3984375" style="293" customWidth="1"/>
    <col min="6658" max="6658" width="9.3984375" style="293" customWidth="1"/>
    <col min="6659" max="6659" width="8.3984375" style="293" customWidth="1"/>
    <col min="6660" max="6660" width="9.19921875" style="293" customWidth="1"/>
    <col min="6661" max="6661" width="9" style="293" customWidth="1"/>
    <col min="6662" max="6663" width="9.3984375" style="293" customWidth="1"/>
    <col min="6664" max="6664" width="8.796875" style="293" customWidth="1"/>
    <col min="6665" max="6665" width="8.3984375" style="293" customWidth="1"/>
    <col min="6666" max="6666" width="1.19921875" style="293" customWidth="1"/>
    <col min="6667" max="6667" width="10.3984375" style="293" customWidth="1"/>
    <col min="6668" max="6668" width="1.3984375" style="293" customWidth="1"/>
    <col min="6669" max="6669" width="8.3984375" style="293" customWidth="1"/>
    <col min="6670" max="6912" width="9.796875" style="293"/>
    <col min="6913" max="6913" width="7.3984375" style="293" customWidth="1"/>
    <col min="6914" max="6914" width="9.3984375" style="293" customWidth="1"/>
    <col min="6915" max="6915" width="8.3984375" style="293" customWidth="1"/>
    <col min="6916" max="6916" width="9.19921875" style="293" customWidth="1"/>
    <col min="6917" max="6917" width="9" style="293" customWidth="1"/>
    <col min="6918" max="6919" width="9.3984375" style="293" customWidth="1"/>
    <col min="6920" max="6920" width="8.796875" style="293" customWidth="1"/>
    <col min="6921" max="6921" width="8.3984375" style="293" customWidth="1"/>
    <col min="6922" max="6922" width="1.19921875" style="293" customWidth="1"/>
    <col min="6923" max="6923" width="10.3984375" style="293" customWidth="1"/>
    <col min="6924" max="6924" width="1.3984375" style="293" customWidth="1"/>
    <col min="6925" max="6925" width="8.3984375" style="293" customWidth="1"/>
    <col min="6926" max="7168" width="9.796875" style="293"/>
    <col min="7169" max="7169" width="7.3984375" style="293" customWidth="1"/>
    <col min="7170" max="7170" width="9.3984375" style="293" customWidth="1"/>
    <col min="7171" max="7171" width="8.3984375" style="293" customWidth="1"/>
    <col min="7172" max="7172" width="9.19921875" style="293" customWidth="1"/>
    <col min="7173" max="7173" width="9" style="293" customWidth="1"/>
    <col min="7174" max="7175" width="9.3984375" style="293" customWidth="1"/>
    <col min="7176" max="7176" width="8.796875" style="293" customWidth="1"/>
    <col min="7177" max="7177" width="8.3984375" style="293" customWidth="1"/>
    <col min="7178" max="7178" width="1.19921875" style="293" customWidth="1"/>
    <col min="7179" max="7179" width="10.3984375" style="293" customWidth="1"/>
    <col min="7180" max="7180" width="1.3984375" style="293" customWidth="1"/>
    <col min="7181" max="7181" width="8.3984375" style="293" customWidth="1"/>
    <col min="7182" max="7424" width="9.796875" style="293"/>
    <col min="7425" max="7425" width="7.3984375" style="293" customWidth="1"/>
    <col min="7426" max="7426" width="9.3984375" style="293" customWidth="1"/>
    <col min="7427" max="7427" width="8.3984375" style="293" customWidth="1"/>
    <col min="7428" max="7428" width="9.19921875" style="293" customWidth="1"/>
    <col min="7429" max="7429" width="9" style="293" customWidth="1"/>
    <col min="7430" max="7431" width="9.3984375" style="293" customWidth="1"/>
    <col min="7432" max="7432" width="8.796875" style="293" customWidth="1"/>
    <col min="7433" max="7433" width="8.3984375" style="293" customWidth="1"/>
    <col min="7434" max="7434" width="1.19921875" style="293" customWidth="1"/>
    <col min="7435" max="7435" width="10.3984375" style="293" customWidth="1"/>
    <col min="7436" max="7436" width="1.3984375" style="293" customWidth="1"/>
    <col min="7437" max="7437" width="8.3984375" style="293" customWidth="1"/>
    <col min="7438" max="7680" width="9.796875" style="293"/>
    <col min="7681" max="7681" width="7.3984375" style="293" customWidth="1"/>
    <col min="7682" max="7682" width="9.3984375" style="293" customWidth="1"/>
    <col min="7683" max="7683" width="8.3984375" style="293" customWidth="1"/>
    <col min="7684" max="7684" width="9.19921875" style="293" customWidth="1"/>
    <col min="7685" max="7685" width="9" style="293" customWidth="1"/>
    <col min="7686" max="7687" width="9.3984375" style="293" customWidth="1"/>
    <col min="7688" max="7688" width="8.796875" style="293" customWidth="1"/>
    <col min="7689" max="7689" width="8.3984375" style="293" customWidth="1"/>
    <col min="7690" max="7690" width="1.19921875" style="293" customWidth="1"/>
    <col min="7691" max="7691" width="10.3984375" style="293" customWidth="1"/>
    <col min="7692" max="7692" width="1.3984375" style="293" customWidth="1"/>
    <col min="7693" max="7693" width="8.3984375" style="293" customWidth="1"/>
    <col min="7694" max="7936" width="9.796875" style="293"/>
    <col min="7937" max="7937" width="7.3984375" style="293" customWidth="1"/>
    <col min="7938" max="7938" width="9.3984375" style="293" customWidth="1"/>
    <col min="7939" max="7939" width="8.3984375" style="293" customWidth="1"/>
    <col min="7940" max="7940" width="9.19921875" style="293" customWidth="1"/>
    <col min="7941" max="7941" width="9" style="293" customWidth="1"/>
    <col min="7942" max="7943" width="9.3984375" style="293" customWidth="1"/>
    <col min="7944" max="7944" width="8.796875" style="293" customWidth="1"/>
    <col min="7945" max="7945" width="8.3984375" style="293" customWidth="1"/>
    <col min="7946" max="7946" width="1.19921875" style="293" customWidth="1"/>
    <col min="7947" max="7947" width="10.3984375" style="293" customWidth="1"/>
    <col min="7948" max="7948" width="1.3984375" style="293" customWidth="1"/>
    <col min="7949" max="7949" width="8.3984375" style="293" customWidth="1"/>
    <col min="7950" max="8192" width="9.796875" style="293"/>
    <col min="8193" max="8193" width="7.3984375" style="293" customWidth="1"/>
    <col min="8194" max="8194" width="9.3984375" style="293" customWidth="1"/>
    <col min="8195" max="8195" width="8.3984375" style="293" customWidth="1"/>
    <col min="8196" max="8196" width="9.19921875" style="293" customWidth="1"/>
    <col min="8197" max="8197" width="9" style="293" customWidth="1"/>
    <col min="8198" max="8199" width="9.3984375" style="293" customWidth="1"/>
    <col min="8200" max="8200" width="8.796875" style="293" customWidth="1"/>
    <col min="8201" max="8201" width="8.3984375" style="293" customWidth="1"/>
    <col min="8202" max="8202" width="1.19921875" style="293" customWidth="1"/>
    <col min="8203" max="8203" width="10.3984375" style="293" customWidth="1"/>
    <col min="8204" max="8204" width="1.3984375" style="293" customWidth="1"/>
    <col min="8205" max="8205" width="8.3984375" style="293" customWidth="1"/>
    <col min="8206" max="8448" width="9.796875" style="293"/>
    <col min="8449" max="8449" width="7.3984375" style="293" customWidth="1"/>
    <col min="8450" max="8450" width="9.3984375" style="293" customWidth="1"/>
    <col min="8451" max="8451" width="8.3984375" style="293" customWidth="1"/>
    <col min="8452" max="8452" width="9.19921875" style="293" customWidth="1"/>
    <col min="8453" max="8453" width="9" style="293" customWidth="1"/>
    <col min="8454" max="8455" width="9.3984375" style="293" customWidth="1"/>
    <col min="8456" max="8456" width="8.796875" style="293" customWidth="1"/>
    <col min="8457" max="8457" width="8.3984375" style="293" customWidth="1"/>
    <col min="8458" max="8458" width="1.19921875" style="293" customWidth="1"/>
    <col min="8459" max="8459" width="10.3984375" style="293" customWidth="1"/>
    <col min="8460" max="8460" width="1.3984375" style="293" customWidth="1"/>
    <col min="8461" max="8461" width="8.3984375" style="293" customWidth="1"/>
    <col min="8462" max="8704" width="9.796875" style="293"/>
    <col min="8705" max="8705" width="7.3984375" style="293" customWidth="1"/>
    <col min="8706" max="8706" width="9.3984375" style="293" customWidth="1"/>
    <col min="8707" max="8707" width="8.3984375" style="293" customWidth="1"/>
    <col min="8708" max="8708" width="9.19921875" style="293" customWidth="1"/>
    <col min="8709" max="8709" width="9" style="293" customWidth="1"/>
    <col min="8710" max="8711" width="9.3984375" style="293" customWidth="1"/>
    <col min="8712" max="8712" width="8.796875" style="293" customWidth="1"/>
    <col min="8713" max="8713" width="8.3984375" style="293" customWidth="1"/>
    <col min="8714" max="8714" width="1.19921875" style="293" customWidth="1"/>
    <col min="8715" max="8715" width="10.3984375" style="293" customWidth="1"/>
    <col min="8716" max="8716" width="1.3984375" style="293" customWidth="1"/>
    <col min="8717" max="8717" width="8.3984375" style="293" customWidth="1"/>
    <col min="8718" max="8960" width="9.796875" style="293"/>
    <col min="8961" max="8961" width="7.3984375" style="293" customWidth="1"/>
    <col min="8962" max="8962" width="9.3984375" style="293" customWidth="1"/>
    <col min="8963" max="8963" width="8.3984375" style="293" customWidth="1"/>
    <col min="8964" max="8964" width="9.19921875" style="293" customWidth="1"/>
    <col min="8965" max="8965" width="9" style="293" customWidth="1"/>
    <col min="8966" max="8967" width="9.3984375" style="293" customWidth="1"/>
    <col min="8968" max="8968" width="8.796875" style="293" customWidth="1"/>
    <col min="8969" max="8969" width="8.3984375" style="293" customWidth="1"/>
    <col min="8970" max="8970" width="1.19921875" style="293" customWidth="1"/>
    <col min="8971" max="8971" width="10.3984375" style="293" customWidth="1"/>
    <col min="8972" max="8972" width="1.3984375" style="293" customWidth="1"/>
    <col min="8973" max="8973" width="8.3984375" style="293" customWidth="1"/>
    <col min="8974" max="9216" width="9.796875" style="293"/>
    <col min="9217" max="9217" width="7.3984375" style="293" customWidth="1"/>
    <col min="9218" max="9218" width="9.3984375" style="293" customWidth="1"/>
    <col min="9219" max="9219" width="8.3984375" style="293" customWidth="1"/>
    <col min="9220" max="9220" width="9.19921875" style="293" customWidth="1"/>
    <col min="9221" max="9221" width="9" style="293" customWidth="1"/>
    <col min="9222" max="9223" width="9.3984375" style="293" customWidth="1"/>
    <col min="9224" max="9224" width="8.796875" style="293" customWidth="1"/>
    <col min="9225" max="9225" width="8.3984375" style="293" customWidth="1"/>
    <col min="9226" max="9226" width="1.19921875" style="293" customWidth="1"/>
    <col min="9227" max="9227" width="10.3984375" style="293" customWidth="1"/>
    <col min="9228" max="9228" width="1.3984375" style="293" customWidth="1"/>
    <col min="9229" max="9229" width="8.3984375" style="293" customWidth="1"/>
    <col min="9230" max="9472" width="9.796875" style="293"/>
    <col min="9473" max="9473" width="7.3984375" style="293" customWidth="1"/>
    <col min="9474" max="9474" width="9.3984375" style="293" customWidth="1"/>
    <col min="9475" max="9475" width="8.3984375" style="293" customWidth="1"/>
    <col min="9476" max="9476" width="9.19921875" style="293" customWidth="1"/>
    <col min="9477" max="9477" width="9" style="293" customWidth="1"/>
    <col min="9478" max="9479" width="9.3984375" style="293" customWidth="1"/>
    <col min="9480" max="9480" width="8.796875" style="293" customWidth="1"/>
    <col min="9481" max="9481" width="8.3984375" style="293" customWidth="1"/>
    <col min="9482" max="9482" width="1.19921875" style="293" customWidth="1"/>
    <col min="9483" max="9483" width="10.3984375" style="293" customWidth="1"/>
    <col min="9484" max="9484" width="1.3984375" style="293" customWidth="1"/>
    <col min="9485" max="9485" width="8.3984375" style="293" customWidth="1"/>
    <col min="9486" max="9728" width="9.796875" style="293"/>
    <col min="9729" max="9729" width="7.3984375" style="293" customWidth="1"/>
    <col min="9730" max="9730" width="9.3984375" style="293" customWidth="1"/>
    <col min="9731" max="9731" width="8.3984375" style="293" customWidth="1"/>
    <col min="9732" max="9732" width="9.19921875" style="293" customWidth="1"/>
    <col min="9733" max="9733" width="9" style="293" customWidth="1"/>
    <col min="9734" max="9735" width="9.3984375" style="293" customWidth="1"/>
    <col min="9736" max="9736" width="8.796875" style="293" customWidth="1"/>
    <col min="9737" max="9737" width="8.3984375" style="293" customWidth="1"/>
    <col min="9738" max="9738" width="1.19921875" style="293" customWidth="1"/>
    <col min="9739" max="9739" width="10.3984375" style="293" customWidth="1"/>
    <col min="9740" max="9740" width="1.3984375" style="293" customWidth="1"/>
    <col min="9741" max="9741" width="8.3984375" style="293" customWidth="1"/>
    <col min="9742" max="9984" width="9.796875" style="293"/>
    <col min="9985" max="9985" width="7.3984375" style="293" customWidth="1"/>
    <col min="9986" max="9986" width="9.3984375" style="293" customWidth="1"/>
    <col min="9987" max="9987" width="8.3984375" style="293" customWidth="1"/>
    <col min="9988" max="9988" width="9.19921875" style="293" customWidth="1"/>
    <col min="9989" max="9989" width="9" style="293" customWidth="1"/>
    <col min="9990" max="9991" width="9.3984375" style="293" customWidth="1"/>
    <col min="9992" max="9992" width="8.796875" style="293" customWidth="1"/>
    <col min="9993" max="9993" width="8.3984375" style="293" customWidth="1"/>
    <col min="9994" max="9994" width="1.19921875" style="293" customWidth="1"/>
    <col min="9995" max="9995" width="10.3984375" style="293" customWidth="1"/>
    <col min="9996" max="9996" width="1.3984375" style="293" customWidth="1"/>
    <col min="9997" max="9997" width="8.3984375" style="293" customWidth="1"/>
    <col min="9998" max="10240" width="9.796875" style="293"/>
    <col min="10241" max="10241" width="7.3984375" style="293" customWidth="1"/>
    <col min="10242" max="10242" width="9.3984375" style="293" customWidth="1"/>
    <col min="10243" max="10243" width="8.3984375" style="293" customWidth="1"/>
    <col min="10244" max="10244" width="9.19921875" style="293" customWidth="1"/>
    <col min="10245" max="10245" width="9" style="293" customWidth="1"/>
    <col min="10246" max="10247" width="9.3984375" style="293" customWidth="1"/>
    <col min="10248" max="10248" width="8.796875" style="293" customWidth="1"/>
    <col min="10249" max="10249" width="8.3984375" style="293" customWidth="1"/>
    <col min="10250" max="10250" width="1.19921875" style="293" customWidth="1"/>
    <col min="10251" max="10251" width="10.3984375" style="293" customWidth="1"/>
    <col min="10252" max="10252" width="1.3984375" style="293" customWidth="1"/>
    <col min="10253" max="10253" width="8.3984375" style="293" customWidth="1"/>
    <col min="10254" max="10496" width="9.796875" style="293"/>
    <col min="10497" max="10497" width="7.3984375" style="293" customWidth="1"/>
    <col min="10498" max="10498" width="9.3984375" style="293" customWidth="1"/>
    <col min="10499" max="10499" width="8.3984375" style="293" customWidth="1"/>
    <col min="10500" max="10500" width="9.19921875" style="293" customWidth="1"/>
    <col min="10501" max="10501" width="9" style="293" customWidth="1"/>
    <col min="10502" max="10503" width="9.3984375" style="293" customWidth="1"/>
    <col min="10504" max="10504" width="8.796875" style="293" customWidth="1"/>
    <col min="10505" max="10505" width="8.3984375" style="293" customWidth="1"/>
    <col min="10506" max="10506" width="1.19921875" style="293" customWidth="1"/>
    <col min="10507" max="10507" width="10.3984375" style="293" customWidth="1"/>
    <col min="10508" max="10508" width="1.3984375" style="293" customWidth="1"/>
    <col min="10509" max="10509" width="8.3984375" style="293" customWidth="1"/>
    <col min="10510" max="10752" width="9.796875" style="293"/>
    <col min="10753" max="10753" width="7.3984375" style="293" customWidth="1"/>
    <col min="10754" max="10754" width="9.3984375" style="293" customWidth="1"/>
    <col min="10755" max="10755" width="8.3984375" style="293" customWidth="1"/>
    <col min="10756" max="10756" width="9.19921875" style="293" customWidth="1"/>
    <col min="10757" max="10757" width="9" style="293" customWidth="1"/>
    <col min="10758" max="10759" width="9.3984375" style="293" customWidth="1"/>
    <col min="10760" max="10760" width="8.796875" style="293" customWidth="1"/>
    <col min="10761" max="10761" width="8.3984375" style="293" customWidth="1"/>
    <col min="10762" max="10762" width="1.19921875" style="293" customWidth="1"/>
    <col min="10763" max="10763" width="10.3984375" style="293" customWidth="1"/>
    <col min="10764" max="10764" width="1.3984375" style="293" customWidth="1"/>
    <col min="10765" max="10765" width="8.3984375" style="293" customWidth="1"/>
    <col min="10766" max="11008" width="9.796875" style="293"/>
    <col min="11009" max="11009" width="7.3984375" style="293" customWidth="1"/>
    <col min="11010" max="11010" width="9.3984375" style="293" customWidth="1"/>
    <col min="11011" max="11011" width="8.3984375" style="293" customWidth="1"/>
    <col min="11012" max="11012" width="9.19921875" style="293" customWidth="1"/>
    <col min="11013" max="11013" width="9" style="293" customWidth="1"/>
    <col min="11014" max="11015" width="9.3984375" style="293" customWidth="1"/>
    <col min="11016" max="11016" width="8.796875" style="293" customWidth="1"/>
    <col min="11017" max="11017" width="8.3984375" style="293" customWidth="1"/>
    <col min="11018" max="11018" width="1.19921875" style="293" customWidth="1"/>
    <col min="11019" max="11019" width="10.3984375" style="293" customWidth="1"/>
    <col min="11020" max="11020" width="1.3984375" style="293" customWidth="1"/>
    <col min="11021" max="11021" width="8.3984375" style="293" customWidth="1"/>
    <col min="11022" max="11264" width="9.796875" style="293"/>
    <col min="11265" max="11265" width="7.3984375" style="293" customWidth="1"/>
    <col min="11266" max="11266" width="9.3984375" style="293" customWidth="1"/>
    <col min="11267" max="11267" width="8.3984375" style="293" customWidth="1"/>
    <col min="11268" max="11268" width="9.19921875" style="293" customWidth="1"/>
    <col min="11269" max="11269" width="9" style="293" customWidth="1"/>
    <col min="11270" max="11271" width="9.3984375" style="293" customWidth="1"/>
    <col min="11272" max="11272" width="8.796875" style="293" customWidth="1"/>
    <col min="11273" max="11273" width="8.3984375" style="293" customWidth="1"/>
    <col min="11274" max="11274" width="1.19921875" style="293" customWidth="1"/>
    <col min="11275" max="11275" width="10.3984375" style="293" customWidth="1"/>
    <col min="11276" max="11276" width="1.3984375" style="293" customWidth="1"/>
    <col min="11277" max="11277" width="8.3984375" style="293" customWidth="1"/>
    <col min="11278" max="11520" width="9.796875" style="293"/>
    <col min="11521" max="11521" width="7.3984375" style="293" customWidth="1"/>
    <col min="11522" max="11522" width="9.3984375" style="293" customWidth="1"/>
    <col min="11523" max="11523" width="8.3984375" style="293" customWidth="1"/>
    <col min="11524" max="11524" width="9.19921875" style="293" customWidth="1"/>
    <col min="11525" max="11525" width="9" style="293" customWidth="1"/>
    <col min="11526" max="11527" width="9.3984375" style="293" customWidth="1"/>
    <col min="11528" max="11528" width="8.796875" style="293" customWidth="1"/>
    <col min="11529" max="11529" width="8.3984375" style="293" customWidth="1"/>
    <col min="11530" max="11530" width="1.19921875" style="293" customWidth="1"/>
    <col min="11531" max="11531" width="10.3984375" style="293" customWidth="1"/>
    <col min="11532" max="11532" width="1.3984375" style="293" customWidth="1"/>
    <col min="11533" max="11533" width="8.3984375" style="293" customWidth="1"/>
    <col min="11534" max="11776" width="9.796875" style="293"/>
    <col min="11777" max="11777" width="7.3984375" style="293" customWidth="1"/>
    <col min="11778" max="11778" width="9.3984375" style="293" customWidth="1"/>
    <col min="11779" max="11779" width="8.3984375" style="293" customWidth="1"/>
    <col min="11780" max="11780" width="9.19921875" style="293" customWidth="1"/>
    <col min="11781" max="11781" width="9" style="293" customWidth="1"/>
    <col min="11782" max="11783" width="9.3984375" style="293" customWidth="1"/>
    <col min="11784" max="11784" width="8.796875" style="293" customWidth="1"/>
    <col min="11785" max="11785" width="8.3984375" style="293" customWidth="1"/>
    <col min="11786" max="11786" width="1.19921875" style="293" customWidth="1"/>
    <col min="11787" max="11787" width="10.3984375" style="293" customWidth="1"/>
    <col min="11788" max="11788" width="1.3984375" style="293" customWidth="1"/>
    <col min="11789" max="11789" width="8.3984375" style="293" customWidth="1"/>
    <col min="11790" max="12032" width="9.796875" style="293"/>
    <col min="12033" max="12033" width="7.3984375" style="293" customWidth="1"/>
    <col min="12034" max="12034" width="9.3984375" style="293" customWidth="1"/>
    <col min="12035" max="12035" width="8.3984375" style="293" customWidth="1"/>
    <col min="12036" max="12036" width="9.19921875" style="293" customWidth="1"/>
    <col min="12037" max="12037" width="9" style="293" customWidth="1"/>
    <col min="12038" max="12039" width="9.3984375" style="293" customWidth="1"/>
    <col min="12040" max="12040" width="8.796875" style="293" customWidth="1"/>
    <col min="12041" max="12041" width="8.3984375" style="293" customWidth="1"/>
    <col min="12042" max="12042" width="1.19921875" style="293" customWidth="1"/>
    <col min="12043" max="12043" width="10.3984375" style="293" customWidth="1"/>
    <col min="12044" max="12044" width="1.3984375" style="293" customWidth="1"/>
    <col min="12045" max="12045" width="8.3984375" style="293" customWidth="1"/>
    <col min="12046" max="12288" width="9.796875" style="293"/>
    <col min="12289" max="12289" width="7.3984375" style="293" customWidth="1"/>
    <col min="12290" max="12290" width="9.3984375" style="293" customWidth="1"/>
    <col min="12291" max="12291" width="8.3984375" style="293" customWidth="1"/>
    <col min="12292" max="12292" width="9.19921875" style="293" customWidth="1"/>
    <col min="12293" max="12293" width="9" style="293" customWidth="1"/>
    <col min="12294" max="12295" width="9.3984375" style="293" customWidth="1"/>
    <col min="12296" max="12296" width="8.796875" style="293" customWidth="1"/>
    <col min="12297" max="12297" width="8.3984375" style="293" customWidth="1"/>
    <col min="12298" max="12298" width="1.19921875" style="293" customWidth="1"/>
    <col min="12299" max="12299" width="10.3984375" style="293" customWidth="1"/>
    <col min="12300" max="12300" width="1.3984375" style="293" customWidth="1"/>
    <col min="12301" max="12301" width="8.3984375" style="293" customWidth="1"/>
    <col min="12302" max="12544" width="9.796875" style="293"/>
    <col min="12545" max="12545" width="7.3984375" style="293" customWidth="1"/>
    <col min="12546" max="12546" width="9.3984375" style="293" customWidth="1"/>
    <col min="12547" max="12547" width="8.3984375" style="293" customWidth="1"/>
    <col min="12548" max="12548" width="9.19921875" style="293" customWidth="1"/>
    <col min="12549" max="12549" width="9" style="293" customWidth="1"/>
    <col min="12550" max="12551" width="9.3984375" style="293" customWidth="1"/>
    <col min="12552" max="12552" width="8.796875" style="293" customWidth="1"/>
    <col min="12553" max="12553" width="8.3984375" style="293" customWidth="1"/>
    <col min="12554" max="12554" width="1.19921875" style="293" customWidth="1"/>
    <col min="12555" max="12555" width="10.3984375" style="293" customWidth="1"/>
    <col min="12556" max="12556" width="1.3984375" style="293" customWidth="1"/>
    <col min="12557" max="12557" width="8.3984375" style="293" customWidth="1"/>
    <col min="12558" max="12800" width="9.796875" style="293"/>
    <col min="12801" max="12801" width="7.3984375" style="293" customWidth="1"/>
    <col min="12802" max="12802" width="9.3984375" style="293" customWidth="1"/>
    <col min="12803" max="12803" width="8.3984375" style="293" customWidth="1"/>
    <col min="12804" max="12804" width="9.19921875" style="293" customWidth="1"/>
    <col min="12805" max="12805" width="9" style="293" customWidth="1"/>
    <col min="12806" max="12807" width="9.3984375" style="293" customWidth="1"/>
    <col min="12808" max="12808" width="8.796875" style="293" customWidth="1"/>
    <col min="12809" max="12809" width="8.3984375" style="293" customWidth="1"/>
    <col min="12810" max="12810" width="1.19921875" style="293" customWidth="1"/>
    <col min="12811" max="12811" width="10.3984375" style="293" customWidth="1"/>
    <col min="12812" max="12812" width="1.3984375" style="293" customWidth="1"/>
    <col min="12813" max="12813" width="8.3984375" style="293" customWidth="1"/>
    <col min="12814" max="13056" width="9.796875" style="293"/>
    <col min="13057" max="13057" width="7.3984375" style="293" customWidth="1"/>
    <col min="13058" max="13058" width="9.3984375" style="293" customWidth="1"/>
    <col min="13059" max="13059" width="8.3984375" style="293" customWidth="1"/>
    <col min="13060" max="13060" width="9.19921875" style="293" customWidth="1"/>
    <col min="13061" max="13061" width="9" style="293" customWidth="1"/>
    <col min="13062" max="13063" width="9.3984375" style="293" customWidth="1"/>
    <col min="13064" max="13064" width="8.796875" style="293" customWidth="1"/>
    <col min="13065" max="13065" width="8.3984375" style="293" customWidth="1"/>
    <col min="13066" max="13066" width="1.19921875" style="293" customWidth="1"/>
    <col min="13067" max="13067" width="10.3984375" style="293" customWidth="1"/>
    <col min="13068" max="13068" width="1.3984375" style="293" customWidth="1"/>
    <col min="13069" max="13069" width="8.3984375" style="293" customWidth="1"/>
    <col min="13070" max="13312" width="9.796875" style="293"/>
    <col min="13313" max="13313" width="7.3984375" style="293" customWidth="1"/>
    <col min="13314" max="13314" width="9.3984375" style="293" customWidth="1"/>
    <col min="13315" max="13315" width="8.3984375" style="293" customWidth="1"/>
    <col min="13316" max="13316" width="9.19921875" style="293" customWidth="1"/>
    <col min="13317" max="13317" width="9" style="293" customWidth="1"/>
    <col min="13318" max="13319" width="9.3984375" style="293" customWidth="1"/>
    <col min="13320" max="13320" width="8.796875" style="293" customWidth="1"/>
    <col min="13321" max="13321" width="8.3984375" style="293" customWidth="1"/>
    <col min="13322" max="13322" width="1.19921875" style="293" customWidth="1"/>
    <col min="13323" max="13323" width="10.3984375" style="293" customWidth="1"/>
    <col min="13324" max="13324" width="1.3984375" style="293" customWidth="1"/>
    <col min="13325" max="13325" width="8.3984375" style="293" customWidth="1"/>
    <col min="13326" max="13568" width="9.796875" style="293"/>
    <col min="13569" max="13569" width="7.3984375" style="293" customWidth="1"/>
    <col min="13570" max="13570" width="9.3984375" style="293" customWidth="1"/>
    <col min="13571" max="13571" width="8.3984375" style="293" customWidth="1"/>
    <col min="13572" max="13572" width="9.19921875" style="293" customWidth="1"/>
    <col min="13573" max="13573" width="9" style="293" customWidth="1"/>
    <col min="13574" max="13575" width="9.3984375" style="293" customWidth="1"/>
    <col min="13576" max="13576" width="8.796875" style="293" customWidth="1"/>
    <col min="13577" max="13577" width="8.3984375" style="293" customWidth="1"/>
    <col min="13578" max="13578" width="1.19921875" style="293" customWidth="1"/>
    <col min="13579" max="13579" width="10.3984375" style="293" customWidth="1"/>
    <col min="13580" max="13580" width="1.3984375" style="293" customWidth="1"/>
    <col min="13581" max="13581" width="8.3984375" style="293" customWidth="1"/>
    <col min="13582" max="13824" width="9.796875" style="293"/>
    <col min="13825" max="13825" width="7.3984375" style="293" customWidth="1"/>
    <col min="13826" max="13826" width="9.3984375" style="293" customWidth="1"/>
    <col min="13827" max="13827" width="8.3984375" style="293" customWidth="1"/>
    <col min="13828" max="13828" width="9.19921875" style="293" customWidth="1"/>
    <col min="13829" max="13829" width="9" style="293" customWidth="1"/>
    <col min="13830" max="13831" width="9.3984375" style="293" customWidth="1"/>
    <col min="13832" max="13832" width="8.796875" style="293" customWidth="1"/>
    <col min="13833" max="13833" width="8.3984375" style="293" customWidth="1"/>
    <col min="13834" max="13834" width="1.19921875" style="293" customWidth="1"/>
    <col min="13835" max="13835" width="10.3984375" style="293" customWidth="1"/>
    <col min="13836" max="13836" width="1.3984375" style="293" customWidth="1"/>
    <col min="13837" max="13837" width="8.3984375" style="293" customWidth="1"/>
    <col min="13838" max="14080" width="9.796875" style="293"/>
    <col min="14081" max="14081" width="7.3984375" style="293" customWidth="1"/>
    <col min="14082" max="14082" width="9.3984375" style="293" customWidth="1"/>
    <col min="14083" max="14083" width="8.3984375" style="293" customWidth="1"/>
    <col min="14084" max="14084" width="9.19921875" style="293" customWidth="1"/>
    <col min="14085" max="14085" width="9" style="293" customWidth="1"/>
    <col min="14086" max="14087" width="9.3984375" style="293" customWidth="1"/>
    <col min="14088" max="14088" width="8.796875" style="293" customWidth="1"/>
    <col min="14089" max="14089" width="8.3984375" style="293" customWidth="1"/>
    <col min="14090" max="14090" width="1.19921875" style="293" customWidth="1"/>
    <col min="14091" max="14091" width="10.3984375" style="293" customWidth="1"/>
    <col min="14092" max="14092" width="1.3984375" style="293" customWidth="1"/>
    <col min="14093" max="14093" width="8.3984375" style="293" customWidth="1"/>
    <col min="14094" max="14336" width="9.796875" style="293"/>
    <col min="14337" max="14337" width="7.3984375" style="293" customWidth="1"/>
    <col min="14338" max="14338" width="9.3984375" style="293" customWidth="1"/>
    <col min="14339" max="14339" width="8.3984375" style="293" customWidth="1"/>
    <col min="14340" max="14340" width="9.19921875" style="293" customWidth="1"/>
    <col min="14341" max="14341" width="9" style="293" customWidth="1"/>
    <col min="14342" max="14343" width="9.3984375" style="293" customWidth="1"/>
    <col min="14344" max="14344" width="8.796875" style="293" customWidth="1"/>
    <col min="14345" max="14345" width="8.3984375" style="293" customWidth="1"/>
    <col min="14346" max="14346" width="1.19921875" style="293" customWidth="1"/>
    <col min="14347" max="14347" width="10.3984375" style="293" customWidth="1"/>
    <col min="14348" max="14348" width="1.3984375" style="293" customWidth="1"/>
    <col min="14349" max="14349" width="8.3984375" style="293" customWidth="1"/>
    <col min="14350" max="14592" width="9.796875" style="293"/>
    <col min="14593" max="14593" width="7.3984375" style="293" customWidth="1"/>
    <col min="14594" max="14594" width="9.3984375" style="293" customWidth="1"/>
    <col min="14595" max="14595" width="8.3984375" style="293" customWidth="1"/>
    <col min="14596" max="14596" width="9.19921875" style="293" customWidth="1"/>
    <col min="14597" max="14597" width="9" style="293" customWidth="1"/>
    <col min="14598" max="14599" width="9.3984375" style="293" customWidth="1"/>
    <col min="14600" max="14600" width="8.796875" style="293" customWidth="1"/>
    <col min="14601" max="14601" width="8.3984375" style="293" customWidth="1"/>
    <col min="14602" max="14602" width="1.19921875" style="293" customWidth="1"/>
    <col min="14603" max="14603" width="10.3984375" style="293" customWidth="1"/>
    <col min="14604" max="14604" width="1.3984375" style="293" customWidth="1"/>
    <col min="14605" max="14605" width="8.3984375" style="293" customWidth="1"/>
    <col min="14606" max="14848" width="9.796875" style="293"/>
    <col min="14849" max="14849" width="7.3984375" style="293" customWidth="1"/>
    <col min="14850" max="14850" width="9.3984375" style="293" customWidth="1"/>
    <col min="14851" max="14851" width="8.3984375" style="293" customWidth="1"/>
    <col min="14852" max="14852" width="9.19921875" style="293" customWidth="1"/>
    <col min="14853" max="14853" width="9" style="293" customWidth="1"/>
    <col min="14854" max="14855" width="9.3984375" style="293" customWidth="1"/>
    <col min="14856" max="14856" width="8.796875" style="293" customWidth="1"/>
    <col min="14857" max="14857" width="8.3984375" style="293" customWidth="1"/>
    <col min="14858" max="14858" width="1.19921875" style="293" customWidth="1"/>
    <col min="14859" max="14859" width="10.3984375" style="293" customWidth="1"/>
    <col min="14860" max="14860" width="1.3984375" style="293" customWidth="1"/>
    <col min="14861" max="14861" width="8.3984375" style="293" customWidth="1"/>
    <col min="14862" max="15104" width="9.796875" style="293"/>
    <col min="15105" max="15105" width="7.3984375" style="293" customWidth="1"/>
    <col min="15106" max="15106" width="9.3984375" style="293" customWidth="1"/>
    <col min="15107" max="15107" width="8.3984375" style="293" customWidth="1"/>
    <col min="15108" max="15108" width="9.19921875" style="293" customWidth="1"/>
    <col min="15109" max="15109" width="9" style="293" customWidth="1"/>
    <col min="15110" max="15111" width="9.3984375" style="293" customWidth="1"/>
    <col min="15112" max="15112" width="8.796875" style="293" customWidth="1"/>
    <col min="15113" max="15113" width="8.3984375" style="293" customWidth="1"/>
    <col min="15114" max="15114" width="1.19921875" style="293" customWidth="1"/>
    <col min="15115" max="15115" width="10.3984375" style="293" customWidth="1"/>
    <col min="15116" max="15116" width="1.3984375" style="293" customWidth="1"/>
    <col min="15117" max="15117" width="8.3984375" style="293" customWidth="1"/>
    <col min="15118" max="15360" width="9.796875" style="293"/>
    <col min="15361" max="15361" width="7.3984375" style="293" customWidth="1"/>
    <col min="15362" max="15362" width="9.3984375" style="293" customWidth="1"/>
    <col min="15363" max="15363" width="8.3984375" style="293" customWidth="1"/>
    <col min="15364" max="15364" width="9.19921875" style="293" customWidth="1"/>
    <col min="15365" max="15365" width="9" style="293" customWidth="1"/>
    <col min="15366" max="15367" width="9.3984375" style="293" customWidth="1"/>
    <col min="15368" max="15368" width="8.796875" style="293" customWidth="1"/>
    <col min="15369" max="15369" width="8.3984375" style="293" customWidth="1"/>
    <col min="15370" max="15370" width="1.19921875" style="293" customWidth="1"/>
    <col min="15371" max="15371" width="10.3984375" style="293" customWidth="1"/>
    <col min="15372" max="15372" width="1.3984375" style="293" customWidth="1"/>
    <col min="15373" max="15373" width="8.3984375" style="293" customWidth="1"/>
    <col min="15374" max="15616" width="9.796875" style="293"/>
    <col min="15617" max="15617" width="7.3984375" style="293" customWidth="1"/>
    <col min="15618" max="15618" width="9.3984375" style="293" customWidth="1"/>
    <col min="15619" max="15619" width="8.3984375" style="293" customWidth="1"/>
    <col min="15620" max="15620" width="9.19921875" style="293" customWidth="1"/>
    <col min="15621" max="15621" width="9" style="293" customWidth="1"/>
    <col min="15622" max="15623" width="9.3984375" style="293" customWidth="1"/>
    <col min="15624" max="15624" width="8.796875" style="293" customWidth="1"/>
    <col min="15625" max="15625" width="8.3984375" style="293" customWidth="1"/>
    <col min="15626" max="15626" width="1.19921875" style="293" customWidth="1"/>
    <col min="15627" max="15627" width="10.3984375" style="293" customWidth="1"/>
    <col min="15628" max="15628" width="1.3984375" style="293" customWidth="1"/>
    <col min="15629" max="15629" width="8.3984375" style="293" customWidth="1"/>
    <col min="15630" max="15872" width="9.796875" style="293"/>
    <col min="15873" max="15873" width="7.3984375" style="293" customWidth="1"/>
    <col min="15874" max="15874" width="9.3984375" style="293" customWidth="1"/>
    <col min="15875" max="15875" width="8.3984375" style="293" customWidth="1"/>
    <col min="15876" max="15876" width="9.19921875" style="293" customWidth="1"/>
    <col min="15877" max="15877" width="9" style="293" customWidth="1"/>
    <col min="15878" max="15879" width="9.3984375" style="293" customWidth="1"/>
    <col min="15880" max="15880" width="8.796875" style="293" customWidth="1"/>
    <col min="15881" max="15881" width="8.3984375" style="293" customWidth="1"/>
    <col min="15882" max="15882" width="1.19921875" style="293" customWidth="1"/>
    <col min="15883" max="15883" width="10.3984375" style="293" customWidth="1"/>
    <col min="15884" max="15884" width="1.3984375" style="293" customWidth="1"/>
    <col min="15885" max="15885" width="8.3984375" style="293" customWidth="1"/>
    <col min="15886" max="16128" width="9.796875" style="293"/>
    <col min="16129" max="16129" width="7.3984375" style="293" customWidth="1"/>
    <col min="16130" max="16130" width="9.3984375" style="293" customWidth="1"/>
    <col min="16131" max="16131" width="8.3984375" style="293" customWidth="1"/>
    <col min="16132" max="16132" width="9.19921875" style="293" customWidth="1"/>
    <col min="16133" max="16133" width="9" style="293" customWidth="1"/>
    <col min="16134" max="16135" width="9.3984375" style="293" customWidth="1"/>
    <col min="16136" max="16136" width="8.796875" style="293" customWidth="1"/>
    <col min="16137" max="16137" width="8.3984375" style="293" customWidth="1"/>
    <col min="16138" max="16138" width="1.19921875" style="293" customWidth="1"/>
    <col min="16139" max="16139" width="10.3984375" style="293" customWidth="1"/>
    <col min="16140" max="16140" width="1.3984375" style="293" customWidth="1"/>
    <col min="16141" max="16141" width="8.3984375" style="293" customWidth="1"/>
    <col min="16142" max="16384" width="9.796875" style="293"/>
  </cols>
  <sheetData>
    <row r="1" spans="1:24" ht="13.25" customHeight="1">
      <c r="G1" s="295"/>
    </row>
    <row r="2" spans="1:24" ht="13.25" customHeight="1">
      <c r="A2" s="314" t="s">
        <v>617</v>
      </c>
      <c r="B2" s="314"/>
      <c r="C2" s="314"/>
      <c r="D2" s="314"/>
      <c r="E2" s="314"/>
      <c r="F2" s="314"/>
      <c r="G2" s="314"/>
      <c r="H2" s="314"/>
      <c r="I2" s="314"/>
      <c r="J2" s="314"/>
      <c r="K2" s="296"/>
      <c r="L2" s="296"/>
    </row>
    <row r="3" spans="1:24" ht="13.25" customHeight="1">
      <c r="A3" s="317" t="s">
        <v>346</v>
      </c>
      <c r="B3" s="318"/>
      <c r="C3" s="318"/>
      <c r="D3" s="318"/>
      <c r="E3" s="318"/>
      <c r="F3" s="318"/>
      <c r="G3" s="318"/>
      <c r="H3" s="318"/>
      <c r="I3" s="318"/>
      <c r="J3" s="318"/>
    </row>
    <row r="4" spans="1:24" ht="4.25" customHeight="1" thickBot="1">
      <c r="A4" s="297"/>
      <c r="B4" s="297"/>
      <c r="C4" s="297"/>
      <c r="D4" s="297"/>
      <c r="E4" s="297"/>
      <c r="F4" s="297"/>
      <c r="G4" s="297"/>
      <c r="H4" s="297"/>
      <c r="I4" s="297"/>
      <c r="J4" s="297"/>
    </row>
    <row r="5" spans="1:24" ht="14" customHeight="1">
      <c r="A5" s="978" t="s">
        <v>111</v>
      </c>
      <c r="B5" s="689" t="s">
        <v>187</v>
      </c>
      <c r="C5" s="980" t="s">
        <v>114</v>
      </c>
      <c r="D5" s="980"/>
      <c r="E5" s="980"/>
      <c r="F5" s="980"/>
      <c r="G5" s="980"/>
      <c r="H5" s="980"/>
      <c r="I5" s="981" t="s">
        <v>280</v>
      </c>
      <c r="J5" s="978" t="s">
        <v>16</v>
      </c>
      <c r="K5" s="292"/>
    </row>
    <row r="6" spans="1:24" ht="14" customHeight="1">
      <c r="A6" s="979"/>
      <c r="B6" s="690" t="s">
        <v>188</v>
      </c>
      <c r="C6" s="691" t="s">
        <v>281</v>
      </c>
      <c r="D6" s="691" t="s">
        <v>282</v>
      </c>
      <c r="E6" s="691" t="s">
        <v>283</v>
      </c>
      <c r="F6" s="691" t="s">
        <v>284</v>
      </c>
      <c r="G6" s="691" t="s">
        <v>285</v>
      </c>
      <c r="H6" s="691" t="s">
        <v>8</v>
      </c>
      <c r="I6" s="982"/>
      <c r="J6" s="979"/>
      <c r="K6" s="292"/>
    </row>
    <row r="7" spans="1:24" ht="4.25" customHeight="1"/>
    <row r="8" spans="1:24" ht="13.25" customHeight="1">
      <c r="A8" s="335">
        <v>2007</v>
      </c>
      <c r="B8" s="336">
        <v>1537722.94</v>
      </c>
      <c r="C8" s="336">
        <v>778876.83</v>
      </c>
      <c r="D8" s="336">
        <v>704846.93</v>
      </c>
      <c r="E8" s="336">
        <v>33835.230000000003</v>
      </c>
      <c r="F8" s="336">
        <v>115344.47</v>
      </c>
      <c r="G8" s="336">
        <v>166180.85</v>
      </c>
      <c r="H8" s="336">
        <v>6685.56</v>
      </c>
      <c r="I8" s="336">
        <v>436800</v>
      </c>
      <c r="J8" s="336">
        <v>257621.12</v>
      </c>
      <c r="K8" s="337"/>
      <c r="V8" s="298"/>
      <c r="W8" s="298"/>
      <c r="X8" s="298"/>
    </row>
    <row r="9" spans="1:24" ht="13.25" customHeight="1">
      <c r="A9" s="335">
        <v>2008</v>
      </c>
      <c r="B9" s="336">
        <v>1636777.76</v>
      </c>
      <c r="C9" s="336">
        <v>886069.25</v>
      </c>
      <c r="D9" s="336">
        <v>815890.2</v>
      </c>
      <c r="E9" s="336">
        <v>33378.42</v>
      </c>
      <c r="F9" s="336">
        <v>116099.74</v>
      </c>
      <c r="G9" s="336">
        <v>165883.14000000001</v>
      </c>
      <c r="H9" s="336">
        <v>6447.2</v>
      </c>
      <c r="I9" s="336">
        <v>428900</v>
      </c>
      <c r="J9" s="336">
        <v>266541</v>
      </c>
      <c r="K9" s="337"/>
      <c r="V9" s="298"/>
      <c r="W9" s="298"/>
      <c r="X9" s="298"/>
    </row>
    <row r="10" spans="1:24" ht="13.25" customHeight="1">
      <c r="A10" s="335">
        <v>2009</v>
      </c>
      <c r="B10" s="336">
        <v>1772031.96</v>
      </c>
      <c r="C10" s="336">
        <v>973593.18</v>
      </c>
      <c r="D10" s="336">
        <v>884317.74</v>
      </c>
      <c r="E10" s="336">
        <v>33463.440000000002</v>
      </c>
      <c r="F10" s="336">
        <v>115963.42</v>
      </c>
      <c r="G10" s="336">
        <v>165147.81</v>
      </c>
      <c r="H10" s="336">
        <v>6164.11</v>
      </c>
      <c r="I10" s="336">
        <v>477700</v>
      </c>
      <c r="J10" s="336">
        <v>268707</v>
      </c>
      <c r="K10" s="337"/>
      <c r="V10" s="298"/>
      <c r="W10" s="298"/>
      <c r="X10" s="298"/>
    </row>
    <row r="11" spans="1:24" ht="13.25" customHeight="1">
      <c r="A11" s="335">
        <v>2010</v>
      </c>
      <c r="B11" s="336">
        <v>1888908.17</v>
      </c>
      <c r="C11" s="336">
        <v>1031493.35</v>
      </c>
      <c r="D11" s="336">
        <v>951244.76</v>
      </c>
      <c r="E11" s="336">
        <v>33671.040000000001</v>
      </c>
      <c r="F11" s="336">
        <v>118727.18</v>
      </c>
      <c r="G11" s="336">
        <v>171955.48</v>
      </c>
      <c r="H11" s="336">
        <v>6136.97</v>
      </c>
      <c r="I11" s="336">
        <v>526924.16</v>
      </c>
      <c r="J11" s="336">
        <v>285102</v>
      </c>
      <c r="K11" s="337"/>
      <c r="V11" s="298"/>
      <c r="W11" s="298"/>
      <c r="X11" s="298"/>
    </row>
    <row r="12" spans="1:24" ht="13.25" customHeight="1">
      <c r="A12" s="335">
        <v>2011</v>
      </c>
      <c r="B12" s="336">
        <v>2027714.82</v>
      </c>
      <c r="C12" s="338">
        <v>1123093</v>
      </c>
      <c r="D12" s="338">
        <v>1009650.95</v>
      </c>
      <c r="E12" s="338">
        <v>35258.870000000003</v>
      </c>
      <c r="F12" s="338">
        <v>120014.18</v>
      </c>
      <c r="G12" s="338">
        <v>178692.46</v>
      </c>
      <c r="H12" s="338">
        <v>6156.32</v>
      </c>
      <c r="I12" s="338">
        <v>564500</v>
      </c>
      <c r="J12" s="338">
        <v>317654.40999999997</v>
      </c>
      <c r="K12" s="339"/>
      <c r="V12" s="298"/>
      <c r="W12" s="298"/>
      <c r="X12" s="298"/>
    </row>
    <row r="13" spans="1:24" ht="13.25" customHeight="1">
      <c r="A13" s="335">
        <v>2012</v>
      </c>
      <c r="B13" s="336">
        <v>2157551.87</v>
      </c>
      <c r="C13" s="338">
        <v>1226207.03</v>
      </c>
      <c r="D13" s="338">
        <v>1093406.48</v>
      </c>
      <c r="E13" s="338">
        <v>35304.480000000003</v>
      </c>
      <c r="F13" s="338">
        <v>123848.45</v>
      </c>
      <c r="G13" s="338">
        <v>183974.88</v>
      </c>
      <c r="H13" s="338">
        <v>6317.02</v>
      </c>
      <c r="I13" s="338">
        <v>581900</v>
      </c>
      <c r="J13" s="338">
        <v>314023.90999999997</v>
      </c>
      <c r="K13" s="339"/>
      <c r="V13" s="298"/>
      <c r="W13" s="298"/>
      <c r="X13" s="298"/>
    </row>
    <row r="14" spans="1:24" ht="13.25" customHeight="1">
      <c r="A14" s="335">
        <v>2013</v>
      </c>
      <c r="B14" s="336">
        <v>2193624.56</v>
      </c>
      <c r="C14" s="338">
        <v>1268686</v>
      </c>
      <c r="D14" s="338">
        <v>1175740</v>
      </c>
      <c r="E14" s="338">
        <v>34906.120000000003</v>
      </c>
      <c r="F14" s="338">
        <v>131047.32</v>
      </c>
      <c r="G14" s="338">
        <v>190646</v>
      </c>
      <c r="H14" s="338">
        <v>6439.11</v>
      </c>
      <c r="I14" s="338">
        <v>561900</v>
      </c>
      <c r="J14" s="338">
        <v>349790.78</v>
      </c>
      <c r="K14" s="339"/>
      <c r="V14" s="298"/>
      <c r="W14" s="298"/>
      <c r="X14" s="298"/>
    </row>
    <row r="15" spans="1:24" ht="13.25" customHeight="1">
      <c r="A15" s="335">
        <v>2014</v>
      </c>
      <c r="B15" s="336">
        <v>2309410.09</v>
      </c>
      <c r="C15" s="338">
        <v>1333428.56</v>
      </c>
      <c r="D15" s="338">
        <v>1233132.31</v>
      </c>
      <c r="E15" s="338">
        <v>34425.46</v>
      </c>
      <c r="F15" s="338">
        <v>139617.81</v>
      </c>
      <c r="G15" s="338">
        <v>196170.95</v>
      </c>
      <c r="H15" s="338">
        <v>6167.3</v>
      </c>
      <c r="I15" s="338">
        <v>599600</v>
      </c>
      <c r="J15" s="338">
        <v>358629.94</v>
      </c>
      <c r="K15" s="339"/>
      <c r="V15" s="298"/>
      <c r="W15" s="298"/>
      <c r="X15" s="298"/>
    </row>
    <row r="16" spans="1:24" ht="13.25" customHeight="1">
      <c r="A16" s="335">
        <v>2015</v>
      </c>
      <c r="B16" s="336">
        <v>2454418.2799999998</v>
      </c>
      <c r="C16" s="338">
        <v>1441252.49</v>
      </c>
      <c r="D16" s="338">
        <v>1329925.51</v>
      </c>
      <c r="E16" s="338">
        <v>34654.54</v>
      </c>
      <c r="F16" s="338">
        <v>146721.32999999999</v>
      </c>
      <c r="G16" s="338">
        <v>195675.23</v>
      </c>
      <c r="H16" s="338">
        <v>5904.68</v>
      </c>
      <c r="I16" s="338">
        <v>630210</v>
      </c>
      <c r="J16" s="338">
        <v>386254.64</v>
      </c>
      <c r="K16" s="339"/>
      <c r="V16" s="298"/>
      <c r="W16" s="298"/>
      <c r="X16" s="298"/>
    </row>
    <row r="17" spans="1:24" ht="13.25" customHeight="1">
      <c r="A17" s="335">
        <v>2016</v>
      </c>
      <c r="B17" s="336">
        <v>2621190.85</v>
      </c>
      <c r="C17" s="338">
        <v>1540472.32</v>
      </c>
      <c r="D17" s="338">
        <v>1405514.21</v>
      </c>
      <c r="E17" s="338">
        <v>33971.58</v>
      </c>
      <c r="F17" s="338">
        <v>158243.69</v>
      </c>
      <c r="G17" s="338">
        <v>197306.23</v>
      </c>
      <c r="H17" s="338">
        <v>5827.03</v>
      </c>
      <c r="I17" s="338">
        <v>685370</v>
      </c>
      <c r="J17" s="338">
        <v>400979.6</v>
      </c>
      <c r="K17" s="339"/>
      <c r="V17" s="298"/>
      <c r="W17" s="298"/>
      <c r="X17" s="298"/>
    </row>
    <row r="18" spans="1:24" ht="13.25" customHeight="1">
      <c r="A18" s="330" t="s">
        <v>195</v>
      </c>
      <c r="B18" s="336">
        <v>2688517.32</v>
      </c>
      <c r="C18" s="338">
        <v>1619815.7</v>
      </c>
      <c r="D18" s="338">
        <v>1491400.18</v>
      </c>
      <c r="E18" s="338">
        <v>33363.29</v>
      </c>
      <c r="F18" s="338">
        <v>167287.01</v>
      </c>
      <c r="G18" s="338">
        <v>192208.19</v>
      </c>
      <c r="H18" s="338">
        <v>5393.12</v>
      </c>
      <c r="I18" s="338">
        <v>670450</v>
      </c>
      <c r="J18" s="338">
        <v>415335.31</v>
      </c>
      <c r="K18" s="339"/>
      <c r="V18" s="298"/>
      <c r="W18" s="298"/>
      <c r="X18" s="298"/>
    </row>
    <row r="19" spans="1:24" ht="13.25" customHeight="1">
      <c r="A19" s="330" t="s">
        <v>197</v>
      </c>
      <c r="B19" s="336">
        <v>2797456.87</v>
      </c>
      <c r="C19" s="338">
        <v>1746762.2</v>
      </c>
      <c r="D19" s="338">
        <v>1617345.13</v>
      </c>
      <c r="E19" s="338">
        <v>33685.99</v>
      </c>
      <c r="F19" s="338">
        <v>173241.68</v>
      </c>
      <c r="G19" s="338">
        <v>194981.55</v>
      </c>
      <c r="H19" s="338">
        <v>5015.4399999999996</v>
      </c>
      <c r="I19" s="338">
        <v>643770</v>
      </c>
      <c r="J19" s="338">
        <v>452234.36</v>
      </c>
      <c r="K19" s="502"/>
      <c r="V19" s="298"/>
      <c r="W19" s="298"/>
      <c r="X19" s="298"/>
    </row>
    <row r="20" spans="1:24" ht="13.25" customHeight="1">
      <c r="A20" s="330" t="s">
        <v>348</v>
      </c>
      <c r="B20" s="336">
        <v>2868866.27</v>
      </c>
      <c r="C20" s="338">
        <v>1820389.17</v>
      </c>
      <c r="D20" s="338">
        <v>1686560.19</v>
      </c>
      <c r="E20" s="338">
        <v>33795.160000000003</v>
      </c>
      <c r="F20" s="338">
        <v>182104.94</v>
      </c>
      <c r="G20" s="338">
        <v>197264.76</v>
      </c>
      <c r="H20" s="338">
        <v>5102.25</v>
      </c>
      <c r="I20" s="338">
        <v>630210</v>
      </c>
      <c r="J20" s="338">
        <v>488234.45</v>
      </c>
      <c r="K20" s="502"/>
      <c r="V20" s="298"/>
      <c r="W20" s="298"/>
      <c r="X20" s="298"/>
    </row>
    <row r="21" spans="1:24" ht="13.25" customHeight="1">
      <c r="A21" s="330" t="s">
        <v>354</v>
      </c>
      <c r="B21" s="336">
        <v>2807820.53</v>
      </c>
      <c r="C21" s="338">
        <v>1786770.68</v>
      </c>
      <c r="D21" s="338">
        <v>1660443.92</v>
      </c>
      <c r="E21" s="338">
        <v>32325.200000000001</v>
      </c>
      <c r="F21" s="338">
        <v>185745.1</v>
      </c>
      <c r="G21" s="338">
        <v>188822.2</v>
      </c>
      <c r="H21" s="338">
        <v>4957.3500000000004</v>
      </c>
      <c r="I21" s="338">
        <v>609200</v>
      </c>
      <c r="J21" s="338">
        <v>497525.39</v>
      </c>
      <c r="K21" s="502"/>
      <c r="V21" s="298"/>
      <c r="W21" s="298"/>
      <c r="X21" s="298"/>
    </row>
    <row r="22" spans="1:24" ht="13.25" customHeight="1">
      <c r="A22" s="330">
        <v>2021</v>
      </c>
      <c r="B22" s="336">
        <v>2885203.34</v>
      </c>
      <c r="C22" s="338">
        <v>1842269.24</v>
      </c>
      <c r="D22" s="338">
        <v>1705918.9</v>
      </c>
      <c r="E22" s="338">
        <v>33179.49</v>
      </c>
      <c r="F22" s="338">
        <v>191989.67</v>
      </c>
      <c r="G22" s="338">
        <v>192816.94</v>
      </c>
      <c r="H22" s="338">
        <v>4948</v>
      </c>
      <c r="I22" s="338">
        <v>620000</v>
      </c>
      <c r="J22" s="338">
        <v>504112.04</v>
      </c>
      <c r="K22" s="502"/>
      <c r="V22" s="298"/>
      <c r="W22" s="298"/>
      <c r="X22" s="298"/>
    </row>
    <row r="23" spans="1:24" ht="13.25" customHeight="1" thickBot="1">
      <c r="A23" s="926" t="s">
        <v>616</v>
      </c>
      <c r="B23" s="340">
        <v>2926839.65</v>
      </c>
      <c r="C23" s="341">
        <v>1882830.34</v>
      </c>
      <c r="D23" s="341">
        <v>1746956.37</v>
      </c>
      <c r="E23" s="341">
        <v>33550.53</v>
      </c>
      <c r="F23" s="341">
        <v>197244.63</v>
      </c>
      <c r="G23" s="341">
        <v>197599.48</v>
      </c>
      <c r="H23" s="341">
        <v>4929.25</v>
      </c>
      <c r="I23" s="341">
        <v>610685.42000000004</v>
      </c>
      <c r="J23" s="341">
        <v>510961.58</v>
      </c>
      <c r="K23" s="502"/>
      <c r="V23" s="298"/>
      <c r="W23" s="298"/>
      <c r="X23" s="298"/>
    </row>
    <row r="24" spans="1:24" ht="9" customHeight="1">
      <c r="A24" s="835" t="s">
        <v>411</v>
      </c>
      <c r="B24" s="836"/>
      <c r="C24" s="837"/>
      <c r="D24" s="838" t="s">
        <v>412</v>
      </c>
      <c r="E24" s="837"/>
      <c r="F24" s="838"/>
      <c r="G24" s="836"/>
      <c r="H24" s="838"/>
      <c r="I24" s="838"/>
      <c r="J24" s="836"/>
      <c r="O24" s="299"/>
    </row>
    <row r="25" spans="1:24" ht="9" customHeight="1">
      <c r="A25" s="778" t="s">
        <v>402</v>
      </c>
      <c r="B25" s="836"/>
      <c r="C25" s="839"/>
      <c r="D25" s="837"/>
      <c r="E25" s="837"/>
      <c r="F25" s="840"/>
      <c r="G25" s="837"/>
      <c r="H25" s="840"/>
      <c r="I25" s="838"/>
      <c r="J25" s="836"/>
      <c r="O25" s="299"/>
    </row>
    <row r="26" spans="1:24" ht="9" customHeight="1">
      <c r="A26" s="841" t="s">
        <v>359</v>
      </c>
      <c r="B26" s="836"/>
      <c r="C26" s="837"/>
      <c r="D26" s="837"/>
      <c r="E26" s="837"/>
      <c r="F26" s="837"/>
      <c r="G26" s="837"/>
      <c r="H26" s="837"/>
      <c r="I26" s="837"/>
      <c r="J26" s="837"/>
      <c r="K26" s="298"/>
    </row>
    <row r="27" spans="1:24" ht="9" customHeight="1">
      <c r="A27" s="780" t="s">
        <v>358</v>
      </c>
      <c r="B27" s="836"/>
      <c r="C27" s="836"/>
      <c r="D27" s="842"/>
      <c r="E27" s="837"/>
      <c r="F27" s="837"/>
      <c r="G27" s="837"/>
      <c r="H27" s="837"/>
      <c r="I27" s="837"/>
      <c r="J27" s="837"/>
      <c r="K27" s="298"/>
    </row>
    <row r="28" spans="1:24" ht="13.25" customHeight="1">
      <c r="B28" s="300"/>
      <c r="E28" s="298"/>
      <c r="F28" s="298"/>
      <c r="G28" s="298"/>
      <c r="H28" s="298"/>
      <c r="I28" s="298"/>
      <c r="J28" s="298"/>
      <c r="K28" s="298"/>
      <c r="L28" s="298"/>
    </row>
    <row r="29" spans="1:24" ht="13.25" customHeight="1">
      <c r="A29" s="314" t="s">
        <v>618</v>
      </c>
      <c r="B29" s="314"/>
      <c r="C29" s="314"/>
      <c r="D29" s="315"/>
      <c r="E29" s="315"/>
      <c r="F29" s="315"/>
      <c r="G29" s="315"/>
      <c r="H29" s="315"/>
      <c r="I29" s="315"/>
      <c r="J29" s="315"/>
      <c r="K29" s="315"/>
      <c r="L29" s="296"/>
      <c r="M29" s="296"/>
    </row>
    <row r="30" spans="1:24" ht="13.25" customHeight="1">
      <c r="A30" s="317" t="s">
        <v>431</v>
      </c>
      <c r="B30" s="318"/>
      <c r="C30" s="318"/>
      <c r="D30" s="316"/>
      <c r="E30" s="316"/>
      <c r="F30" s="316"/>
      <c r="G30" s="316"/>
      <c r="H30" s="316"/>
      <c r="I30" s="316"/>
      <c r="J30" s="316"/>
      <c r="K30" s="316"/>
    </row>
    <row r="31" spans="1:24" ht="4.25" customHeight="1" thickBot="1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</row>
    <row r="32" spans="1:24" ht="14" customHeight="1">
      <c r="A32" s="978" t="s">
        <v>111</v>
      </c>
      <c r="B32" s="689" t="s">
        <v>125</v>
      </c>
      <c r="C32" s="689" t="s">
        <v>187</v>
      </c>
      <c r="D32" s="979" t="s">
        <v>114</v>
      </c>
      <c r="E32" s="979"/>
      <c r="F32" s="979"/>
      <c r="G32" s="979"/>
      <c r="H32" s="979"/>
      <c r="I32" s="979"/>
      <c r="J32" s="981" t="s">
        <v>280</v>
      </c>
      <c r="K32" s="978" t="s">
        <v>16</v>
      </c>
      <c r="L32" s="292"/>
    </row>
    <row r="33" spans="1:20" ht="14" customHeight="1">
      <c r="A33" s="979"/>
      <c r="B33" s="692" t="s">
        <v>133</v>
      </c>
      <c r="C33" s="690" t="s">
        <v>188</v>
      </c>
      <c r="D33" s="691" t="s">
        <v>281</v>
      </c>
      <c r="E33" s="691" t="s">
        <v>282</v>
      </c>
      <c r="F33" s="691" t="s">
        <v>283</v>
      </c>
      <c r="G33" s="691" t="s">
        <v>284</v>
      </c>
      <c r="H33" s="691" t="s">
        <v>285</v>
      </c>
      <c r="I33" s="691" t="s">
        <v>8</v>
      </c>
      <c r="J33" s="982"/>
      <c r="K33" s="979"/>
      <c r="L33" s="292"/>
    </row>
    <row r="34" spans="1:20" ht="4.25" customHeight="1"/>
    <row r="35" spans="1:20" ht="13.25" customHeight="1">
      <c r="A35" s="330">
        <v>2007</v>
      </c>
      <c r="B35" s="370">
        <v>28481.901000000002</v>
      </c>
      <c r="C35" s="372">
        <v>53.988999999999997</v>
      </c>
      <c r="D35" s="372">
        <v>27.346</v>
      </c>
      <c r="E35" s="372">
        <v>24.747</v>
      </c>
      <c r="F35" s="372">
        <v>1.1879999999999999</v>
      </c>
      <c r="G35" s="372">
        <v>4.05</v>
      </c>
      <c r="H35" s="372">
        <v>5.835</v>
      </c>
      <c r="I35" s="372">
        <v>0.23499999999999999</v>
      </c>
      <c r="J35" s="372">
        <v>15.336</v>
      </c>
      <c r="K35" s="372">
        <v>9.0449999999999999</v>
      </c>
      <c r="L35" s="294"/>
      <c r="M35" s="294"/>
      <c r="N35" s="294"/>
      <c r="O35" s="294"/>
      <c r="P35" s="294"/>
      <c r="Q35" s="294"/>
      <c r="R35" s="294"/>
      <c r="S35" s="294"/>
      <c r="T35" s="294"/>
    </row>
    <row r="36" spans="1:20" ht="13.25" customHeight="1">
      <c r="A36" s="330">
        <v>2008</v>
      </c>
      <c r="B36" s="370">
        <v>28807.034</v>
      </c>
      <c r="C36" s="372">
        <v>56.819000000000003</v>
      </c>
      <c r="D36" s="372">
        <v>30.759</v>
      </c>
      <c r="E36" s="372">
        <v>28.323</v>
      </c>
      <c r="F36" s="372">
        <v>1.159</v>
      </c>
      <c r="G36" s="372">
        <v>4.03</v>
      </c>
      <c r="H36" s="372">
        <v>5.758</v>
      </c>
      <c r="I36" s="372">
        <v>0.224</v>
      </c>
      <c r="J36" s="372">
        <v>14.888999999999999</v>
      </c>
      <c r="K36" s="372">
        <v>9.2530000000000001</v>
      </c>
      <c r="L36" s="294"/>
      <c r="M36" s="294"/>
      <c r="N36" s="294"/>
      <c r="O36" s="294"/>
      <c r="P36" s="294"/>
      <c r="Q36" s="294"/>
      <c r="R36" s="294"/>
      <c r="S36" s="294"/>
      <c r="T36" s="294"/>
    </row>
    <row r="37" spans="1:20" ht="13.25" customHeight="1">
      <c r="A37" s="330">
        <v>2009</v>
      </c>
      <c r="B37" s="370">
        <v>29132.012999999999</v>
      </c>
      <c r="C37" s="372">
        <v>60.828000000000003</v>
      </c>
      <c r="D37" s="372">
        <v>33.42</v>
      </c>
      <c r="E37" s="372">
        <v>30.356000000000002</v>
      </c>
      <c r="F37" s="372">
        <v>1.149</v>
      </c>
      <c r="G37" s="372">
        <v>3.9809999999999999</v>
      </c>
      <c r="H37" s="372">
        <v>5.6689999999999996</v>
      </c>
      <c r="I37" s="372">
        <v>0.21199999999999999</v>
      </c>
      <c r="J37" s="372">
        <v>16.398</v>
      </c>
      <c r="K37" s="372">
        <v>9.2240000000000002</v>
      </c>
      <c r="L37" s="294"/>
      <c r="M37" s="294"/>
      <c r="N37" s="294"/>
      <c r="O37" s="294"/>
      <c r="P37" s="294"/>
      <c r="Q37" s="294"/>
      <c r="R37" s="294"/>
      <c r="S37" s="294"/>
      <c r="T37" s="294"/>
    </row>
    <row r="38" spans="1:20" ht="13.25" customHeight="1">
      <c r="A38" s="330">
        <v>2010</v>
      </c>
      <c r="B38" s="370">
        <v>29461.933000000001</v>
      </c>
      <c r="C38" s="372">
        <v>64.114000000000004</v>
      </c>
      <c r="D38" s="372">
        <v>35.011000000000003</v>
      </c>
      <c r="E38" s="372">
        <v>32.286999999999999</v>
      </c>
      <c r="F38" s="372">
        <v>1.143</v>
      </c>
      <c r="G38" s="372">
        <v>4.03</v>
      </c>
      <c r="H38" s="372">
        <v>5.8369999999999997</v>
      </c>
      <c r="I38" s="372">
        <v>0.20799999999999999</v>
      </c>
      <c r="J38" s="372">
        <v>17.885000000000002</v>
      </c>
      <c r="K38" s="372">
        <v>9.6769999999999996</v>
      </c>
      <c r="L38" s="294"/>
      <c r="M38" s="294"/>
      <c r="N38" s="294"/>
      <c r="O38" s="294"/>
      <c r="P38" s="294"/>
      <c r="Q38" s="294"/>
      <c r="R38" s="294"/>
      <c r="S38" s="294"/>
      <c r="T38" s="294"/>
    </row>
    <row r="39" spans="1:20" ht="13.25" customHeight="1">
      <c r="A39" s="330">
        <v>2011</v>
      </c>
      <c r="B39" s="370">
        <v>29797.694</v>
      </c>
      <c r="C39" s="372">
        <v>68.049000000000007</v>
      </c>
      <c r="D39" s="372">
        <v>37.691000000000003</v>
      </c>
      <c r="E39" s="372">
        <v>33.884</v>
      </c>
      <c r="F39" s="372">
        <v>1.1830000000000001</v>
      </c>
      <c r="G39" s="372">
        <v>4.0279999999999996</v>
      </c>
      <c r="H39" s="372">
        <v>5.9969999999999999</v>
      </c>
      <c r="I39" s="372">
        <v>0.20699999999999999</v>
      </c>
      <c r="J39" s="372">
        <v>18.943999999999999</v>
      </c>
      <c r="K39" s="372">
        <v>10.66</v>
      </c>
      <c r="L39" s="294"/>
      <c r="M39" s="294"/>
      <c r="N39" s="294"/>
      <c r="O39" s="294"/>
      <c r="P39" s="294"/>
      <c r="Q39" s="294"/>
      <c r="R39" s="294"/>
      <c r="S39" s="294"/>
      <c r="T39" s="294"/>
    </row>
    <row r="40" spans="1:20" ht="13.25" customHeight="1">
      <c r="A40" s="330">
        <v>2012</v>
      </c>
      <c r="B40" s="370">
        <v>30135.875</v>
      </c>
      <c r="C40" s="372">
        <v>71.593999999999994</v>
      </c>
      <c r="D40" s="372">
        <v>40.689</v>
      </c>
      <c r="E40" s="372">
        <v>36.283000000000001</v>
      </c>
      <c r="F40" s="372">
        <v>1.1719999999999999</v>
      </c>
      <c r="G40" s="372">
        <v>4.1100000000000003</v>
      </c>
      <c r="H40" s="372">
        <v>6.1050000000000004</v>
      </c>
      <c r="I40" s="372">
        <v>0.21</v>
      </c>
      <c r="J40" s="372">
        <v>19.309000000000001</v>
      </c>
      <c r="K40" s="372">
        <v>10.42</v>
      </c>
      <c r="L40" s="294"/>
      <c r="M40" s="294"/>
      <c r="N40" s="294"/>
      <c r="O40" s="294"/>
      <c r="P40" s="294"/>
      <c r="Q40" s="294"/>
      <c r="R40" s="294"/>
      <c r="S40" s="294"/>
      <c r="T40" s="294"/>
    </row>
    <row r="41" spans="1:20" ht="13.25" customHeight="1">
      <c r="A41" s="330">
        <v>2013</v>
      </c>
      <c r="B41" s="370">
        <v>30475.144</v>
      </c>
      <c r="C41" s="372">
        <v>71.980999999999995</v>
      </c>
      <c r="D41" s="372">
        <v>41.63</v>
      </c>
      <c r="E41" s="372">
        <v>38.58</v>
      </c>
      <c r="F41" s="372">
        <v>1.145</v>
      </c>
      <c r="G41" s="372">
        <v>4.3</v>
      </c>
      <c r="H41" s="372">
        <v>6.2560000000000002</v>
      </c>
      <c r="I41" s="372">
        <v>0.21099999999999999</v>
      </c>
      <c r="J41" s="372">
        <v>18.437999999999999</v>
      </c>
      <c r="K41" s="372">
        <v>11.478</v>
      </c>
      <c r="L41" s="294"/>
      <c r="M41" s="294"/>
      <c r="N41" s="294"/>
      <c r="O41" s="294"/>
      <c r="P41" s="294"/>
      <c r="Q41" s="294"/>
      <c r="R41" s="294"/>
      <c r="S41" s="294"/>
      <c r="T41" s="294"/>
    </row>
    <row r="42" spans="1:20" ht="13.25" customHeight="1">
      <c r="A42" s="330">
        <v>2014</v>
      </c>
      <c r="B42" s="370">
        <v>30814.174999999999</v>
      </c>
      <c r="C42" s="372">
        <v>74.945999999999998</v>
      </c>
      <c r="D42" s="372">
        <v>43.273000000000003</v>
      </c>
      <c r="E42" s="372">
        <v>40.018000000000001</v>
      </c>
      <c r="F42" s="372">
        <v>1.117</v>
      </c>
      <c r="G42" s="372">
        <v>4.5309999999999997</v>
      </c>
      <c r="H42" s="372">
        <v>6.3659999999999997</v>
      </c>
      <c r="I42" s="372">
        <v>0.2</v>
      </c>
      <c r="J42" s="372">
        <v>19.459</v>
      </c>
      <c r="K42" s="372">
        <v>11.638</v>
      </c>
      <c r="L42" s="294"/>
      <c r="M42" s="294"/>
      <c r="N42" s="294"/>
      <c r="O42" s="294"/>
      <c r="P42" s="294"/>
      <c r="Q42" s="294"/>
      <c r="R42" s="294"/>
      <c r="S42" s="294"/>
      <c r="T42" s="294"/>
    </row>
    <row r="43" spans="1:20" ht="13.25" customHeight="1">
      <c r="A43" s="330">
        <v>2015</v>
      </c>
      <c r="B43" s="370">
        <v>31151.643</v>
      </c>
      <c r="C43" s="372">
        <v>78.789000000000001</v>
      </c>
      <c r="D43" s="372">
        <v>46.265999999999998</v>
      </c>
      <c r="E43" s="372">
        <v>42.692</v>
      </c>
      <c r="F43" s="372">
        <v>1.1120000000000001</v>
      </c>
      <c r="G43" s="372">
        <v>4.71</v>
      </c>
      <c r="H43" s="372">
        <v>6.2809999999999997</v>
      </c>
      <c r="I43" s="372">
        <v>0.19</v>
      </c>
      <c r="J43" s="372">
        <v>20.23</v>
      </c>
      <c r="K43" s="372">
        <v>12.398999999999999</v>
      </c>
      <c r="L43" s="294"/>
      <c r="M43" s="294"/>
      <c r="N43" s="294"/>
      <c r="O43" s="294"/>
      <c r="P43" s="294"/>
      <c r="Q43" s="294"/>
      <c r="R43" s="294"/>
      <c r="S43" s="294"/>
      <c r="T43" s="294"/>
    </row>
    <row r="44" spans="1:20" ht="13.25" customHeight="1">
      <c r="A44" s="330">
        <v>2016</v>
      </c>
      <c r="B44" s="370">
        <v>31488.625</v>
      </c>
      <c r="C44" s="372">
        <v>83.242000000000004</v>
      </c>
      <c r="D44" s="372">
        <v>48.921999999999997</v>
      </c>
      <c r="E44" s="372">
        <v>44.636000000000003</v>
      </c>
      <c r="F44" s="372">
        <v>1.079</v>
      </c>
      <c r="G44" s="372">
        <v>5.0250000000000004</v>
      </c>
      <c r="H44" s="372">
        <v>6.266</v>
      </c>
      <c r="I44" s="372">
        <v>0.185</v>
      </c>
      <c r="J44" s="372">
        <v>21.765999999999998</v>
      </c>
      <c r="K44" s="372">
        <v>12.734</v>
      </c>
      <c r="L44" s="294"/>
      <c r="M44" s="294"/>
      <c r="N44" s="294"/>
      <c r="O44" s="294"/>
      <c r="P44" s="294"/>
      <c r="Q44" s="294"/>
      <c r="R44" s="294"/>
      <c r="S44" s="294"/>
      <c r="T44" s="294"/>
    </row>
    <row r="45" spans="1:20" ht="13.25" customHeight="1">
      <c r="A45" s="330" t="s">
        <v>195</v>
      </c>
      <c r="B45" s="370">
        <v>31826.018</v>
      </c>
      <c r="C45" s="372">
        <v>84.474999999999994</v>
      </c>
      <c r="D45" s="372">
        <v>50.896000000000001</v>
      </c>
      <c r="E45" s="372">
        <v>46.860999999999997</v>
      </c>
      <c r="F45" s="372">
        <v>1.048</v>
      </c>
      <c r="G45" s="372">
        <v>5.2560000000000002</v>
      </c>
      <c r="H45" s="372">
        <v>6.0389999999999997</v>
      </c>
      <c r="I45" s="372">
        <v>0.16900000000000001</v>
      </c>
      <c r="J45" s="372">
        <v>21.065999999999999</v>
      </c>
      <c r="K45" s="372">
        <v>13.05</v>
      </c>
      <c r="L45" s="294"/>
      <c r="M45" s="294"/>
      <c r="N45" s="294"/>
      <c r="O45" s="294"/>
      <c r="P45" s="294"/>
      <c r="Q45" s="294"/>
      <c r="R45" s="294"/>
      <c r="S45" s="294"/>
      <c r="T45" s="294"/>
    </row>
    <row r="46" spans="1:20" ht="13.25" customHeight="1">
      <c r="A46" s="330" t="s">
        <v>197</v>
      </c>
      <c r="B46" s="370">
        <v>32162.184000000001</v>
      </c>
      <c r="C46" s="372">
        <v>86.98</v>
      </c>
      <c r="D46" s="372">
        <v>54.311</v>
      </c>
      <c r="E46" s="372">
        <v>50.286999999999999</v>
      </c>
      <c r="F46" s="372">
        <v>1.0469999999999999</v>
      </c>
      <c r="G46" s="372">
        <v>5.3869999999999996</v>
      </c>
      <c r="H46" s="372">
        <v>6.0620000000000003</v>
      </c>
      <c r="I46" s="372">
        <v>0.156</v>
      </c>
      <c r="J46" s="372">
        <v>20.015999999999998</v>
      </c>
      <c r="K46" s="372">
        <v>14.061</v>
      </c>
      <c r="L46" s="294"/>
      <c r="M46" s="294"/>
      <c r="N46" s="294"/>
      <c r="O46" s="294"/>
      <c r="P46" s="294"/>
      <c r="Q46" s="294"/>
      <c r="R46" s="294"/>
      <c r="S46" s="294"/>
      <c r="T46" s="294"/>
    </row>
    <row r="47" spans="1:20" ht="13.25" customHeight="1">
      <c r="A47" s="330" t="s">
        <v>348</v>
      </c>
      <c r="B47" s="370">
        <v>32495.51</v>
      </c>
      <c r="C47" s="372">
        <v>88.284999999999997</v>
      </c>
      <c r="D47" s="372">
        <v>56.02</v>
      </c>
      <c r="E47" s="372">
        <v>51.901000000000003</v>
      </c>
      <c r="F47" s="372">
        <v>1.04</v>
      </c>
      <c r="G47" s="372">
        <v>5.6040000000000001</v>
      </c>
      <c r="H47" s="372">
        <v>6.0709999999999997</v>
      </c>
      <c r="I47" s="372">
        <v>0.157</v>
      </c>
      <c r="J47" s="372">
        <v>19.393999999999998</v>
      </c>
      <c r="K47" s="372">
        <v>15.025</v>
      </c>
      <c r="L47" s="294"/>
      <c r="M47" s="294"/>
      <c r="N47" s="294"/>
      <c r="O47" s="294"/>
      <c r="P47" s="294"/>
      <c r="Q47" s="294"/>
      <c r="R47" s="294"/>
      <c r="S47" s="294"/>
      <c r="T47" s="294"/>
    </row>
    <row r="48" spans="1:20" ht="13.25" customHeight="1">
      <c r="A48" s="330">
        <v>2020</v>
      </c>
      <c r="B48" s="370">
        <v>32824.358</v>
      </c>
      <c r="C48" s="372">
        <v>85.540999999999997</v>
      </c>
      <c r="D48" s="372">
        <v>54.433999999999997</v>
      </c>
      <c r="E48" s="372">
        <v>50.585999999999999</v>
      </c>
      <c r="F48" s="372">
        <v>0.98499999999999999</v>
      </c>
      <c r="G48" s="372">
        <v>5.6589999999999998</v>
      </c>
      <c r="H48" s="372">
        <v>5.7530000000000001</v>
      </c>
      <c r="I48" s="372">
        <v>0.151</v>
      </c>
      <c r="J48" s="372">
        <v>18.559000000000001</v>
      </c>
      <c r="K48" s="372">
        <v>15.157</v>
      </c>
      <c r="L48" s="294"/>
      <c r="M48" s="294"/>
      <c r="N48" s="294"/>
      <c r="O48" s="294"/>
      <c r="P48" s="294"/>
      <c r="Q48" s="294"/>
      <c r="R48" s="294"/>
      <c r="S48" s="294"/>
      <c r="T48" s="294"/>
    </row>
    <row r="49" spans="1:20" ht="13.25" customHeight="1">
      <c r="A49" s="330">
        <v>2021</v>
      </c>
      <c r="B49" s="370">
        <v>33149.016000000003</v>
      </c>
      <c r="C49" s="372">
        <v>87.037000000000006</v>
      </c>
      <c r="D49" s="372">
        <v>55.575000000000003</v>
      </c>
      <c r="E49" s="372">
        <v>51.462000000000003</v>
      </c>
      <c r="F49" s="372">
        <v>1.0009999999999999</v>
      </c>
      <c r="G49" s="372">
        <v>5.7919999999999998</v>
      </c>
      <c r="H49" s="372">
        <v>5.8170000000000002</v>
      </c>
      <c r="I49" s="372">
        <v>0.14899999999999999</v>
      </c>
      <c r="J49" s="372">
        <v>18.702999999999999</v>
      </c>
      <c r="K49" s="372">
        <v>15.207000000000001</v>
      </c>
      <c r="L49" s="294"/>
      <c r="M49" s="294"/>
      <c r="N49" s="294"/>
      <c r="O49" s="294"/>
      <c r="P49" s="294"/>
      <c r="Q49" s="294"/>
      <c r="R49" s="294"/>
      <c r="S49" s="294"/>
      <c r="T49" s="294"/>
    </row>
    <row r="50" spans="1:20" ht="13.25" customHeight="1" thickBot="1">
      <c r="A50" s="926" t="s">
        <v>616</v>
      </c>
      <c r="B50" s="371">
        <v>33470.569000000003</v>
      </c>
      <c r="C50" s="373">
        <v>87.444999999999993</v>
      </c>
      <c r="D50" s="373">
        <v>56.253</v>
      </c>
      <c r="E50" s="373">
        <v>52.194000000000003</v>
      </c>
      <c r="F50" s="373">
        <v>1.002</v>
      </c>
      <c r="G50" s="373">
        <v>5.8929999999999998</v>
      </c>
      <c r="H50" s="373">
        <v>5.9039999999999999</v>
      </c>
      <c r="I50" s="373">
        <v>0.14699999999999999</v>
      </c>
      <c r="J50" s="373">
        <v>18.245000000000001</v>
      </c>
      <c r="K50" s="373">
        <v>15.266</v>
      </c>
      <c r="L50" s="294"/>
      <c r="M50" s="294"/>
      <c r="N50" s="294"/>
      <c r="O50" s="294"/>
      <c r="P50" s="294"/>
      <c r="Q50" s="294"/>
      <c r="R50" s="294"/>
      <c r="S50" s="294"/>
      <c r="T50" s="294"/>
    </row>
    <row r="51" spans="1:20" ht="9" customHeight="1">
      <c r="A51" s="835" t="s">
        <v>413</v>
      </c>
      <c r="B51" s="835"/>
      <c r="C51" s="836"/>
      <c r="D51" s="838" t="s">
        <v>414</v>
      </c>
      <c r="E51" s="838"/>
      <c r="F51" s="838"/>
      <c r="G51" s="838"/>
      <c r="H51" s="320"/>
      <c r="I51" s="320"/>
      <c r="J51" s="320"/>
      <c r="K51" s="319"/>
    </row>
    <row r="52" spans="1:20" ht="9" customHeight="1">
      <c r="A52" s="778" t="s">
        <v>402</v>
      </c>
      <c r="B52" s="843"/>
      <c r="C52" s="844"/>
      <c r="D52" s="844"/>
      <c r="E52" s="844"/>
      <c r="F52" s="844"/>
      <c r="G52" s="844"/>
      <c r="H52" s="510"/>
      <c r="I52" s="510"/>
      <c r="J52" s="510"/>
      <c r="K52" s="510"/>
    </row>
    <row r="53" spans="1:20" ht="9" customHeight="1">
      <c r="A53" s="845" t="s">
        <v>359</v>
      </c>
      <c r="B53" s="846"/>
      <c r="C53" s="846"/>
      <c r="D53" s="847"/>
      <c r="E53" s="847"/>
      <c r="F53" s="846"/>
      <c r="G53" s="846"/>
      <c r="H53" s="321"/>
      <c r="I53" s="321"/>
      <c r="J53" s="321"/>
      <c r="K53" s="319"/>
    </row>
    <row r="54" spans="1:20" ht="9" customHeight="1">
      <c r="A54" s="780" t="s">
        <v>358</v>
      </c>
      <c r="B54" s="846"/>
      <c r="C54" s="846"/>
      <c r="D54" s="846"/>
      <c r="E54" s="846"/>
      <c r="F54" s="846"/>
      <c r="G54" s="846"/>
      <c r="H54" s="321"/>
      <c r="I54" s="321"/>
      <c r="J54" s="321"/>
      <c r="K54" s="322"/>
      <c r="L54" s="304"/>
    </row>
    <row r="55" spans="1:20" ht="13.25" customHeight="1">
      <c r="A55" s="848"/>
      <c r="B55" s="846"/>
      <c r="C55" s="846"/>
      <c r="D55" s="846"/>
      <c r="E55" s="846"/>
      <c r="F55" s="846"/>
      <c r="G55" s="846"/>
      <c r="H55" s="302"/>
      <c r="I55" s="302"/>
      <c r="J55" s="302"/>
      <c r="K55" s="304"/>
      <c r="L55" s="304"/>
      <c r="M55" s="306"/>
    </row>
    <row r="56" spans="1:20" ht="13.25" customHeight="1">
      <c r="A56" s="848"/>
      <c r="B56" s="849"/>
      <c r="C56" s="849"/>
      <c r="D56" s="849"/>
      <c r="E56" s="849"/>
      <c r="F56" s="849"/>
      <c r="G56" s="849"/>
      <c r="H56" s="307"/>
      <c r="I56" s="307"/>
      <c r="J56" s="307"/>
      <c r="K56" s="304"/>
      <c r="L56" s="304"/>
      <c r="M56" s="294"/>
    </row>
    <row r="57" spans="1:20" ht="13.25" customHeight="1">
      <c r="A57" s="850"/>
      <c r="B57" s="849"/>
      <c r="C57" s="849"/>
      <c r="D57" s="849"/>
      <c r="E57" s="849"/>
      <c r="F57" s="849"/>
      <c r="G57" s="849"/>
      <c r="H57" s="307"/>
      <c r="I57" s="307"/>
      <c r="J57" s="307"/>
      <c r="K57" s="304"/>
      <c r="L57" s="304"/>
      <c r="M57" s="306"/>
    </row>
    <row r="58" spans="1:20" ht="13.25" customHeight="1">
      <c r="A58" s="301"/>
      <c r="B58" s="307"/>
      <c r="C58" s="307"/>
      <c r="D58" s="307"/>
      <c r="E58" s="307"/>
      <c r="F58" s="307"/>
      <c r="G58" s="307"/>
      <c r="H58" s="307"/>
      <c r="I58" s="307"/>
      <c r="J58" s="307"/>
      <c r="K58" s="304"/>
      <c r="L58" s="304"/>
      <c r="M58" s="306"/>
    </row>
    <row r="59" spans="1:20" ht="13.25" customHeight="1">
      <c r="A59" s="301"/>
      <c r="B59" s="307"/>
      <c r="C59" s="307"/>
      <c r="D59" s="307"/>
      <c r="E59" s="307"/>
      <c r="F59" s="307"/>
      <c r="G59" s="307"/>
      <c r="H59" s="307"/>
      <c r="I59" s="307"/>
      <c r="J59" s="307"/>
      <c r="K59" s="304"/>
      <c r="L59" s="304"/>
      <c r="M59" s="306"/>
    </row>
    <row r="60" spans="1:20" ht="13.25" customHeight="1">
      <c r="A60" s="303"/>
      <c r="B60" s="307"/>
      <c r="C60" s="307"/>
      <c r="D60" s="307"/>
      <c r="E60" s="307"/>
      <c r="F60" s="307"/>
      <c r="G60" s="307"/>
      <c r="H60" s="307"/>
      <c r="I60" s="307"/>
      <c r="J60" s="307"/>
      <c r="K60" s="304"/>
      <c r="L60" s="304"/>
      <c r="M60" s="306"/>
    </row>
    <row r="61" spans="1:20" ht="13.25" customHeight="1">
      <c r="A61" s="309"/>
      <c r="B61" s="307"/>
      <c r="C61" s="307"/>
      <c r="D61" s="307"/>
      <c r="E61" s="307"/>
      <c r="F61" s="307"/>
      <c r="G61" s="307"/>
      <c r="H61" s="307"/>
      <c r="I61" s="307"/>
      <c r="J61" s="307"/>
    </row>
    <row r="62" spans="1:20" ht="13.25" customHeight="1">
      <c r="A62" s="308"/>
      <c r="B62" s="307"/>
      <c r="C62" s="307"/>
      <c r="D62" s="307"/>
      <c r="E62" s="307"/>
      <c r="F62" s="307"/>
      <c r="G62" s="307"/>
      <c r="H62" s="307"/>
      <c r="I62" s="307"/>
      <c r="J62" s="307"/>
    </row>
    <row r="63" spans="1:20" ht="13.25" customHeight="1">
      <c r="A63" s="308"/>
      <c r="B63" s="307"/>
      <c r="C63" s="307"/>
      <c r="D63" s="307"/>
      <c r="E63" s="307"/>
      <c r="F63" s="307"/>
      <c r="G63" s="307"/>
      <c r="H63" s="307"/>
      <c r="I63" s="307"/>
      <c r="J63" s="307"/>
    </row>
  </sheetData>
  <mergeCells count="8">
    <mergeCell ref="A5:A6"/>
    <mergeCell ref="K32:K33"/>
    <mergeCell ref="C5:H5"/>
    <mergeCell ref="I5:I6"/>
    <mergeCell ref="J5:J6"/>
    <mergeCell ref="D32:I32"/>
    <mergeCell ref="A32:A33"/>
    <mergeCell ref="J32:J33"/>
  </mergeCells>
  <printOptions horizontalCentered="1" verticalCentered="1" gridLinesSet="0"/>
  <pageMargins left="0" right="0" top="0" bottom="0" header="0" footer="0"/>
  <pageSetup paperSize="9" orientation="portrait" r:id="rId1"/>
  <headerFooter scaleWithDoc="0" alignWithMargins="0"/>
  <rowBreaks count="1" manualBreakCount="1">
    <brk id="28" max="10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syncVertical="1" syncRef="A1" transitionEvaluation="1" codeName="Hoja95">
    <tabColor theme="9" tint="0.59999389629810485"/>
  </sheetPr>
  <dimension ref="A1:BX52"/>
  <sheetViews>
    <sheetView showGridLines="0" topLeftCell="A10" zoomScaleNormal="100" workbookViewId="0">
      <selection activeCell="N38" sqref="N38"/>
    </sheetView>
  </sheetViews>
  <sheetFormatPr baseColWidth="10" defaultColWidth="9.796875" defaultRowHeight="15" customHeight="1"/>
  <cols>
    <col min="1" max="1" width="7.3984375" style="342" customWidth="1"/>
    <col min="2" max="2" width="9.796875" style="342" customWidth="1"/>
    <col min="3" max="3" width="10.19921875" style="342" customWidth="1"/>
    <col min="4" max="9" width="9.3984375" style="342" customWidth="1"/>
    <col min="10" max="12" width="10" style="342" customWidth="1"/>
    <col min="13" max="256" width="9.796875" style="342"/>
    <col min="257" max="257" width="9" style="342" customWidth="1"/>
    <col min="258" max="258" width="11" style="342" customWidth="1"/>
    <col min="259" max="259" width="10.796875" style="342" customWidth="1"/>
    <col min="260" max="260" width="9" style="342" customWidth="1"/>
    <col min="261" max="261" width="9.796875" style="342"/>
    <col min="262" max="263" width="10" style="342" customWidth="1"/>
    <col min="264" max="264" width="1.796875" style="342" customWidth="1"/>
    <col min="265" max="265" width="9" style="342" customWidth="1"/>
    <col min="266" max="266" width="0" style="342" hidden="1" customWidth="1"/>
    <col min="267" max="267" width="1.3984375" style="342" customWidth="1"/>
    <col min="268" max="512" width="9.796875" style="342"/>
    <col min="513" max="513" width="9" style="342" customWidth="1"/>
    <col min="514" max="514" width="11" style="342" customWidth="1"/>
    <col min="515" max="515" width="10.796875" style="342" customWidth="1"/>
    <col min="516" max="516" width="9" style="342" customWidth="1"/>
    <col min="517" max="517" width="9.796875" style="342"/>
    <col min="518" max="519" width="10" style="342" customWidth="1"/>
    <col min="520" max="520" width="1.796875" style="342" customWidth="1"/>
    <col min="521" max="521" width="9" style="342" customWidth="1"/>
    <col min="522" max="522" width="0" style="342" hidden="1" customWidth="1"/>
    <col min="523" max="523" width="1.3984375" style="342" customWidth="1"/>
    <col min="524" max="768" width="9.796875" style="342"/>
    <col min="769" max="769" width="9" style="342" customWidth="1"/>
    <col min="770" max="770" width="11" style="342" customWidth="1"/>
    <col min="771" max="771" width="10.796875" style="342" customWidth="1"/>
    <col min="772" max="772" width="9" style="342" customWidth="1"/>
    <col min="773" max="773" width="9.796875" style="342"/>
    <col min="774" max="775" width="10" style="342" customWidth="1"/>
    <col min="776" max="776" width="1.796875" style="342" customWidth="1"/>
    <col min="777" max="777" width="9" style="342" customWidth="1"/>
    <col min="778" max="778" width="0" style="342" hidden="1" customWidth="1"/>
    <col min="779" max="779" width="1.3984375" style="342" customWidth="1"/>
    <col min="780" max="1024" width="9.796875" style="342"/>
    <col min="1025" max="1025" width="9" style="342" customWidth="1"/>
    <col min="1026" max="1026" width="11" style="342" customWidth="1"/>
    <col min="1027" max="1027" width="10.796875" style="342" customWidth="1"/>
    <col min="1028" max="1028" width="9" style="342" customWidth="1"/>
    <col min="1029" max="1029" width="9.796875" style="342"/>
    <col min="1030" max="1031" width="10" style="342" customWidth="1"/>
    <col min="1032" max="1032" width="1.796875" style="342" customWidth="1"/>
    <col min="1033" max="1033" width="9" style="342" customWidth="1"/>
    <col min="1034" max="1034" width="0" style="342" hidden="1" customWidth="1"/>
    <col min="1035" max="1035" width="1.3984375" style="342" customWidth="1"/>
    <col min="1036" max="1280" width="9.796875" style="342"/>
    <col min="1281" max="1281" width="9" style="342" customWidth="1"/>
    <col min="1282" max="1282" width="11" style="342" customWidth="1"/>
    <col min="1283" max="1283" width="10.796875" style="342" customWidth="1"/>
    <col min="1284" max="1284" width="9" style="342" customWidth="1"/>
    <col min="1285" max="1285" width="9.796875" style="342"/>
    <col min="1286" max="1287" width="10" style="342" customWidth="1"/>
    <col min="1288" max="1288" width="1.796875" style="342" customWidth="1"/>
    <col min="1289" max="1289" width="9" style="342" customWidth="1"/>
    <col min="1290" max="1290" width="0" style="342" hidden="1" customWidth="1"/>
    <col min="1291" max="1291" width="1.3984375" style="342" customWidth="1"/>
    <col min="1292" max="1536" width="9.796875" style="342"/>
    <col min="1537" max="1537" width="9" style="342" customWidth="1"/>
    <col min="1538" max="1538" width="11" style="342" customWidth="1"/>
    <col min="1539" max="1539" width="10.796875" style="342" customWidth="1"/>
    <col min="1540" max="1540" width="9" style="342" customWidth="1"/>
    <col min="1541" max="1541" width="9.796875" style="342"/>
    <col min="1542" max="1543" width="10" style="342" customWidth="1"/>
    <col min="1544" max="1544" width="1.796875" style="342" customWidth="1"/>
    <col min="1545" max="1545" width="9" style="342" customWidth="1"/>
    <col min="1546" max="1546" width="0" style="342" hidden="1" customWidth="1"/>
    <col min="1547" max="1547" width="1.3984375" style="342" customWidth="1"/>
    <col min="1548" max="1792" width="9.796875" style="342"/>
    <col min="1793" max="1793" width="9" style="342" customWidth="1"/>
    <col min="1794" max="1794" width="11" style="342" customWidth="1"/>
    <col min="1795" max="1795" width="10.796875" style="342" customWidth="1"/>
    <col min="1796" max="1796" width="9" style="342" customWidth="1"/>
    <col min="1797" max="1797" width="9.796875" style="342"/>
    <col min="1798" max="1799" width="10" style="342" customWidth="1"/>
    <col min="1800" max="1800" width="1.796875" style="342" customWidth="1"/>
    <col min="1801" max="1801" width="9" style="342" customWidth="1"/>
    <col min="1802" max="1802" width="0" style="342" hidden="1" customWidth="1"/>
    <col min="1803" max="1803" width="1.3984375" style="342" customWidth="1"/>
    <col min="1804" max="2048" width="9.796875" style="342"/>
    <col min="2049" max="2049" width="9" style="342" customWidth="1"/>
    <col min="2050" max="2050" width="11" style="342" customWidth="1"/>
    <col min="2051" max="2051" width="10.796875" style="342" customWidth="1"/>
    <col min="2052" max="2052" width="9" style="342" customWidth="1"/>
    <col min="2053" max="2053" width="9.796875" style="342"/>
    <col min="2054" max="2055" width="10" style="342" customWidth="1"/>
    <col min="2056" max="2056" width="1.796875" style="342" customWidth="1"/>
    <col min="2057" max="2057" width="9" style="342" customWidth="1"/>
    <col min="2058" max="2058" width="0" style="342" hidden="1" customWidth="1"/>
    <col min="2059" max="2059" width="1.3984375" style="342" customWidth="1"/>
    <col min="2060" max="2304" width="9.796875" style="342"/>
    <col min="2305" max="2305" width="9" style="342" customWidth="1"/>
    <col min="2306" max="2306" width="11" style="342" customWidth="1"/>
    <col min="2307" max="2307" width="10.796875" style="342" customWidth="1"/>
    <col min="2308" max="2308" width="9" style="342" customWidth="1"/>
    <col min="2309" max="2309" width="9.796875" style="342"/>
    <col min="2310" max="2311" width="10" style="342" customWidth="1"/>
    <col min="2312" max="2312" width="1.796875" style="342" customWidth="1"/>
    <col min="2313" max="2313" width="9" style="342" customWidth="1"/>
    <col min="2314" max="2314" width="0" style="342" hidden="1" customWidth="1"/>
    <col min="2315" max="2315" width="1.3984375" style="342" customWidth="1"/>
    <col min="2316" max="2560" width="9.796875" style="342"/>
    <col min="2561" max="2561" width="9" style="342" customWidth="1"/>
    <col min="2562" max="2562" width="11" style="342" customWidth="1"/>
    <col min="2563" max="2563" width="10.796875" style="342" customWidth="1"/>
    <col min="2564" max="2564" width="9" style="342" customWidth="1"/>
    <col min="2565" max="2565" width="9.796875" style="342"/>
    <col min="2566" max="2567" width="10" style="342" customWidth="1"/>
    <col min="2568" max="2568" width="1.796875" style="342" customWidth="1"/>
    <col min="2569" max="2569" width="9" style="342" customWidth="1"/>
    <col min="2570" max="2570" width="0" style="342" hidden="1" customWidth="1"/>
    <col min="2571" max="2571" width="1.3984375" style="342" customWidth="1"/>
    <col min="2572" max="2816" width="9.796875" style="342"/>
    <col min="2817" max="2817" width="9" style="342" customWidth="1"/>
    <col min="2818" max="2818" width="11" style="342" customWidth="1"/>
    <col min="2819" max="2819" width="10.796875" style="342" customWidth="1"/>
    <col min="2820" max="2820" width="9" style="342" customWidth="1"/>
    <col min="2821" max="2821" width="9.796875" style="342"/>
    <col min="2822" max="2823" width="10" style="342" customWidth="1"/>
    <col min="2824" max="2824" width="1.796875" style="342" customWidth="1"/>
    <col min="2825" max="2825" width="9" style="342" customWidth="1"/>
    <col min="2826" max="2826" width="0" style="342" hidden="1" customWidth="1"/>
    <col min="2827" max="2827" width="1.3984375" style="342" customWidth="1"/>
    <col min="2828" max="3072" width="9.796875" style="342"/>
    <col min="3073" max="3073" width="9" style="342" customWidth="1"/>
    <col min="3074" max="3074" width="11" style="342" customWidth="1"/>
    <col min="3075" max="3075" width="10.796875" style="342" customWidth="1"/>
    <col min="3076" max="3076" width="9" style="342" customWidth="1"/>
    <col min="3077" max="3077" width="9.796875" style="342"/>
    <col min="3078" max="3079" width="10" style="342" customWidth="1"/>
    <col min="3080" max="3080" width="1.796875" style="342" customWidth="1"/>
    <col min="3081" max="3081" width="9" style="342" customWidth="1"/>
    <col min="3082" max="3082" width="0" style="342" hidden="1" customWidth="1"/>
    <col min="3083" max="3083" width="1.3984375" style="342" customWidth="1"/>
    <col min="3084" max="3328" width="9.796875" style="342"/>
    <col min="3329" max="3329" width="9" style="342" customWidth="1"/>
    <col min="3330" max="3330" width="11" style="342" customWidth="1"/>
    <col min="3331" max="3331" width="10.796875" style="342" customWidth="1"/>
    <col min="3332" max="3332" width="9" style="342" customWidth="1"/>
    <col min="3333" max="3333" width="9.796875" style="342"/>
    <col min="3334" max="3335" width="10" style="342" customWidth="1"/>
    <col min="3336" max="3336" width="1.796875" style="342" customWidth="1"/>
    <col min="3337" max="3337" width="9" style="342" customWidth="1"/>
    <col min="3338" max="3338" width="0" style="342" hidden="1" customWidth="1"/>
    <col min="3339" max="3339" width="1.3984375" style="342" customWidth="1"/>
    <col min="3340" max="3584" width="9.796875" style="342"/>
    <col min="3585" max="3585" width="9" style="342" customWidth="1"/>
    <col min="3586" max="3586" width="11" style="342" customWidth="1"/>
    <col min="3587" max="3587" width="10.796875" style="342" customWidth="1"/>
    <col min="3588" max="3588" width="9" style="342" customWidth="1"/>
    <col min="3589" max="3589" width="9.796875" style="342"/>
    <col min="3590" max="3591" width="10" style="342" customWidth="1"/>
    <col min="3592" max="3592" width="1.796875" style="342" customWidth="1"/>
    <col min="3593" max="3593" width="9" style="342" customWidth="1"/>
    <col min="3594" max="3594" width="0" style="342" hidden="1" customWidth="1"/>
    <col min="3595" max="3595" width="1.3984375" style="342" customWidth="1"/>
    <col min="3596" max="3840" width="9.796875" style="342"/>
    <col min="3841" max="3841" width="9" style="342" customWidth="1"/>
    <col min="3842" max="3842" width="11" style="342" customWidth="1"/>
    <col min="3843" max="3843" width="10.796875" style="342" customWidth="1"/>
    <col min="3844" max="3844" width="9" style="342" customWidth="1"/>
    <col min="3845" max="3845" width="9.796875" style="342"/>
    <col min="3846" max="3847" width="10" style="342" customWidth="1"/>
    <col min="3848" max="3848" width="1.796875" style="342" customWidth="1"/>
    <col min="3849" max="3849" width="9" style="342" customWidth="1"/>
    <col min="3850" max="3850" width="0" style="342" hidden="1" customWidth="1"/>
    <col min="3851" max="3851" width="1.3984375" style="342" customWidth="1"/>
    <col min="3852" max="4096" width="9.796875" style="342"/>
    <col min="4097" max="4097" width="9" style="342" customWidth="1"/>
    <col min="4098" max="4098" width="11" style="342" customWidth="1"/>
    <col min="4099" max="4099" width="10.796875" style="342" customWidth="1"/>
    <col min="4100" max="4100" width="9" style="342" customWidth="1"/>
    <col min="4101" max="4101" width="9.796875" style="342"/>
    <col min="4102" max="4103" width="10" style="342" customWidth="1"/>
    <col min="4104" max="4104" width="1.796875" style="342" customWidth="1"/>
    <col min="4105" max="4105" width="9" style="342" customWidth="1"/>
    <col min="4106" max="4106" width="0" style="342" hidden="1" customWidth="1"/>
    <col min="4107" max="4107" width="1.3984375" style="342" customWidth="1"/>
    <col min="4108" max="4352" width="9.796875" style="342"/>
    <col min="4353" max="4353" width="9" style="342" customWidth="1"/>
    <col min="4354" max="4354" width="11" style="342" customWidth="1"/>
    <col min="4355" max="4355" width="10.796875" style="342" customWidth="1"/>
    <col min="4356" max="4356" width="9" style="342" customWidth="1"/>
    <col min="4357" max="4357" width="9.796875" style="342"/>
    <col min="4358" max="4359" width="10" style="342" customWidth="1"/>
    <col min="4360" max="4360" width="1.796875" style="342" customWidth="1"/>
    <col min="4361" max="4361" width="9" style="342" customWidth="1"/>
    <col min="4362" max="4362" width="0" style="342" hidden="1" customWidth="1"/>
    <col min="4363" max="4363" width="1.3984375" style="342" customWidth="1"/>
    <col min="4364" max="4608" width="9.796875" style="342"/>
    <col min="4609" max="4609" width="9" style="342" customWidth="1"/>
    <col min="4610" max="4610" width="11" style="342" customWidth="1"/>
    <col min="4611" max="4611" width="10.796875" style="342" customWidth="1"/>
    <col min="4612" max="4612" width="9" style="342" customWidth="1"/>
    <col min="4613" max="4613" width="9.796875" style="342"/>
    <col min="4614" max="4615" width="10" style="342" customWidth="1"/>
    <col min="4616" max="4616" width="1.796875" style="342" customWidth="1"/>
    <col min="4617" max="4617" width="9" style="342" customWidth="1"/>
    <col min="4618" max="4618" width="0" style="342" hidden="1" customWidth="1"/>
    <col min="4619" max="4619" width="1.3984375" style="342" customWidth="1"/>
    <col min="4620" max="4864" width="9.796875" style="342"/>
    <col min="4865" max="4865" width="9" style="342" customWidth="1"/>
    <col min="4866" max="4866" width="11" style="342" customWidth="1"/>
    <col min="4867" max="4867" width="10.796875" style="342" customWidth="1"/>
    <col min="4868" max="4868" width="9" style="342" customWidth="1"/>
    <col min="4869" max="4869" width="9.796875" style="342"/>
    <col min="4870" max="4871" width="10" style="342" customWidth="1"/>
    <col min="4872" max="4872" width="1.796875" style="342" customWidth="1"/>
    <col min="4873" max="4873" width="9" style="342" customWidth="1"/>
    <col min="4874" max="4874" width="0" style="342" hidden="1" customWidth="1"/>
    <col min="4875" max="4875" width="1.3984375" style="342" customWidth="1"/>
    <col min="4876" max="5120" width="9.796875" style="342"/>
    <col min="5121" max="5121" width="9" style="342" customWidth="1"/>
    <col min="5122" max="5122" width="11" style="342" customWidth="1"/>
    <col min="5123" max="5123" width="10.796875" style="342" customWidth="1"/>
    <col min="5124" max="5124" width="9" style="342" customWidth="1"/>
    <col min="5125" max="5125" width="9.796875" style="342"/>
    <col min="5126" max="5127" width="10" style="342" customWidth="1"/>
    <col min="5128" max="5128" width="1.796875" style="342" customWidth="1"/>
    <col min="5129" max="5129" width="9" style="342" customWidth="1"/>
    <col min="5130" max="5130" width="0" style="342" hidden="1" customWidth="1"/>
    <col min="5131" max="5131" width="1.3984375" style="342" customWidth="1"/>
    <col min="5132" max="5376" width="9.796875" style="342"/>
    <col min="5377" max="5377" width="9" style="342" customWidth="1"/>
    <col min="5378" max="5378" width="11" style="342" customWidth="1"/>
    <col min="5379" max="5379" width="10.796875" style="342" customWidth="1"/>
    <col min="5380" max="5380" width="9" style="342" customWidth="1"/>
    <col min="5381" max="5381" width="9.796875" style="342"/>
    <col min="5382" max="5383" width="10" style="342" customWidth="1"/>
    <col min="5384" max="5384" width="1.796875" style="342" customWidth="1"/>
    <col min="5385" max="5385" width="9" style="342" customWidth="1"/>
    <col min="5386" max="5386" width="0" style="342" hidden="1" customWidth="1"/>
    <col min="5387" max="5387" width="1.3984375" style="342" customWidth="1"/>
    <col min="5388" max="5632" width="9.796875" style="342"/>
    <col min="5633" max="5633" width="9" style="342" customWidth="1"/>
    <col min="5634" max="5634" width="11" style="342" customWidth="1"/>
    <col min="5635" max="5635" width="10.796875" style="342" customWidth="1"/>
    <col min="5636" max="5636" width="9" style="342" customWidth="1"/>
    <col min="5637" max="5637" width="9.796875" style="342"/>
    <col min="5638" max="5639" width="10" style="342" customWidth="1"/>
    <col min="5640" max="5640" width="1.796875" style="342" customWidth="1"/>
    <col min="5641" max="5641" width="9" style="342" customWidth="1"/>
    <col min="5642" max="5642" width="0" style="342" hidden="1" customWidth="1"/>
    <col min="5643" max="5643" width="1.3984375" style="342" customWidth="1"/>
    <col min="5644" max="5888" width="9.796875" style="342"/>
    <col min="5889" max="5889" width="9" style="342" customWidth="1"/>
    <col min="5890" max="5890" width="11" style="342" customWidth="1"/>
    <col min="5891" max="5891" width="10.796875" style="342" customWidth="1"/>
    <col min="5892" max="5892" width="9" style="342" customWidth="1"/>
    <col min="5893" max="5893" width="9.796875" style="342"/>
    <col min="5894" max="5895" width="10" style="342" customWidth="1"/>
    <col min="5896" max="5896" width="1.796875" style="342" customWidth="1"/>
    <col min="5897" max="5897" width="9" style="342" customWidth="1"/>
    <col min="5898" max="5898" width="0" style="342" hidden="1" customWidth="1"/>
    <col min="5899" max="5899" width="1.3984375" style="342" customWidth="1"/>
    <col min="5900" max="6144" width="9.796875" style="342"/>
    <col min="6145" max="6145" width="9" style="342" customWidth="1"/>
    <col min="6146" max="6146" width="11" style="342" customWidth="1"/>
    <col min="6147" max="6147" width="10.796875" style="342" customWidth="1"/>
    <col min="6148" max="6148" width="9" style="342" customWidth="1"/>
    <col min="6149" max="6149" width="9.796875" style="342"/>
    <col min="6150" max="6151" width="10" style="342" customWidth="1"/>
    <col min="6152" max="6152" width="1.796875" style="342" customWidth="1"/>
    <col min="6153" max="6153" width="9" style="342" customWidth="1"/>
    <col min="6154" max="6154" width="0" style="342" hidden="1" customWidth="1"/>
    <col min="6155" max="6155" width="1.3984375" style="342" customWidth="1"/>
    <col min="6156" max="6400" width="9.796875" style="342"/>
    <col min="6401" max="6401" width="9" style="342" customWidth="1"/>
    <col min="6402" max="6402" width="11" style="342" customWidth="1"/>
    <col min="6403" max="6403" width="10.796875" style="342" customWidth="1"/>
    <col min="6404" max="6404" width="9" style="342" customWidth="1"/>
    <col min="6405" max="6405" width="9.796875" style="342"/>
    <col min="6406" max="6407" width="10" style="342" customWidth="1"/>
    <col min="6408" max="6408" width="1.796875" style="342" customWidth="1"/>
    <col min="6409" max="6409" width="9" style="342" customWidth="1"/>
    <col min="6410" max="6410" width="0" style="342" hidden="1" customWidth="1"/>
    <col min="6411" max="6411" width="1.3984375" style="342" customWidth="1"/>
    <col min="6412" max="6656" width="9.796875" style="342"/>
    <col min="6657" max="6657" width="9" style="342" customWidth="1"/>
    <col min="6658" max="6658" width="11" style="342" customWidth="1"/>
    <col min="6659" max="6659" width="10.796875" style="342" customWidth="1"/>
    <col min="6660" max="6660" width="9" style="342" customWidth="1"/>
    <col min="6661" max="6661" width="9.796875" style="342"/>
    <col min="6662" max="6663" width="10" style="342" customWidth="1"/>
    <col min="6664" max="6664" width="1.796875" style="342" customWidth="1"/>
    <col min="6665" max="6665" width="9" style="342" customWidth="1"/>
    <col min="6666" max="6666" width="0" style="342" hidden="1" customWidth="1"/>
    <col min="6667" max="6667" width="1.3984375" style="342" customWidth="1"/>
    <col min="6668" max="6912" width="9.796875" style="342"/>
    <col min="6913" max="6913" width="9" style="342" customWidth="1"/>
    <col min="6914" max="6914" width="11" style="342" customWidth="1"/>
    <col min="6915" max="6915" width="10.796875" style="342" customWidth="1"/>
    <col min="6916" max="6916" width="9" style="342" customWidth="1"/>
    <col min="6917" max="6917" width="9.796875" style="342"/>
    <col min="6918" max="6919" width="10" style="342" customWidth="1"/>
    <col min="6920" max="6920" width="1.796875" style="342" customWidth="1"/>
    <col min="6921" max="6921" width="9" style="342" customWidth="1"/>
    <col min="6922" max="6922" width="0" style="342" hidden="1" customWidth="1"/>
    <col min="6923" max="6923" width="1.3984375" style="342" customWidth="1"/>
    <col min="6924" max="7168" width="9.796875" style="342"/>
    <col min="7169" max="7169" width="9" style="342" customWidth="1"/>
    <col min="7170" max="7170" width="11" style="342" customWidth="1"/>
    <col min="7171" max="7171" width="10.796875" style="342" customWidth="1"/>
    <col min="7172" max="7172" width="9" style="342" customWidth="1"/>
    <col min="7173" max="7173" width="9.796875" style="342"/>
    <col min="7174" max="7175" width="10" style="342" customWidth="1"/>
    <col min="7176" max="7176" width="1.796875" style="342" customWidth="1"/>
    <col min="7177" max="7177" width="9" style="342" customWidth="1"/>
    <col min="7178" max="7178" width="0" style="342" hidden="1" customWidth="1"/>
    <col min="7179" max="7179" width="1.3984375" style="342" customWidth="1"/>
    <col min="7180" max="7424" width="9.796875" style="342"/>
    <col min="7425" max="7425" width="9" style="342" customWidth="1"/>
    <col min="7426" max="7426" width="11" style="342" customWidth="1"/>
    <col min="7427" max="7427" width="10.796875" style="342" customWidth="1"/>
    <col min="7428" max="7428" width="9" style="342" customWidth="1"/>
    <col min="7429" max="7429" width="9.796875" style="342"/>
    <col min="7430" max="7431" width="10" style="342" customWidth="1"/>
    <col min="7432" max="7432" width="1.796875" style="342" customWidth="1"/>
    <col min="7433" max="7433" width="9" style="342" customWidth="1"/>
    <col min="7434" max="7434" width="0" style="342" hidden="1" customWidth="1"/>
    <col min="7435" max="7435" width="1.3984375" style="342" customWidth="1"/>
    <col min="7436" max="7680" width="9.796875" style="342"/>
    <col min="7681" max="7681" width="9" style="342" customWidth="1"/>
    <col min="7682" max="7682" width="11" style="342" customWidth="1"/>
    <col min="7683" max="7683" width="10.796875" style="342" customWidth="1"/>
    <col min="7684" max="7684" width="9" style="342" customWidth="1"/>
    <col min="7685" max="7685" width="9.796875" style="342"/>
    <col min="7686" max="7687" width="10" style="342" customWidth="1"/>
    <col min="7688" max="7688" width="1.796875" style="342" customWidth="1"/>
    <col min="7689" max="7689" width="9" style="342" customWidth="1"/>
    <col min="7690" max="7690" width="0" style="342" hidden="1" customWidth="1"/>
    <col min="7691" max="7691" width="1.3984375" style="342" customWidth="1"/>
    <col min="7692" max="7936" width="9.796875" style="342"/>
    <col min="7937" max="7937" width="9" style="342" customWidth="1"/>
    <col min="7938" max="7938" width="11" style="342" customWidth="1"/>
    <col min="7939" max="7939" width="10.796875" style="342" customWidth="1"/>
    <col min="7940" max="7940" width="9" style="342" customWidth="1"/>
    <col min="7941" max="7941" width="9.796875" style="342"/>
    <col min="7942" max="7943" width="10" style="342" customWidth="1"/>
    <col min="7944" max="7944" width="1.796875" style="342" customWidth="1"/>
    <col min="7945" max="7945" width="9" style="342" customWidth="1"/>
    <col min="7946" max="7946" width="0" style="342" hidden="1" customWidth="1"/>
    <col min="7947" max="7947" width="1.3984375" style="342" customWidth="1"/>
    <col min="7948" max="8192" width="9.796875" style="342"/>
    <col min="8193" max="8193" width="9" style="342" customWidth="1"/>
    <col min="8194" max="8194" width="11" style="342" customWidth="1"/>
    <col min="8195" max="8195" width="10.796875" style="342" customWidth="1"/>
    <col min="8196" max="8196" width="9" style="342" customWidth="1"/>
    <col min="8197" max="8197" width="9.796875" style="342"/>
    <col min="8198" max="8199" width="10" style="342" customWidth="1"/>
    <col min="8200" max="8200" width="1.796875" style="342" customWidth="1"/>
    <col min="8201" max="8201" width="9" style="342" customWidth="1"/>
    <col min="8202" max="8202" width="0" style="342" hidden="1" customWidth="1"/>
    <col min="8203" max="8203" width="1.3984375" style="342" customWidth="1"/>
    <col min="8204" max="8448" width="9.796875" style="342"/>
    <col min="8449" max="8449" width="9" style="342" customWidth="1"/>
    <col min="8450" max="8450" width="11" style="342" customWidth="1"/>
    <col min="8451" max="8451" width="10.796875" style="342" customWidth="1"/>
    <col min="8452" max="8452" width="9" style="342" customWidth="1"/>
    <col min="8453" max="8453" width="9.796875" style="342"/>
    <col min="8454" max="8455" width="10" style="342" customWidth="1"/>
    <col min="8456" max="8456" width="1.796875" style="342" customWidth="1"/>
    <col min="8457" max="8457" width="9" style="342" customWidth="1"/>
    <col min="8458" max="8458" width="0" style="342" hidden="1" customWidth="1"/>
    <col min="8459" max="8459" width="1.3984375" style="342" customWidth="1"/>
    <col min="8460" max="8704" width="9.796875" style="342"/>
    <col min="8705" max="8705" width="9" style="342" customWidth="1"/>
    <col min="8706" max="8706" width="11" style="342" customWidth="1"/>
    <col min="8707" max="8707" width="10.796875" style="342" customWidth="1"/>
    <col min="8708" max="8708" width="9" style="342" customWidth="1"/>
    <col min="8709" max="8709" width="9.796875" style="342"/>
    <col min="8710" max="8711" width="10" style="342" customWidth="1"/>
    <col min="8712" max="8712" width="1.796875" style="342" customWidth="1"/>
    <col min="8713" max="8713" width="9" style="342" customWidth="1"/>
    <col min="8714" max="8714" width="0" style="342" hidden="1" customWidth="1"/>
    <col min="8715" max="8715" width="1.3984375" style="342" customWidth="1"/>
    <col min="8716" max="8960" width="9.796875" style="342"/>
    <col min="8961" max="8961" width="9" style="342" customWidth="1"/>
    <col min="8962" max="8962" width="11" style="342" customWidth="1"/>
    <col min="8963" max="8963" width="10.796875" style="342" customWidth="1"/>
    <col min="8964" max="8964" width="9" style="342" customWidth="1"/>
    <col min="8965" max="8965" width="9.796875" style="342"/>
    <col min="8966" max="8967" width="10" style="342" customWidth="1"/>
    <col min="8968" max="8968" width="1.796875" style="342" customWidth="1"/>
    <col min="8969" max="8969" width="9" style="342" customWidth="1"/>
    <col min="8970" max="8970" width="0" style="342" hidden="1" customWidth="1"/>
    <col min="8971" max="8971" width="1.3984375" style="342" customWidth="1"/>
    <col min="8972" max="9216" width="9.796875" style="342"/>
    <col min="9217" max="9217" width="9" style="342" customWidth="1"/>
    <col min="9218" max="9218" width="11" style="342" customWidth="1"/>
    <col min="9219" max="9219" width="10.796875" style="342" customWidth="1"/>
    <col min="9220" max="9220" width="9" style="342" customWidth="1"/>
    <col min="9221" max="9221" width="9.796875" style="342"/>
    <col min="9222" max="9223" width="10" style="342" customWidth="1"/>
    <col min="9224" max="9224" width="1.796875" style="342" customWidth="1"/>
    <col min="9225" max="9225" width="9" style="342" customWidth="1"/>
    <col min="9226" max="9226" width="0" style="342" hidden="1" customWidth="1"/>
    <col min="9227" max="9227" width="1.3984375" style="342" customWidth="1"/>
    <col min="9228" max="9472" width="9.796875" style="342"/>
    <col min="9473" max="9473" width="9" style="342" customWidth="1"/>
    <col min="9474" max="9474" width="11" style="342" customWidth="1"/>
    <col min="9475" max="9475" width="10.796875" style="342" customWidth="1"/>
    <col min="9476" max="9476" width="9" style="342" customWidth="1"/>
    <col min="9477" max="9477" width="9.796875" style="342"/>
    <col min="9478" max="9479" width="10" style="342" customWidth="1"/>
    <col min="9480" max="9480" width="1.796875" style="342" customWidth="1"/>
    <col min="9481" max="9481" width="9" style="342" customWidth="1"/>
    <col min="9482" max="9482" width="0" style="342" hidden="1" customWidth="1"/>
    <col min="9483" max="9483" width="1.3984375" style="342" customWidth="1"/>
    <col min="9484" max="9728" width="9.796875" style="342"/>
    <col min="9729" max="9729" width="9" style="342" customWidth="1"/>
    <col min="9730" max="9730" width="11" style="342" customWidth="1"/>
    <col min="9731" max="9731" width="10.796875" style="342" customWidth="1"/>
    <col min="9732" max="9732" width="9" style="342" customWidth="1"/>
    <col min="9733" max="9733" width="9.796875" style="342"/>
    <col min="9734" max="9735" width="10" style="342" customWidth="1"/>
    <col min="9736" max="9736" width="1.796875" style="342" customWidth="1"/>
    <col min="9737" max="9737" width="9" style="342" customWidth="1"/>
    <col min="9738" max="9738" width="0" style="342" hidden="1" customWidth="1"/>
    <col min="9739" max="9739" width="1.3984375" style="342" customWidth="1"/>
    <col min="9740" max="9984" width="9.796875" style="342"/>
    <col min="9985" max="9985" width="9" style="342" customWidth="1"/>
    <col min="9986" max="9986" width="11" style="342" customWidth="1"/>
    <col min="9987" max="9987" width="10.796875" style="342" customWidth="1"/>
    <col min="9988" max="9988" width="9" style="342" customWidth="1"/>
    <col min="9989" max="9989" width="9.796875" style="342"/>
    <col min="9990" max="9991" width="10" style="342" customWidth="1"/>
    <col min="9992" max="9992" width="1.796875" style="342" customWidth="1"/>
    <col min="9993" max="9993" width="9" style="342" customWidth="1"/>
    <col min="9994" max="9994" width="0" style="342" hidden="1" customWidth="1"/>
    <col min="9995" max="9995" width="1.3984375" style="342" customWidth="1"/>
    <col min="9996" max="10240" width="9.796875" style="342"/>
    <col min="10241" max="10241" width="9" style="342" customWidth="1"/>
    <col min="10242" max="10242" width="11" style="342" customWidth="1"/>
    <col min="10243" max="10243" width="10.796875" style="342" customWidth="1"/>
    <col min="10244" max="10244" width="9" style="342" customWidth="1"/>
    <col min="10245" max="10245" width="9.796875" style="342"/>
    <col min="10246" max="10247" width="10" style="342" customWidth="1"/>
    <col min="10248" max="10248" width="1.796875" style="342" customWidth="1"/>
    <col min="10249" max="10249" width="9" style="342" customWidth="1"/>
    <col min="10250" max="10250" width="0" style="342" hidden="1" customWidth="1"/>
    <col min="10251" max="10251" width="1.3984375" style="342" customWidth="1"/>
    <col min="10252" max="10496" width="9.796875" style="342"/>
    <col min="10497" max="10497" width="9" style="342" customWidth="1"/>
    <col min="10498" max="10498" width="11" style="342" customWidth="1"/>
    <col min="10499" max="10499" width="10.796875" style="342" customWidth="1"/>
    <col min="10500" max="10500" width="9" style="342" customWidth="1"/>
    <col min="10501" max="10501" width="9.796875" style="342"/>
    <col min="10502" max="10503" width="10" style="342" customWidth="1"/>
    <col min="10504" max="10504" width="1.796875" style="342" customWidth="1"/>
    <col min="10505" max="10505" width="9" style="342" customWidth="1"/>
    <col min="10506" max="10506" width="0" style="342" hidden="1" customWidth="1"/>
    <col min="10507" max="10507" width="1.3984375" style="342" customWidth="1"/>
    <col min="10508" max="10752" width="9.796875" style="342"/>
    <col min="10753" max="10753" width="9" style="342" customWidth="1"/>
    <col min="10754" max="10754" width="11" style="342" customWidth="1"/>
    <col min="10755" max="10755" width="10.796875" style="342" customWidth="1"/>
    <col min="10756" max="10756" width="9" style="342" customWidth="1"/>
    <col min="10757" max="10757" width="9.796875" style="342"/>
    <col min="10758" max="10759" width="10" style="342" customWidth="1"/>
    <col min="10760" max="10760" width="1.796875" style="342" customWidth="1"/>
    <col min="10761" max="10761" width="9" style="342" customWidth="1"/>
    <col min="10762" max="10762" width="0" style="342" hidden="1" customWidth="1"/>
    <col min="10763" max="10763" width="1.3984375" style="342" customWidth="1"/>
    <col min="10764" max="11008" width="9.796875" style="342"/>
    <col min="11009" max="11009" width="9" style="342" customWidth="1"/>
    <col min="11010" max="11010" width="11" style="342" customWidth="1"/>
    <col min="11011" max="11011" width="10.796875" style="342" customWidth="1"/>
    <col min="11012" max="11012" width="9" style="342" customWidth="1"/>
    <col min="11013" max="11013" width="9.796875" style="342"/>
    <col min="11014" max="11015" width="10" style="342" customWidth="1"/>
    <col min="11016" max="11016" width="1.796875" style="342" customWidth="1"/>
    <col min="11017" max="11017" width="9" style="342" customWidth="1"/>
    <col min="11018" max="11018" width="0" style="342" hidden="1" customWidth="1"/>
    <col min="11019" max="11019" width="1.3984375" style="342" customWidth="1"/>
    <col min="11020" max="11264" width="9.796875" style="342"/>
    <col min="11265" max="11265" width="9" style="342" customWidth="1"/>
    <col min="11266" max="11266" width="11" style="342" customWidth="1"/>
    <col min="11267" max="11267" width="10.796875" style="342" customWidth="1"/>
    <col min="11268" max="11268" width="9" style="342" customWidth="1"/>
    <col min="11269" max="11269" width="9.796875" style="342"/>
    <col min="11270" max="11271" width="10" style="342" customWidth="1"/>
    <col min="11272" max="11272" width="1.796875" style="342" customWidth="1"/>
    <col min="11273" max="11273" width="9" style="342" customWidth="1"/>
    <col min="11274" max="11274" width="0" style="342" hidden="1" customWidth="1"/>
    <col min="11275" max="11275" width="1.3984375" style="342" customWidth="1"/>
    <col min="11276" max="11520" width="9.796875" style="342"/>
    <col min="11521" max="11521" width="9" style="342" customWidth="1"/>
    <col min="11522" max="11522" width="11" style="342" customWidth="1"/>
    <col min="11523" max="11523" width="10.796875" style="342" customWidth="1"/>
    <col min="11524" max="11524" width="9" style="342" customWidth="1"/>
    <col min="11525" max="11525" width="9.796875" style="342"/>
    <col min="11526" max="11527" width="10" style="342" customWidth="1"/>
    <col min="11528" max="11528" width="1.796875" style="342" customWidth="1"/>
    <col min="11529" max="11529" width="9" style="342" customWidth="1"/>
    <col min="11530" max="11530" width="0" style="342" hidden="1" customWidth="1"/>
    <col min="11531" max="11531" width="1.3984375" style="342" customWidth="1"/>
    <col min="11532" max="11776" width="9.796875" style="342"/>
    <col min="11777" max="11777" width="9" style="342" customWidth="1"/>
    <col min="11778" max="11778" width="11" style="342" customWidth="1"/>
    <col min="11779" max="11779" width="10.796875" style="342" customWidth="1"/>
    <col min="11780" max="11780" width="9" style="342" customWidth="1"/>
    <col min="11781" max="11781" width="9.796875" style="342"/>
    <col min="11782" max="11783" width="10" style="342" customWidth="1"/>
    <col min="11784" max="11784" width="1.796875" style="342" customWidth="1"/>
    <col min="11785" max="11785" width="9" style="342" customWidth="1"/>
    <col min="11786" max="11786" width="0" style="342" hidden="1" customWidth="1"/>
    <col min="11787" max="11787" width="1.3984375" style="342" customWidth="1"/>
    <col min="11788" max="12032" width="9.796875" style="342"/>
    <col min="12033" max="12033" width="9" style="342" customWidth="1"/>
    <col min="12034" max="12034" width="11" style="342" customWidth="1"/>
    <col min="12035" max="12035" width="10.796875" style="342" customWidth="1"/>
    <col min="12036" max="12036" width="9" style="342" customWidth="1"/>
    <col min="12037" max="12037" width="9.796875" style="342"/>
    <col min="12038" max="12039" width="10" style="342" customWidth="1"/>
    <col min="12040" max="12040" width="1.796875" style="342" customWidth="1"/>
    <col min="12041" max="12041" width="9" style="342" customWidth="1"/>
    <col min="12042" max="12042" width="0" style="342" hidden="1" customWidth="1"/>
    <col min="12043" max="12043" width="1.3984375" style="342" customWidth="1"/>
    <col min="12044" max="12288" width="9.796875" style="342"/>
    <col min="12289" max="12289" width="9" style="342" customWidth="1"/>
    <col min="12290" max="12290" width="11" style="342" customWidth="1"/>
    <col min="12291" max="12291" width="10.796875" style="342" customWidth="1"/>
    <col min="12292" max="12292" width="9" style="342" customWidth="1"/>
    <col min="12293" max="12293" width="9.796875" style="342"/>
    <col min="12294" max="12295" width="10" style="342" customWidth="1"/>
    <col min="12296" max="12296" width="1.796875" style="342" customWidth="1"/>
    <col min="12297" max="12297" width="9" style="342" customWidth="1"/>
    <col min="12298" max="12298" width="0" style="342" hidden="1" customWidth="1"/>
    <col min="12299" max="12299" width="1.3984375" style="342" customWidth="1"/>
    <col min="12300" max="12544" width="9.796875" style="342"/>
    <col min="12545" max="12545" width="9" style="342" customWidth="1"/>
    <col min="12546" max="12546" width="11" style="342" customWidth="1"/>
    <col min="12547" max="12547" width="10.796875" style="342" customWidth="1"/>
    <col min="12548" max="12548" width="9" style="342" customWidth="1"/>
    <col min="12549" max="12549" width="9.796875" style="342"/>
    <col min="12550" max="12551" width="10" style="342" customWidth="1"/>
    <col min="12552" max="12552" width="1.796875" style="342" customWidth="1"/>
    <col min="12553" max="12553" width="9" style="342" customWidth="1"/>
    <col min="12554" max="12554" width="0" style="342" hidden="1" customWidth="1"/>
    <col min="12555" max="12555" width="1.3984375" style="342" customWidth="1"/>
    <col min="12556" max="12800" width="9.796875" style="342"/>
    <col min="12801" max="12801" width="9" style="342" customWidth="1"/>
    <col min="12802" max="12802" width="11" style="342" customWidth="1"/>
    <col min="12803" max="12803" width="10.796875" style="342" customWidth="1"/>
    <col min="12804" max="12804" width="9" style="342" customWidth="1"/>
    <col min="12805" max="12805" width="9.796875" style="342"/>
    <col min="12806" max="12807" width="10" style="342" customWidth="1"/>
    <col min="12808" max="12808" width="1.796875" style="342" customWidth="1"/>
    <col min="12809" max="12809" width="9" style="342" customWidth="1"/>
    <col min="12810" max="12810" width="0" style="342" hidden="1" customWidth="1"/>
    <col min="12811" max="12811" width="1.3984375" style="342" customWidth="1"/>
    <col min="12812" max="13056" width="9.796875" style="342"/>
    <col min="13057" max="13057" width="9" style="342" customWidth="1"/>
    <col min="13058" max="13058" width="11" style="342" customWidth="1"/>
    <col min="13059" max="13059" width="10.796875" style="342" customWidth="1"/>
    <col min="13060" max="13060" width="9" style="342" customWidth="1"/>
    <col min="13061" max="13061" width="9.796875" style="342"/>
    <col min="13062" max="13063" width="10" style="342" customWidth="1"/>
    <col min="13064" max="13064" width="1.796875" style="342" customWidth="1"/>
    <col min="13065" max="13065" width="9" style="342" customWidth="1"/>
    <col min="13066" max="13066" width="0" style="342" hidden="1" customWidth="1"/>
    <col min="13067" max="13067" width="1.3984375" style="342" customWidth="1"/>
    <col min="13068" max="13312" width="9.796875" style="342"/>
    <col min="13313" max="13313" width="9" style="342" customWidth="1"/>
    <col min="13314" max="13314" width="11" style="342" customWidth="1"/>
    <col min="13315" max="13315" width="10.796875" style="342" customWidth="1"/>
    <col min="13316" max="13316" width="9" style="342" customWidth="1"/>
    <col min="13317" max="13317" width="9.796875" style="342"/>
    <col min="13318" max="13319" width="10" style="342" customWidth="1"/>
    <col min="13320" max="13320" width="1.796875" style="342" customWidth="1"/>
    <col min="13321" max="13321" width="9" style="342" customWidth="1"/>
    <col min="13322" max="13322" width="0" style="342" hidden="1" customWidth="1"/>
    <col min="13323" max="13323" width="1.3984375" style="342" customWidth="1"/>
    <col min="13324" max="13568" width="9.796875" style="342"/>
    <col min="13569" max="13569" width="9" style="342" customWidth="1"/>
    <col min="13570" max="13570" width="11" style="342" customWidth="1"/>
    <col min="13571" max="13571" width="10.796875" style="342" customWidth="1"/>
    <col min="13572" max="13572" width="9" style="342" customWidth="1"/>
    <col min="13573" max="13573" width="9.796875" style="342"/>
    <col min="13574" max="13575" width="10" style="342" customWidth="1"/>
    <col min="13576" max="13576" width="1.796875" style="342" customWidth="1"/>
    <col min="13577" max="13577" width="9" style="342" customWidth="1"/>
    <col min="13578" max="13578" width="0" style="342" hidden="1" customWidth="1"/>
    <col min="13579" max="13579" width="1.3984375" style="342" customWidth="1"/>
    <col min="13580" max="13824" width="9.796875" style="342"/>
    <col min="13825" max="13825" width="9" style="342" customWidth="1"/>
    <col min="13826" max="13826" width="11" style="342" customWidth="1"/>
    <col min="13827" max="13827" width="10.796875" style="342" customWidth="1"/>
    <col min="13828" max="13828" width="9" style="342" customWidth="1"/>
    <col min="13829" max="13829" width="9.796875" style="342"/>
    <col min="13830" max="13831" width="10" style="342" customWidth="1"/>
    <col min="13832" max="13832" width="1.796875" style="342" customWidth="1"/>
    <col min="13833" max="13833" width="9" style="342" customWidth="1"/>
    <col min="13834" max="13834" width="0" style="342" hidden="1" customWidth="1"/>
    <col min="13835" max="13835" width="1.3984375" style="342" customWidth="1"/>
    <col min="13836" max="14080" width="9.796875" style="342"/>
    <col min="14081" max="14081" width="9" style="342" customWidth="1"/>
    <col min="14082" max="14082" width="11" style="342" customWidth="1"/>
    <col min="14083" max="14083" width="10.796875" style="342" customWidth="1"/>
    <col min="14084" max="14084" width="9" style="342" customWidth="1"/>
    <col min="14085" max="14085" width="9.796875" style="342"/>
    <col min="14086" max="14087" width="10" style="342" customWidth="1"/>
    <col min="14088" max="14088" width="1.796875" style="342" customWidth="1"/>
    <col min="14089" max="14089" width="9" style="342" customWidth="1"/>
    <col min="14090" max="14090" width="0" style="342" hidden="1" customWidth="1"/>
    <col min="14091" max="14091" width="1.3984375" style="342" customWidth="1"/>
    <col min="14092" max="14336" width="9.796875" style="342"/>
    <col min="14337" max="14337" width="9" style="342" customWidth="1"/>
    <col min="14338" max="14338" width="11" style="342" customWidth="1"/>
    <col min="14339" max="14339" width="10.796875" style="342" customWidth="1"/>
    <col min="14340" max="14340" width="9" style="342" customWidth="1"/>
    <col min="14341" max="14341" width="9.796875" style="342"/>
    <col min="14342" max="14343" width="10" style="342" customWidth="1"/>
    <col min="14344" max="14344" width="1.796875" style="342" customWidth="1"/>
    <col min="14345" max="14345" width="9" style="342" customWidth="1"/>
    <col min="14346" max="14346" width="0" style="342" hidden="1" customWidth="1"/>
    <col min="14347" max="14347" width="1.3984375" style="342" customWidth="1"/>
    <col min="14348" max="14592" width="9.796875" style="342"/>
    <col min="14593" max="14593" width="9" style="342" customWidth="1"/>
    <col min="14594" max="14594" width="11" style="342" customWidth="1"/>
    <col min="14595" max="14595" width="10.796875" style="342" customWidth="1"/>
    <col min="14596" max="14596" width="9" style="342" customWidth="1"/>
    <col min="14597" max="14597" width="9.796875" style="342"/>
    <col min="14598" max="14599" width="10" style="342" customWidth="1"/>
    <col min="14600" max="14600" width="1.796875" style="342" customWidth="1"/>
    <col min="14601" max="14601" width="9" style="342" customWidth="1"/>
    <col min="14602" max="14602" width="0" style="342" hidden="1" customWidth="1"/>
    <col min="14603" max="14603" width="1.3984375" style="342" customWidth="1"/>
    <col min="14604" max="14848" width="9.796875" style="342"/>
    <col min="14849" max="14849" width="9" style="342" customWidth="1"/>
    <col min="14850" max="14850" width="11" style="342" customWidth="1"/>
    <col min="14851" max="14851" width="10.796875" style="342" customWidth="1"/>
    <col min="14852" max="14852" width="9" style="342" customWidth="1"/>
    <col min="14853" max="14853" width="9.796875" style="342"/>
    <col min="14854" max="14855" width="10" style="342" customWidth="1"/>
    <col min="14856" max="14856" width="1.796875" style="342" customWidth="1"/>
    <col min="14857" max="14857" width="9" style="342" customWidth="1"/>
    <col min="14858" max="14858" width="0" style="342" hidden="1" customWidth="1"/>
    <col min="14859" max="14859" width="1.3984375" style="342" customWidth="1"/>
    <col min="14860" max="15104" width="9.796875" style="342"/>
    <col min="15105" max="15105" width="9" style="342" customWidth="1"/>
    <col min="15106" max="15106" width="11" style="342" customWidth="1"/>
    <col min="15107" max="15107" width="10.796875" style="342" customWidth="1"/>
    <col min="15108" max="15108" width="9" style="342" customWidth="1"/>
    <col min="15109" max="15109" width="9.796875" style="342"/>
    <col min="15110" max="15111" width="10" style="342" customWidth="1"/>
    <col min="15112" max="15112" width="1.796875" style="342" customWidth="1"/>
    <col min="15113" max="15113" width="9" style="342" customWidth="1"/>
    <col min="15114" max="15114" width="0" style="342" hidden="1" customWidth="1"/>
    <col min="15115" max="15115" width="1.3984375" style="342" customWidth="1"/>
    <col min="15116" max="15360" width="9.796875" style="342"/>
    <col min="15361" max="15361" width="9" style="342" customWidth="1"/>
    <col min="15362" max="15362" width="11" style="342" customWidth="1"/>
    <col min="15363" max="15363" width="10.796875" style="342" customWidth="1"/>
    <col min="15364" max="15364" width="9" style="342" customWidth="1"/>
    <col min="15365" max="15365" width="9.796875" style="342"/>
    <col min="15366" max="15367" width="10" style="342" customWidth="1"/>
    <col min="15368" max="15368" width="1.796875" style="342" customWidth="1"/>
    <col min="15369" max="15369" width="9" style="342" customWidth="1"/>
    <col min="15370" max="15370" width="0" style="342" hidden="1" customWidth="1"/>
    <col min="15371" max="15371" width="1.3984375" style="342" customWidth="1"/>
    <col min="15372" max="15616" width="9.796875" style="342"/>
    <col min="15617" max="15617" width="9" style="342" customWidth="1"/>
    <col min="15618" max="15618" width="11" style="342" customWidth="1"/>
    <col min="15619" max="15619" width="10.796875" style="342" customWidth="1"/>
    <col min="15620" max="15620" width="9" style="342" customWidth="1"/>
    <col min="15621" max="15621" width="9.796875" style="342"/>
    <col min="15622" max="15623" width="10" style="342" customWidth="1"/>
    <col min="15624" max="15624" width="1.796875" style="342" customWidth="1"/>
    <col min="15625" max="15625" width="9" style="342" customWidth="1"/>
    <col min="15626" max="15626" width="0" style="342" hidden="1" customWidth="1"/>
    <col min="15627" max="15627" width="1.3984375" style="342" customWidth="1"/>
    <col min="15628" max="15872" width="9.796875" style="342"/>
    <col min="15873" max="15873" width="9" style="342" customWidth="1"/>
    <col min="15874" max="15874" width="11" style="342" customWidth="1"/>
    <col min="15875" max="15875" width="10.796875" style="342" customWidth="1"/>
    <col min="15876" max="15876" width="9" style="342" customWidth="1"/>
    <col min="15877" max="15877" width="9.796875" style="342"/>
    <col min="15878" max="15879" width="10" style="342" customWidth="1"/>
    <col min="15880" max="15880" width="1.796875" style="342" customWidth="1"/>
    <col min="15881" max="15881" width="9" style="342" customWidth="1"/>
    <col min="15882" max="15882" width="0" style="342" hidden="1" customWidth="1"/>
    <col min="15883" max="15883" width="1.3984375" style="342" customWidth="1"/>
    <col min="15884" max="16128" width="9.796875" style="342"/>
    <col min="16129" max="16129" width="9" style="342" customWidth="1"/>
    <col min="16130" max="16130" width="11" style="342" customWidth="1"/>
    <col min="16131" max="16131" width="10.796875" style="342" customWidth="1"/>
    <col min="16132" max="16132" width="9" style="342" customWidth="1"/>
    <col min="16133" max="16133" width="9.796875" style="342"/>
    <col min="16134" max="16135" width="10" style="342" customWidth="1"/>
    <col min="16136" max="16136" width="1.796875" style="342" customWidth="1"/>
    <col min="16137" max="16137" width="9" style="342" customWidth="1"/>
    <col min="16138" max="16138" width="0" style="342" hidden="1" customWidth="1"/>
    <col min="16139" max="16139" width="1.3984375" style="342" customWidth="1"/>
    <col min="16140" max="16384" width="9.796875" style="342"/>
  </cols>
  <sheetData>
    <row r="1" spans="1:76" ht="15" customHeight="1">
      <c r="E1" s="335"/>
    </row>
    <row r="3" spans="1:76" ht="13.25" customHeight="1">
      <c r="A3" s="379" t="s">
        <v>564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BO3" s="984" t="s">
        <v>113</v>
      </c>
      <c r="BP3" s="984"/>
      <c r="BQ3" s="984"/>
      <c r="BR3" s="984"/>
      <c r="BS3" s="984"/>
      <c r="BT3" s="984"/>
      <c r="BU3" s="984"/>
      <c r="BV3" s="984"/>
      <c r="BW3" s="984"/>
      <c r="BX3" s="984"/>
    </row>
    <row r="4" spans="1:76" ht="13.25" customHeight="1">
      <c r="A4" s="317" t="s">
        <v>287</v>
      </c>
      <c r="J4" s="330"/>
      <c r="K4" s="330"/>
      <c r="BO4" s="344"/>
      <c r="BP4" s="344"/>
      <c r="BQ4" s="344"/>
      <c r="BR4" s="344"/>
      <c r="BS4" s="344"/>
      <c r="BT4" s="344"/>
      <c r="BU4" s="344"/>
      <c r="BV4" s="344"/>
      <c r="BW4" s="344"/>
      <c r="BX4" s="344"/>
    </row>
    <row r="5" spans="1:76" ht="4.25" customHeight="1" thickBot="1">
      <c r="A5" s="365"/>
      <c r="B5" s="365"/>
      <c r="C5" s="365"/>
      <c r="D5" s="365"/>
      <c r="E5" s="365"/>
      <c r="F5" s="365"/>
      <c r="G5" s="365"/>
      <c r="H5" s="365"/>
      <c r="I5" s="365"/>
      <c r="J5" s="343"/>
      <c r="K5" s="330"/>
      <c r="BO5" s="985" t="s">
        <v>275</v>
      </c>
      <c r="BP5" s="985"/>
      <c r="BQ5" s="985"/>
      <c r="BR5" s="985"/>
      <c r="BS5" s="985"/>
      <c r="BT5" s="985"/>
      <c r="BU5" s="985"/>
      <c r="BV5" s="985"/>
      <c r="BW5" s="985"/>
      <c r="BX5" s="985"/>
    </row>
    <row r="6" spans="1:76" ht="13.25" customHeight="1">
      <c r="A6" s="978" t="s">
        <v>110</v>
      </c>
      <c r="B6" s="693"/>
      <c r="C6" s="693"/>
      <c r="D6" s="693"/>
      <c r="E6" s="694" t="s">
        <v>114</v>
      </c>
      <c r="F6" s="693"/>
      <c r="G6" s="693"/>
      <c r="H6" s="978" t="s">
        <v>286</v>
      </c>
      <c r="I6" s="978" t="s">
        <v>16</v>
      </c>
      <c r="J6" s="374"/>
      <c r="K6" s="374"/>
      <c r="L6" s="983"/>
      <c r="M6" s="369"/>
      <c r="BO6" s="335" t="s">
        <v>110</v>
      </c>
      <c r="BP6" s="345"/>
      <c r="BQ6" s="345"/>
      <c r="BR6" s="345"/>
      <c r="BS6" s="346" t="s">
        <v>114</v>
      </c>
      <c r="BT6" s="345"/>
      <c r="BU6" s="345"/>
      <c r="BW6" s="335" t="s">
        <v>115</v>
      </c>
      <c r="BX6" s="335"/>
    </row>
    <row r="7" spans="1:76" ht="13.25" customHeight="1">
      <c r="A7" s="979"/>
      <c r="B7" s="691" t="s">
        <v>281</v>
      </c>
      <c r="C7" s="691" t="s">
        <v>282</v>
      </c>
      <c r="D7" s="691" t="s">
        <v>283</v>
      </c>
      <c r="E7" s="691" t="s">
        <v>284</v>
      </c>
      <c r="F7" s="691" t="s">
        <v>285</v>
      </c>
      <c r="G7" s="691" t="s">
        <v>8</v>
      </c>
      <c r="H7" s="979"/>
      <c r="I7" s="979"/>
      <c r="J7" s="344"/>
      <c r="K7" s="344"/>
      <c r="L7" s="983"/>
      <c r="M7" s="369"/>
      <c r="BO7" s="345"/>
      <c r="BP7" s="313" t="s">
        <v>19</v>
      </c>
      <c r="BQ7" s="313" t="s">
        <v>117</v>
      </c>
      <c r="BR7" s="312" t="s">
        <v>14</v>
      </c>
      <c r="BS7" s="313" t="s">
        <v>6</v>
      </c>
      <c r="BT7" s="312" t="s">
        <v>15</v>
      </c>
      <c r="BU7" s="313" t="s">
        <v>8</v>
      </c>
      <c r="BV7" s="313"/>
      <c r="BW7" s="312" t="s">
        <v>116</v>
      </c>
      <c r="BX7" s="312" t="s">
        <v>16</v>
      </c>
    </row>
    <row r="8" spans="1:76" ht="15" customHeight="1">
      <c r="A8" s="695" t="s">
        <v>54</v>
      </c>
      <c r="B8" s="696">
        <f t="shared" ref="B8:G8" si="0">SUM(B9:B20)</f>
        <v>1882830.3499999999</v>
      </c>
      <c r="C8" s="696">
        <f t="shared" si="0"/>
        <v>1746956.3800000001</v>
      </c>
      <c r="D8" s="696">
        <f t="shared" si="0"/>
        <v>33550.53</v>
      </c>
      <c r="E8" s="696">
        <f t="shared" si="0"/>
        <v>197244.62</v>
      </c>
      <c r="F8" s="696">
        <f t="shared" si="0"/>
        <v>197599.45999999996</v>
      </c>
      <c r="G8" s="696">
        <f t="shared" si="0"/>
        <v>4929.2600000000011</v>
      </c>
      <c r="H8" s="696">
        <f>SUM(H9:H20)</f>
        <v>610685.41</v>
      </c>
      <c r="I8" s="696">
        <f>SUM(I9:I20)</f>
        <v>510693</v>
      </c>
      <c r="J8" s="509"/>
      <c r="K8" s="375"/>
      <c r="L8" s="375"/>
      <c r="M8" s="368"/>
      <c r="BO8" s="347" t="s">
        <v>54</v>
      </c>
      <c r="BP8" s="348">
        <f t="shared" ref="BP8:BU8" si="1">SUM(BP9:BP20)</f>
        <v>617417</v>
      </c>
      <c r="BQ8" s="348">
        <f t="shared" si="1"/>
        <v>0</v>
      </c>
      <c r="BR8" s="348">
        <f t="shared" si="1"/>
        <v>31999.5</v>
      </c>
      <c r="BS8" s="348">
        <f t="shared" si="1"/>
        <v>84973.919999999984</v>
      </c>
      <c r="BT8" s="348">
        <f t="shared" si="1"/>
        <v>145475</v>
      </c>
      <c r="BU8" s="348">
        <f t="shared" si="1"/>
        <v>6217.7999999999993</v>
      </c>
      <c r="BV8" s="348"/>
      <c r="BW8" s="348">
        <f>SUM(BW9:BW20)</f>
        <v>325300</v>
      </c>
      <c r="BX8" s="348">
        <f>SUM(BX9:BX20)</f>
        <v>181601</v>
      </c>
    </row>
    <row r="9" spans="1:76" ht="13.25" customHeight="1">
      <c r="A9" s="335" t="s">
        <v>55</v>
      </c>
      <c r="B9" s="452">
        <v>153965.94</v>
      </c>
      <c r="C9" s="452">
        <v>142769.54</v>
      </c>
      <c r="D9" s="452">
        <v>2411.6</v>
      </c>
      <c r="E9" s="452">
        <v>15856.36</v>
      </c>
      <c r="F9" s="452">
        <v>14915.11</v>
      </c>
      <c r="G9" s="452">
        <v>381.92</v>
      </c>
      <c r="H9" s="452">
        <v>54165.52</v>
      </c>
      <c r="I9" s="452">
        <v>42210.23</v>
      </c>
      <c r="J9" s="509"/>
      <c r="K9" s="509"/>
      <c r="L9" s="509"/>
      <c r="M9" s="509"/>
      <c r="N9" s="509"/>
      <c r="O9" s="509"/>
      <c r="P9" s="509"/>
      <c r="Q9" s="509"/>
      <c r="BO9" s="335" t="s">
        <v>78</v>
      </c>
      <c r="BP9" s="327">
        <v>45967</v>
      </c>
      <c r="BQ9" s="327"/>
      <c r="BR9" s="327">
        <v>2297.5</v>
      </c>
      <c r="BS9" s="327">
        <v>6299.45</v>
      </c>
      <c r="BT9" s="327">
        <v>10942</v>
      </c>
      <c r="BU9" s="327">
        <v>490</v>
      </c>
      <c r="BV9" s="327"/>
      <c r="BW9" s="327">
        <v>36000</v>
      </c>
      <c r="BX9" s="327">
        <v>13971</v>
      </c>
    </row>
    <row r="10" spans="1:76" ht="13.25" customHeight="1">
      <c r="A10" s="335" t="s">
        <v>56</v>
      </c>
      <c r="B10" s="452">
        <v>138193.59</v>
      </c>
      <c r="C10" s="452">
        <v>128664.66</v>
      </c>
      <c r="D10" s="452">
        <v>2544.7800000000002</v>
      </c>
      <c r="E10" s="452">
        <v>15776.6</v>
      </c>
      <c r="F10" s="452">
        <v>15594.26</v>
      </c>
      <c r="G10" s="452">
        <v>387.16</v>
      </c>
      <c r="H10" s="452">
        <v>50238.28</v>
      </c>
      <c r="I10" s="452">
        <v>42039.89</v>
      </c>
      <c r="J10" s="509"/>
      <c r="K10" s="509"/>
      <c r="L10" s="509"/>
      <c r="M10" s="509"/>
      <c r="N10" s="509"/>
      <c r="O10" s="509"/>
      <c r="P10" s="509"/>
      <c r="Q10" s="509"/>
      <c r="BO10" s="335" t="s">
        <v>79</v>
      </c>
      <c r="BP10" s="327">
        <v>48922</v>
      </c>
      <c r="BQ10" s="327"/>
      <c r="BR10" s="327">
        <v>2329</v>
      </c>
      <c r="BS10" s="327">
        <v>6890.01</v>
      </c>
      <c r="BT10" s="327">
        <v>11392</v>
      </c>
      <c r="BU10" s="327">
        <v>500</v>
      </c>
      <c r="BV10" s="327"/>
      <c r="BW10" s="327">
        <v>28200</v>
      </c>
      <c r="BX10" s="327">
        <v>13892</v>
      </c>
    </row>
    <row r="11" spans="1:76" ht="13.25" customHeight="1">
      <c r="A11" s="335" t="s">
        <v>57</v>
      </c>
      <c r="B11" s="452">
        <v>152039.18</v>
      </c>
      <c r="C11" s="452">
        <v>142234.79999999999</v>
      </c>
      <c r="D11" s="452">
        <v>2685.82</v>
      </c>
      <c r="E11" s="452">
        <v>15581.33</v>
      </c>
      <c r="F11" s="452">
        <v>15883.3</v>
      </c>
      <c r="G11" s="452">
        <v>415.86</v>
      </c>
      <c r="H11" s="452">
        <v>59041.37</v>
      </c>
      <c r="I11" s="452">
        <v>42025.35</v>
      </c>
      <c r="J11" s="509"/>
      <c r="K11" s="509"/>
      <c r="L11" s="509"/>
      <c r="M11" s="509"/>
      <c r="N11" s="509"/>
      <c r="O11" s="509"/>
      <c r="P11" s="509"/>
      <c r="Q11" s="509"/>
      <c r="BO11" s="335" t="s">
        <v>80</v>
      </c>
      <c r="BP11" s="327">
        <v>50546</v>
      </c>
      <c r="BQ11" s="327"/>
      <c r="BR11" s="327">
        <v>2550</v>
      </c>
      <c r="BS11" s="327">
        <v>6877.14</v>
      </c>
      <c r="BT11" s="327">
        <v>11670</v>
      </c>
      <c r="BU11" s="327">
        <v>539</v>
      </c>
      <c r="BV11" s="327"/>
      <c r="BW11" s="327">
        <v>29600</v>
      </c>
      <c r="BX11" s="327">
        <v>13866</v>
      </c>
    </row>
    <row r="12" spans="1:76" ht="13.25" customHeight="1">
      <c r="A12" s="335" t="s">
        <v>58</v>
      </c>
      <c r="B12" s="452">
        <v>158116.20000000001</v>
      </c>
      <c r="C12" s="452">
        <v>147916.15</v>
      </c>
      <c r="D12" s="452">
        <v>3025.4</v>
      </c>
      <c r="E12" s="452">
        <v>16089.85</v>
      </c>
      <c r="F12" s="452">
        <v>17272.75</v>
      </c>
      <c r="G12" s="452">
        <v>417.51</v>
      </c>
      <c r="H12" s="452">
        <v>54886.46</v>
      </c>
      <c r="I12" s="452">
        <v>41879.75</v>
      </c>
      <c r="J12" s="509"/>
      <c r="K12" s="509"/>
      <c r="L12" s="509"/>
      <c r="M12" s="509"/>
      <c r="N12" s="509"/>
      <c r="O12" s="509"/>
      <c r="P12" s="509"/>
      <c r="Q12" s="509"/>
      <c r="BO12" s="335" t="s">
        <v>81</v>
      </c>
      <c r="BP12" s="327">
        <v>49120</v>
      </c>
      <c r="BQ12" s="327"/>
      <c r="BR12" s="327">
        <v>3012</v>
      </c>
      <c r="BS12" s="327">
        <v>7264.02</v>
      </c>
      <c r="BT12" s="327">
        <v>12385</v>
      </c>
      <c r="BU12" s="327">
        <v>520</v>
      </c>
      <c r="BV12" s="327"/>
      <c r="BW12" s="327">
        <v>23800</v>
      </c>
      <c r="BX12" s="327">
        <v>15832</v>
      </c>
    </row>
    <row r="13" spans="1:76" ht="13.25" customHeight="1">
      <c r="A13" s="335" t="s">
        <v>59</v>
      </c>
      <c r="B13" s="452">
        <v>156504.12</v>
      </c>
      <c r="C13" s="452">
        <v>147204.29999999999</v>
      </c>
      <c r="D13" s="452">
        <v>3157.04</v>
      </c>
      <c r="E13" s="452">
        <v>16056.41</v>
      </c>
      <c r="F13" s="452">
        <v>17799.36</v>
      </c>
      <c r="G13" s="452">
        <v>437.23</v>
      </c>
      <c r="H13" s="452">
        <v>53103.08</v>
      </c>
      <c r="I13" s="452">
        <v>42027.6</v>
      </c>
      <c r="J13" s="509"/>
      <c r="K13" s="509"/>
      <c r="L13" s="509"/>
      <c r="M13" s="509"/>
      <c r="N13" s="509"/>
      <c r="O13" s="509"/>
      <c r="P13" s="509"/>
      <c r="Q13" s="509"/>
      <c r="BO13" s="335" t="s">
        <v>82</v>
      </c>
      <c r="BP13" s="327">
        <v>52577</v>
      </c>
      <c r="BQ13" s="327"/>
      <c r="BR13" s="327">
        <v>3181</v>
      </c>
      <c r="BS13" s="327">
        <v>7132</v>
      </c>
      <c r="BT13" s="327">
        <v>12536</v>
      </c>
      <c r="BU13" s="327">
        <v>515</v>
      </c>
      <c r="BV13" s="327"/>
      <c r="BW13" s="327">
        <v>27800</v>
      </c>
      <c r="BX13" s="327">
        <v>15061</v>
      </c>
    </row>
    <row r="14" spans="1:76" ht="13.25" customHeight="1">
      <c r="A14" s="335" t="s">
        <v>60</v>
      </c>
      <c r="B14" s="452">
        <v>154914.56</v>
      </c>
      <c r="C14" s="452">
        <v>144651.9</v>
      </c>
      <c r="D14" s="452">
        <v>3217.34</v>
      </c>
      <c r="E14" s="452">
        <v>16510.09</v>
      </c>
      <c r="F14" s="452">
        <v>17654.98</v>
      </c>
      <c r="G14" s="452">
        <v>452.46</v>
      </c>
      <c r="H14" s="452">
        <v>45941.09</v>
      </c>
      <c r="I14" s="452">
        <v>42194.13</v>
      </c>
      <c r="J14" s="509"/>
      <c r="K14" s="509"/>
      <c r="L14" s="509"/>
      <c r="M14" s="509"/>
      <c r="N14" s="509"/>
      <c r="O14" s="509"/>
      <c r="P14" s="509"/>
      <c r="Q14" s="509"/>
      <c r="BO14" s="335" t="s">
        <v>83</v>
      </c>
      <c r="BP14" s="327">
        <v>52595</v>
      </c>
      <c r="BQ14" s="327"/>
      <c r="BR14" s="327">
        <v>3247</v>
      </c>
      <c r="BS14" s="327">
        <v>7283</v>
      </c>
      <c r="BT14" s="327">
        <v>12799</v>
      </c>
      <c r="BU14" s="327">
        <v>531</v>
      </c>
      <c r="BV14" s="327"/>
      <c r="BW14" s="327">
        <v>26100</v>
      </c>
      <c r="BX14" s="327">
        <v>15631</v>
      </c>
    </row>
    <row r="15" spans="1:76" ht="13.25" customHeight="1">
      <c r="A15" s="335" t="s">
        <v>61</v>
      </c>
      <c r="B15" s="452">
        <v>163202.44</v>
      </c>
      <c r="C15" s="452">
        <v>151691.74</v>
      </c>
      <c r="D15" s="452">
        <v>3076.33</v>
      </c>
      <c r="E15" s="452">
        <v>17513.7</v>
      </c>
      <c r="F15" s="452">
        <v>17419.52</v>
      </c>
      <c r="G15" s="452">
        <v>444.17</v>
      </c>
      <c r="H15" s="452">
        <v>46643.06</v>
      </c>
      <c r="I15" s="452">
        <v>42507.03</v>
      </c>
      <c r="J15" s="509"/>
      <c r="K15" s="509"/>
      <c r="L15" s="509"/>
      <c r="M15" s="509"/>
      <c r="N15" s="509"/>
      <c r="O15" s="509"/>
      <c r="P15" s="509"/>
      <c r="Q15" s="509"/>
      <c r="BO15" s="335" t="s">
        <v>84</v>
      </c>
      <c r="BP15" s="327">
        <v>50656</v>
      </c>
      <c r="BQ15" s="327"/>
      <c r="BR15" s="327">
        <v>3037</v>
      </c>
      <c r="BS15" s="327">
        <v>7173.07</v>
      </c>
      <c r="BT15" s="327">
        <v>12739</v>
      </c>
      <c r="BU15" s="327">
        <v>517</v>
      </c>
      <c r="BV15" s="327"/>
      <c r="BW15" s="327">
        <v>25600</v>
      </c>
      <c r="BX15" s="327">
        <v>15460</v>
      </c>
    </row>
    <row r="16" spans="1:76" ht="13.25" customHeight="1">
      <c r="A16" s="335" t="s">
        <v>62</v>
      </c>
      <c r="B16" s="452">
        <v>157478.89000000001</v>
      </c>
      <c r="C16" s="452">
        <v>145582.87</v>
      </c>
      <c r="D16" s="452">
        <v>2949.8</v>
      </c>
      <c r="E16" s="452">
        <v>17096.93</v>
      </c>
      <c r="F16" s="452">
        <v>16814.89</v>
      </c>
      <c r="G16" s="452">
        <v>428.28</v>
      </c>
      <c r="H16" s="452">
        <v>45903.14</v>
      </c>
      <c r="I16" s="452">
        <v>43063.28</v>
      </c>
      <c r="J16" s="509"/>
      <c r="K16" s="509"/>
      <c r="L16" s="509"/>
      <c r="M16" s="509"/>
      <c r="N16" s="509"/>
      <c r="O16" s="509"/>
      <c r="P16" s="509"/>
      <c r="Q16" s="509"/>
      <c r="BO16" s="335" t="s">
        <v>85</v>
      </c>
      <c r="BP16" s="327">
        <v>52402</v>
      </c>
      <c r="BQ16" s="327"/>
      <c r="BR16" s="327">
        <v>2799</v>
      </c>
      <c r="BS16" s="327">
        <v>7036</v>
      </c>
      <c r="BT16" s="327">
        <v>12539</v>
      </c>
      <c r="BU16" s="327">
        <v>531</v>
      </c>
      <c r="BV16" s="327"/>
      <c r="BW16" s="327">
        <v>26500</v>
      </c>
      <c r="BX16" s="327">
        <v>15509</v>
      </c>
    </row>
    <row r="17" spans="1:76" ht="13.25" customHeight="1">
      <c r="A17" s="335" t="s">
        <v>63</v>
      </c>
      <c r="B17" s="452">
        <v>158095.38</v>
      </c>
      <c r="C17" s="452">
        <v>145260.51999999999</v>
      </c>
      <c r="D17" s="452">
        <v>2755.92</v>
      </c>
      <c r="E17" s="452">
        <v>16416.37</v>
      </c>
      <c r="F17" s="452">
        <v>16385.3</v>
      </c>
      <c r="G17" s="452">
        <v>389.72</v>
      </c>
      <c r="H17" s="452">
        <v>46092.87</v>
      </c>
      <c r="I17" s="452">
        <v>43038.720000000001</v>
      </c>
      <c r="J17" s="509"/>
      <c r="K17" s="509"/>
      <c r="L17" s="509"/>
      <c r="M17" s="509"/>
      <c r="N17" s="509"/>
      <c r="O17" s="509"/>
      <c r="P17" s="509"/>
      <c r="Q17" s="509"/>
      <c r="BO17" s="335" t="s">
        <v>86</v>
      </c>
      <c r="BP17" s="327">
        <v>53163</v>
      </c>
      <c r="BQ17" s="327"/>
      <c r="BR17" s="327">
        <v>2618</v>
      </c>
      <c r="BS17" s="327">
        <v>7105.38</v>
      </c>
      <c r="BT17" s="327">
        <v>12041.5</v>
      </c>
      <c r="BU17" s="327">
        <v>519</v>
      </c>
      <c r="BV17" s="327"/>
      <c r="BW17" s="327">
        <v>25800</v>
      </c>
      <c r="BX17" s="327">
        <v>15501</v>
      </c>
    </row>
    <row r="18" spans="1:76" ht="13.25" customHeight="1">
      <c r="A18" s="335" t="s">
        <v>64</v>
      </c>
      <c r="B18" s="452">
        <v>162950.28</v>
      </c>
      <c r="C18" s="452">
        <v>149769</v>
      </c>
      <c r="D18" s="452">
        <v>2578.5300000000002</v>
      </c>
      <c r="E18" s="452">
        <v>15606.66</v>
      </c>
      <c r="F18" s="452">
        <v>15710.95</v>
      </c>
      <c r="G18" s="452">
        <v>380.35</v>
      </c>
      <c r="H18" s="452">
        <v>49062.01</v>
      </c>
      <c r="I18" s="452">
        <v>42998.93</v>
      </c>
      <c r="J18" s="509"/>
      <c r="K18" s="509"/>
      <c r="L18" s="509"/>
      <c r="M18" s="509"/>
      <c r="N18" s="509"/>
      <c r="O18" s="509"/>
      <c r="P18" s="509"/>
      <c r="Q18" s="509"/>
      <c r="BO18" s="335" t="s">
        <v>87</v>
      </c>
      <c r="BP18" s="327">
        <v>51559</v>
      </c>
      <c r="BQ18" s="327"/>
      <c r="BR18" s="327">
        <v>2325</v>
      </c>
      <c r="BS18" s="327">
        <v>6985.01</v>
      </c>
      <c r="BT18" s="327">
        <v>12554.5</v>
      </c>
      <c r="BU18" s="327">
        <v>493</v>
      </c>
      <c r="BV18" s="327"/>
      <c r="BW18" s="327">
        <v>23800</v>
      </c>
      <c r="BX18" s="327">
        <v>15767</v>
      </c>
    </row>
    <row r="19" spans="1:76" ht="13.25" customHeight="1">
      <c r="A19" s="335" t="s">
        <v>65</v>
      </c>
      <c r="B19" s="452">
        <v>159499.75</v>
      </c>
      <c r="C19" s="452">
        <v>146073.12</v>
      </c>
      <c r="D19" s="452">
        <v>2572.04</v>
      </c>
      <c r="E19" s="452">
        <v>16263.1</v>
      </c>
      <c r="F19" s="452">
        <v>16080.11</v>
      </c>
      <c r="G19" s="452">
        <v>381</v>
      </c>
      <c r="H19" s="452">
        <v>52220.87</v>
      </c>
      <c r="I19" s="452">
        <v>43281.37</v>
      </c>
      <c r="J19" s="509"/>
      <c r="K19" s="509"/>
      <c r="L19" s="509"/>
      <c r="M19" s="509"/>
      <c r="N19" s="509"/>
      <c r="O19" s="509"/>
      <c r="P19" s="509"/>
      <c r="Q19" s="509"/>
      <c r="BO19" s="335" t="s">
        <v>88</v>
      </c>
      <c r="BP19" s="327">
        <v>52680</v>
      </c>
      <c r="BQ19" s="327"/>
      <c r="BR19" s="327">
        <v>2301</v>
      </c>
      <c r="BS19" s="327">
        <v>7307.39</v>
      </c>
      <c r="BT19" s="327">
        <v>11820.5</v>
      </c>
      <c r="BU19" s="327">
        <v>529.4</v>
      </c>
      <c r="BV19" s="327"/>
      <c r="BW19" s="327">
        <v>23800</v>
      </c>
      <c r="BX19" s="327">
        <v>15834</v>
      </c>
    </row>
    <row r="20" spans="1:76" ht="13.25" customHeight="1" thickBot="1">
      <c r="A20" s="350" t="s">
        <v>66</v>
      </c>
      <c r="B20" s="453">
        <v>167870.02</v>
      </c>
      <c r="C20" s="453">
        <v>155137.78</v>
      </c>
      <c r="D20" s="453">
        <v>2575.9299999999998</v>
      </c>
      <c r="E20" s="453">
        <v>18477.22</v>
      </c>
      <c r="F20" s="453">
        <v>16068.93</v>
      </c>
      <c r="G20" s="453">
        <v>413.6</v>
      </c>
      <c r="H20" s="453">
        <v>53387.66</v>
      </c>
      <c r="I20" s="453">
        <v>43426.720000000001</v>
      </c>
      <c r="J20" s="509"/>
      <c r="K20" s="509"/>
      <c r="L20" s="509"/>
      <c r="M20" s="509"/>
      <c r="N20" s="509"/>
      <c r="O20" s="509"/>
      <c r="P20" s="509"/>
      <c r="Q20" s="509"/>
      <c r="BO20" s="350" t="s">
        <v>89</v>
      </c>
      <c r="BP20" s="351">
        <v>57230</v>
      </c>
      <c r="BQ20" s="351"/>
      <c r="BR20" s="351">
        <v>2303</v>
      </c>
      <c r="BS20" s="351">
        <v>7621.45</v>
      </c>
      <c r="BT20" s="351">
        <v>12056.5</v>
      </c>
      <c r="BU20" s="351">
        <v>533.4</v>
      </c>
      <c r="BV20" s="351"/>
      <c r="BW20" s="351">
        <v>28300</v>
      </c>
      <c r="BX20" s="351">
        <v>15277</v>
      </c>
    </row>
    <row r="21" spans="1:76" ht="9" customHeight="1">
      <c r="A21" s="851" t="s">
        <v>411</v>
      </c>
      <c r="B21" s="852"/>
      <c r="C21" s="852"/>
      <c r="D21" s="853" t="s">
        <v>415</v>
      </c>
      <c r="E21" s="852"/>
      <c r="F21" s="852"/>
      <c r="G21" s="853"/>
      <c r="H21" s="852"/>
      <c r="I21" s="852"/>
      <c r="M21" s="327"/>
      <c r="BO21" s="352" t="s">
        <v>118</v>
      </c>
      <c r="BR21" s="352" t="s">
        <v>276</v>
      </c>
      <c r="BU21" s="352" t="s">
        <v>119</v>
      </c>
      <c r="BW21" s="337"/>
    </row>
    <row r="22" spans="1:76" ht="9" customHeight="1">
      <c r="A22" s="778" t="s">
        <v>402</v>
      </c>
      <c r="B22" s="852"/>
      <c r="C22" s="852"/>
      <c r="D22" s="851"/>
      <c r="E22" s="852"/>
      <c r="F22" s="852"/>
      <c r="G22" s="853"/>
      <c r="H22" s="852"/>
      <c r="I22" s="852"/>
      <c r="M22" s="327"/>
      <c r="BO22" s="352"/>
      <c r="BR22" s="352"/>
      <c r="BU22" s="352"/>
      <c r="BW22" s="337"/>
    </row>
    <row r="23" spans="1:76" ht="9" customHeight="1">
      <c r="A23" s="841" t="s">
        <v>359</v>
      </c>
      <c r="B23" s="836"/>
      <c r="C23" s="837"/>
      <c r="D23" s="837"/>
      <c r="E23" s="854"/>
      <c r="F23" s="854"/>
      <c r="G23" s="854"/>
      <c r="H23" s="854"/>
      <c r="I23" s="855"/>
      <c r="M23" s="327"/>
      <c r="BO23" s="326"/>
      <c r="BW23" s="337"/>
    </row>
    <row r="24" spans="1:76" ht="9" customHeight="1">
      <c r="A24" s="780" t="s">
        <v>358</v>
      </c>
      <c r="B24" s="836"/>
      <c r="C24" s="836"/>
      <c r="D24" s="842"/>
      <c r="E24" s="854"/>
      <c r="F24" s="854"/>
      <c r="G24" s="854"/>
      <c r="H24" s="854"/>
      <c r="I24" s="855"/>
      <c r="M24" s="327"/>
      <c r="BO24" s="326"/>
      <c r="BW24" s="337"/>
    </row>
    <row r="25" spans="1:76" ht="10.25" customHeight="1">
      <c r="A25" s="851"/>
      <c r="B25" s="854"/>
      <c r="C25" s="854"/>
      <c r="D25" s="854"/>
      <c r="E25" s="854"/>
      <c r="F25" s="854"/>
      <c r="G25" s="854"/>
      <c r="H25" s="854"/>
      <c r="I25" s="855"/>
      <c r="M25" s="327"/>
      <c r="BO25" s="326"/>
      <c r="BW25" s="337"/>
    </row>
    <row r="26" spans="1:76" ht="13.25" customHeight="1">
      <c r="A26" s="379" t="s">
        <v>563</v>
      </c>
      <c r="B26" s="343"/>
      <c r="C26" s="343"/>
      <c r="D26" s="343"/>
      <c r="E26" s="343"/>
      <c r="F26" s="343"/>
      <c r="G26" s="343"/>
      <c r="H26" s="343"/>
      <c r="I26" s="343"/>
      <c r="J26" s="343"/>
      <c r="K26" s="343"/>
      <c r="M26" s="327"/>
      <c r="BO26" s="984" t="s">
        <v>277</v>
      </c>
      <c r="BP26" s="984"/>
      <c r="BQ26" s="984"/>
      <c r="BR26" s="984"/>
      <c r="BS26" s="984"/>
      <c r="BT26" s="984"/>
      <c r="BU26" s="984"/>
      <c r="BV26" s="984"/>
      <c r="BW26" s="984"/>
      <c r="BX26" s="984"/>
    </row>
    <row r="27" spans="1:76" ht="13.25" customHeight="1">
      <c r="A27" s="317" t="s">
        <v>287</v>
      </c>
      <c r="J27" s="330"/>
      <c r="K27" s="330"/>
      <c r="M27" s="327"/>
      <c r="BO27" s="344"/>
      <c r="BP27" s="344"/>
      <c r="BQ27" s="344"/>
      <c r="BR27" s="344"/>
      <c r="BS27" s="344"/>
      <c r="BT27" s="344"/>
      <c r="BU27" s="344"/>
      <c r="BV27" s="344"/>
      <c r="BW27" s="344"/>
      <c r="BX27" s="344"/>
    </row>
    <row r="28" spans="1:76" ht="4.25" customHeight="1" thickBot="1">
      <c r="A28" s="365"/>
      <c r="B28" s="365"/>
      <c r="C28" s="365"/>
      <c r="D28" s="365"/>
      <c r="E28" s="365"/>
      <c r="F28" s="365"/>
      <c r="G28" s="365"/>
      <c r="H28" s="365"/>
      <c r="I28" s="365"/>
      <c r="J28" s="343"/>
      <c r="K28" s="330"/>
      <c r="M28" s="327"/>
      <c r="BO28" s="985" t="s">
        <v>275</v>
      </c>
      <c r="BP28" s="985"/>
      <c r="BQ28" s="985"/>
      <c r="BR28" s="985"/>
      <c r="BS28" s="985"/>
      <c r="BT28" s="985"/>
      <c r="BU28" s="985"/>
      <c r="BV28" s="985"/>
      <c r="BW28" s="985"/>
      <c r="BX28" s="985"/>
    </row>
    <row r="29" spans="1:76" ht="13.25" customHeight="1">
      <c r="A29" s="978" t="s">
        <v>110</v>
      </c>
      <c r="B29" s="693"/>
      <c r="C29" s="693"/>
      <c r="D29" s="693"/>
      <c r="E29" s="694" t="s">
        <v>114</v>
      </c>
      <c r="F29" s="693"/>
      <c r="G29" s="693"/>
      <c r="H29" s="978" t="s">
        <v>286</v>
      </c>
      <c r="I29" s="978" t="s">
        <v>16</v>
      </c>
      <c r="J29" s="374"/>
      <c r="K29" s="374"/>
      <c r="L29" s="983"/>
      <c r="M29" s="327"/>
      <c r="BO29" s="335" t="s">
        <v>110</v>
      </c>
      <c r="BP29" s="345"/>
      <c r="BQ29" s="345"/>
      <c r="BR29" s="345"/>
      <c r="BS29" s="346" t="s">
        <v>114</v>
      </c>
      <c r="BT29" s="345"/>
      <c r="BU29" s="345"/>
      <c r="BW29" s="335" t="s">
        <v>115</v>
      </c>
      <c r="BX29" s="335"/>
    </row>
    <row r="30" spans="1:76" ht="13.25" customHeight="1">
      <c r="A30" s="979"/>
      <c r="B30" s="691" t="s">
        <v>281</v>
      </c>
      <c r="C30" s="691" t="s">
        <v>282</v>
      </c>
      <c r="D30" s="691" t="s">
        <v>283</v>
      </c>
      <c r="E30" s="691" t="s">
        <v>284</v>
      </c>
      <c r="F30" s="691" t="s">
        <v>285</v>
      </c>
      <c r="G30" s="691" t="s">
        <v>8</v>
      </c>
      <c r="H30" s="979"/>
      <c r="I30" s="979"/>
      <c r="J30" s="344"/>
      <c r="K30" s="344"/>
      <c r="L30" s="983"/>
      <c r="M30" s="327"/>
      <c r="BO30" s="345"/>
      <c r="BP30" s="313" t="s">
        <v>19</v>
      </c>
      <c r="BQ30" s="313" t="s">
        <v>117</v>
      </c>
      <c r="BR30" s="312" t="s">
        <v>14</v>
      </c>
      <c r="BS30" s="313" t="s">
        <v>6</v>
      </c>
      <c r="BT30" s="312" t="s">
        <v>15</v>
      </c>
      <c r="BU30" s="313" t="s">
        <v>8</v>
      </c>
      <c r="BV30" s="313"/>
      <c r="BW30" s="312" t="s">
        <v>116</v>
      </c>
      <c r="BX30" s="312" t="s">
        <v>16</v>
      </c>
    </row>
    <row r="31" spans="1:76" ht="15" customHeight="1">
      <c r="A31" s="695" t="s">
        <v>54</v>
      </c>
      <c r="B31" s="696">
        <f t="shared" ref="B31:G31" si="2">SUM(B32:B43)</f>
        <v>1842268.8365658</v>
      </c>
      <c r="C31" s="696">
        <f t="shared" si="2"/>
        <v>1705918.8708462538</v>
      </c>
      <c r="D31" s="696">
        <f t="shared" si="2"/>
        <v>33179.632303243241</v>
      </c>
      <c r="E31" s="696">
        <f t="shared" si="2"/>
        <v>191989.80921710673</v>
      </c>
      <c r="F31" s="696">
        <f t="shared" si="2"/>
        <v>192817.04336898899</v>
      </c>
      <c r="G31" s="696">
        <f t="shared" si="2"/>
        <v>4948.069538351544</v>
      </c>
      <c r="H31" s="696">
        <f>SUM(H32:H43)</f>
        <v>620000.03345915466</v>
      </c>
      <c r="I31" s="696">
        <f>SUM(I32:I43)</f>
        <v>504111.77990425093</v>
      </c>
      <c r="J31" s="376"/>
      <c r="K31" s="376"/>
      <c r="L31" s="376"/>
      <c r="M31" s="327"/>
      <c r="BO31" s="347" t="s">
        <v>54</v>
      </c>
      <c r="BP31" s="349">
        <f t="shared" ref="BP31:BU31" si="3">SUM(BP32:BP43)</f>
        <v>578248</v>
      </c>
      <c r="BQ31" s="349">
        <f t="shared" si="3"/>
        <v>380402</v>
      </c>
      <c r="BR31" s="349">
        <f t="shared" si="3"/>
        <v>32068</v>
      </c>
      <c r="BS31" s="349">
        <f t="shared" si="3"/>
        <v>94959.5</v>
      </c>
      <c r="BT31" s="349">
        <f t="shared" si="3"/>
        <v>139885</v>
      </c>
      <c r="BU31" s="349">
        <f t="shared" si="3"/>
        <v>6467</v>
      </c>
      <c r="BV31" s="349"/>
      <c r="BW31" s="349">
        <f>SUM(BW32:BW43)</f>
        <v>374700</v>
      </c>
      <c r="BX31" s="349">
        <f>SUM(BX32:BX43)</f>
        <v>152241.59999999998</v>
      </c>
    </row>
    <row r="32" spans="1:76" ht="13.25" customHeight="1">
      <c r="A32" s="335" t="s">
        <v>55</v>
      </c>
      <c r="B32" s="452">
        <v>150101.94530215001</v>
      </c>
      <c r="C32" s="452">
        <v>139705.67363095001</v>
      </c>
      <c r="D32" s="452">
        <v>2374.9238345966</v>
      </c>
      <c r="E32" s="452">
        <v>15551.739958058301</v>
      </c>
      <c r="F32" s="452">
        <v>15170.7968362299</v>
      </c>
      <c r="G32" s="452">
        <v>383.417764152644</v>
      </c>
      <c r="H32" s="452">
        <v>54991.689578576203</v>
      </c>
      <c r="I32" s="452">
        <v>41654.270272599999</v>
      </c>
      <c r="J32" s="376"/>
      <c r="K32" s="376"/>
      <c r="L32" s="376"/>
      <c r="M32" s="376"/>
      <c r="N32" s="376"/>
      <c r="O32" s="376"/>
      <c r="P32" s="376"/>
      <c r="Q32" s="376"/>
      <c r="BO32" s="335" t="s">
        <v>78</v>
      </c>
      <c r="BP32" s="327">
        <v>45102</v>
      </c>
      <c r="BQ32" s="327">
        <v>30844</v>
      </c>
      <c r="BR32" s="327">
        <v>2229</v>
      </c>
      <c r="BS32" s="327">
        <v>7225</v>
      </c>
      <c r="BT32" s="327">
        <v>10586</v>
      </c>
      <c r="BU32" s="327">
        <v>524</v>
      </c>
      <c r="BV32" s="327"/>
      <c r="BW32" s="327">
        <v>41900</v>
      </c>
      <c r="BX32" s="327">
        <v>11459</v>
      </c>
    </row>
    <row r="33" spans="1:76" ht="13.25" customHeight="1">
      <c r="A33" s="335" t="s">
        <v>56</v>
      </c>
      <c r="B33" s="452">
        <v>135305.98942001699</v>
      </c>
      <c r="C33" s="452">
        <v>125393.40941199999</v>
      </c>
      <c r="D33" s="452">
        <v>2509.0193624548401</v>
      </c>
      <c r="E33" s="452">
        <v>15037.629038962899</v>
      </c>
      <c r="F33" s="452">
        <v>15814.9964501256</v>
      </c>
      <c r="G33" s="452">
        <v>388.63570008722502</v>
      </c>
      <c r="H33" s="452">
        <v>51004.551314910597</v>
      </c>
      <c r="I33" s="452">
        <v>41643.524003999999</v>
      </c>
      <c r="J33" s="376"/>
      <c r="K33" s="376"/>
      <c r="L33" s="376"/>
      <c r="M33" s="376"/>
      <c r="N33" s="376"/>
      <c r="O33" s="376"/>
      <c r="P33" s="376"/>
      <c r="Q33" s="376"/>
      <c r="BO33" s="335" t="s">
        <v>79</v>
      </c>
      <c r="BP33" s="327">
        <v>46879</v>
      </c>
      <c r="BQ33" s="327">
        <v>29083</v>
      </c>
      <c r="BR33" s="327">
        <v>2347</v>
      </c>
      <c r="BS33" s="327">
        <v>7309</v>
      </c>
      <c r="BT33" s="327">
        <v>11169</v>
      </c>
      <c r="BU33" s="327">
        <v>568</v>
      </c>
      <c r="BV33" s="327"/>
      <c r="BW33" s="327">
        <v>35300</v>
      </c>
      <c r="BX33" s="327">
        <v>15954</v>
      </c>
    </row>
    <row r="34" spans="1:76" ht="13.25" customHeight="1">
      <c r="A34" s="335" t="s">
        <v>57</v>
      </c>
      <c r="B34" s="452">
        <v>151808.58285636699</v>
      </c>
      <c r="C34" s="452">
        <v>141388.07151070001</v>
      </c>
      <c r="D34" s="452">
        <v>2655.5314204854799</v>
      </c>
      <c r="E34" s="452">
        <v>15084.215953834</v>
      </c>
      <c r="F34" s="452">
        <v>15364.245615456601</v>
      </c>
      <c r="G34" s="452">
        <v>408.22744462224603</v>
      </c>
      <c r="H34" s="452">
        <v>59941.904717523299</v>
      </c>
      <c r="I34" s="452">
        <v>41708.742789999997</v>
      </c>
      <c r="J34" s="376"/>
      <c r="K34" s="376"/>
      <c r="L34" s="376"/>
      <c r="M34" s="376"/>
      <c r="N34" s="376"/>
      <c r="O34" s="376"/>
      <c r="P34" s="376"/>
      <c r="Q34" s="376"/>
      <c r="BO34" s="335" t="s">
        <v>80</v>
      </c>
      <c r="BP34" s="327">
        <v>48278</v>
      </c>
      <c r="BQ34" s="327">
        <v>28603</v>
      </c>
      <c r="BR34" s="327">
        <v>2513</v>
      </c>
      <c r="BS34" s="327">
        <v>7501</v>
      </c>
      <c r="BT34" s="327">
        <v>11410</v>
      </c>
      <c r="BU34" s="327">
        <v>572</v>
      </c>
      <c r="BV34" s="327"/>
      <c r="BW34" s="327">
        <v>32500</v>
      </c>
      <c r="BX34" s="327">
        <v>12217</v>
      </c>
    </row>
    <row r="35" spans="1:76" ht="13.25" customHeight="1">
      <c r="A35" s="335" t="s">
        <v>58</v>
      </c>
      <c r="B35" s="452">
        <v>155766.074776525</v>
      </c>
      <c r="C35" s="452">
        <v>145748.53331699999</v>
      </c>
      <c r="D35" s="452">
        <v>2971.67936795996</v>
      </c>
      <c r="E35" s="452">
        <v>15429.7043690629</v>
      </c>
      <c r="F35" s="452">
        <v>16527.881187866798</v>
      </c>
      <c r="G35" s="452">
        <v>416.23067701538599</v>
      </c>
      <c r="H35" s="452">
        <v>55723.628003790203</v>
      </c>
      <c r="I35" s="452">
        <v>41568.724741999999</v>
      </c>
      <c r="J35" s="376"/>
      <c r="K35" s="376"/>
      <c r="L35" s="376"/>
      <c r="M35" s="376"/>
      <c r="N35" s="376"/>
      <c r="O35" s="376"/>
      <c r="P35" s="376"/>
      <c r="Q35" s="376"/>
      <c r="BO35" s="335" t="s">
        <v>81</v>
      </c>
      <c r="BP35" s="327">
        <v>47609</v>
      </c>
      <c r="BQ35" s="327">
        <v>27196</v>
      </c>
      <c r="BR35" s="327">
        <v>2914</v>
      </c>
      <c r="BS35" s="327">
        <v>7592</v>
      </c>
      <c r="BT35" s="327">
        <v>11593</v>
      </c>
      <c r="BU35" s="327">
        <v>576</v>
      </c>
      <c r="BV35" s="327"/>
      <c r="BW35" s="327">
        <v>30600</v>
      </c>
      <c r="BX35" s="327">
        <v>12738</v>
      </c>
    </row>
    <row r="36" spans="1:76" ht="13.25" customHeight="1">
      <c r="A36" s="335" t="s">
        <v>59</v>
      </c>
      <c r="B36" s="452">
        <v>154543.90620500001</v>
      </c>
      <c r="C36" s="452">
        <v>143607.18129000001</v>
      </c>
      <c r="D36" s="452">
        <v>3125.6687150345701</v>
      </c>
      <c r="E36" s="452">
        <v>15347.757979014799</v>
      </c>
      <c r="F36" s="452">
        <v>17073.405378385902</v>
      </c>
      <c r="G36" s="452">
        <v>442.23190684900601</v>
      </c>
      <c r="H36" s="452">
        <v>53913.043478260901</v>
      </c>
      <c r="I36" s="452">
        <v>41651.490700000002</v>
      </c>
      <c r="J36" s="376"/>
      <c r="K36" s="376"/>
      <c r="L36" s="376"/>
      <c r="M36" s="376"/>
      <c r="N36" s="376"/>
      <c r="O36" s="376"/>
      <c r="P36" s="376"/>
      <c r="Q36" s="376"/>
      <c r="BO36" s="335" t="s">
        <v>82</v>
      </c>
      <c r="BP36" s="327">
        <v>46240</v>
      </c>
      <c r="BQ36" s="327">
        <v>31239</v>
      </c>
      <c r="BR36" s="327">
        <v>3018</v>
      </c>
      <c r="BS36" s="327">
        <v>7816</v>
      </c>
      <c r="BT36" s="327">
        <v>12063</v>
      </c>
      <c r="BU36" s="327">
        <v>565</v>
      </c>
      <c r="BV36" s="327"/>
      <c r="BW36" s="327">
        <v>29100</v>
      </c>
      <c r="BX36" s="327">
        <v>12579</v>
      </c>
    </row>
    <row r="37" spans="1:76" ht="13.25" customHeight="1">
      <c r="A37" s="335" t="s">
        <v>60</v>
      </c>
      <c r="B37" s="452">
        <v>154620.31433537501</v>
      </c>
      <c r="C37" s="452">
        <v>143840.88430599999</v>
      </c>
      <c r="D37" s="452">
        <v>3163.1275807832499</v>
      </c>
      <c r="E37" s="452">
        <v>15760.992449864099</v>
      </c>
      <c r="F37" s="452">
        <v>16962.3368407446</v>
      </c>
      <c r="G37" s="452">
        <v>458.97431161684199</v>
      </c>
      <c r="H37" s="452">
        <v>46641.813069885196</v>
      </c>
      <c r="I37" s="452">
        <v>41551.387210000001</v>
      </c>
      <c r="J37" s="376"/>
      <c r="K37" s="376"/>
      <c r="L37" s="376"/>
      <c r="M37" s="376"/>
      <c r="N37" s="376"/>
      <c r="O37" s="376"/>
      <c r="P37" s="376"/>
      <c r="Q37" s="376"/>
      <c r="BO37" s="335" t="s">
        <v>83</v>
      </c>
      <c r="BP37" s="327">
        <v>47405</v>
      </c>
      <c r="BQ37" s="327">
        <v>29856</v>
      </c>
      <c r="BR37" s="327">
        <v>3328</v>
      </c>
      <c r="BS37" s="327">
        <v>8014</v>
      </c>
      <c r="BT37" s="327">
        <v>12094</v>
      </c>
      <c r="BU37" s="327">
        <v>548</v>
      </c>
      <c r="BV37" s="327"/>
      <c r="BW37" s="327">
        <v>25900</v>
      </c>
      <c r="BX37" s="327">
        <v>12545</v>
      </c>
    </row>
    <row r="38" spans="1:76" ht="13.25" customHeight="1">
      <c r="A38" s="335" t="s">
        <v>61</v>
      </c>
      <c r="B38" s="452">
        <v>157890.54288150001</v>
      </c>
      <c r="C38" s="452">
        <v>146928.96433300001</v>
      </c>
      <c r="D38" s="452">
        <v>3049.3962904392502</v>
      </c>
      <c r="E38" s="452">
        <v>16696.978108515301</v>
      </c>
      <c r="F38" s="452">
        <v>16911.144234633299</v>
      </c>
      <c r="G38" s="452">
        <v>451.08730650809298</v>
      </c>
      <c r="H38" s="452">
        <v>47354.489957593498</v>
      </c>
      <c r="I38" s="452">
        <v>41733.2171219999</v>
      </c>
      <c r="J38" s="376"/>
      <c r="K38" s="376"/>
      <c r="L38" s="376"/>
      <c r="M38" s="376"/>
      <c r="N38" s="376"/>
      <c r="O38" s="376"/>
      <c r="P38" s="376"/>
      <c r="Q38" s="376"/>
      <c r="BO38" s="335" t="s">
        <v>84</v>
      </c>
      <c r="BP38" s="327">
        <v>48535</v>
      </c>
      <c r="BQ38" s="327">
        <v>31568</v>
      </c>
      <c r="BR38" s="327">
        <v>3287</v>
      </c>
      <c r="BS38" s="327">
        <v>8529</v>
      </c>
      <c r="BT38" s="327">
        <v>12033</v>
      </c>
      <c r="BU38" s="327">
        <v>517.5</v>
      </c>
      <c r="BV38" s="327"/>
      <c r="BW38" s="327">
        <v>30900</v>
      </c>
      <c r="BX38" s="327">
        <v>12467</v>
      </c>
    </row>
    <row r="39" spans="1:76" ht="13.25" customHeight="1">
      <c r="A39" s="335" t="s">
        <v>62</v>
      </c>
      <c r="B39" s="452">
        <v>154013.584295826</v>
      </c>
      <c r="C39" s="452">
        <v>142021.44363249099</v>
      </c>
      <c r="D39" s="452">
        <v>2946.5383082774802</v>
      </c>
      <c r="E39" s="452">
        <v>16752.036042465901</v>
      </c>
      <c r="F39" s="452">
        <v>16322.770539233899</v>
      </c>
      <c r="G39" s="452">
        <v>434.61160036966601</v>
      </c>
      <c r="H39" s="452">
        <v>46603.2899948739</v>
      </c>
      <c r="I39" s="452">
        <v>41860.223684388999</v>
      </c>
      <c r="J39" s="376"/>
      <c r="K39" s="376"/>
      <c r="L39" s="376"/>
      <c r="M39" s="376"/>
      <c r="N39" s="376"/>
      <c r="O39" s="376"/>
      <c r="P39" s="376"/>
      <c r="Q39" s="376"/>
      <c r="BO39" s="335" t="s">
        <v>85</v>
      </c>
      <c r="BP39" s="327">
        <v>49440</v>
      </c>
      <c r="BQ39" s="327">
        <v>32897</v>
      </c>
      <c r="BR39" s="327">
        <v>2908</v>
      </c>
      <c r="BS39" s="327">
        <v>8113</v>
      </c>
      <c r="BT39" s="327">
        <v>12051</v>
      </c>
      <c r="BU39" s="327">
        <v>513.5</v>
      </c>
      <c r="BV39" s="327"/>
      <c r="BW39" s="327">
        <v>25900</v>
      </c>
      <c r="BX39" s="327">
        <v>12871</v>
      </c>
    </row>
    <row r="40" spans="1:76" ht="13.25" customHeight="1">
      <c r="A40" s="335" t="s">
        <v>63</v>
      </c>
      <c r="B40" s="452">
        <v>154599.85783740701</v>
      </c>
      <c r="C40" s="452">
        <v>142586.22322996901</v>
      </c>
      <c r="D40" s="452">
        <v>2727.3062214564602</v>
      </c>
      <c r="E40" s="452">
        <v>16006.728805269</v>
      </c>
      <c r="F40" s="452">
        <v>15895.827277865401</v>
      </c>
      <c r="G40" s="452">
        <v>396.00514253958301</v>
      </c>
      <c r="H40" s="452">
        <v>46795.905369930297</v>
      </c>
      <c r="I40" s="452">
        <v>41890.714297851999</v>
      </c>
      <c r="J40" s="376"/>
      <c r="K40" s="376"/>
      <c r="L40" s="376"/>
      <c r="M40" s="376"/>
      <c r="N40" s="376"/>
      <c r="O40" s="376"/>
      <c r="P40" s="376"/>
      <c r="Q40" s="376"/>
      <c r="BO40" s="335" t="s">
        <v>86</v>
      </c>
      <c r="BP40" s="327">
        <v>47468</v>
      </c>
      <c r="BQ40" s="327">
        <v>34714</v>
      </c>
      <c r="BR40" s="327">
        <v>2681</v>
      </c>
      <c r="BS40" s="327">
        <v>7897</v>
      </c>
      <c r="BT40" s="327">
        <v>11479</v>
      </c>
      <c r="BU40" s="327">
        <v>500.5</v>
      </c>
      <c r="BV40" s="327"/>
      <c r="BW40" s="327">
        <v>25000</v>
      </c>
      <c r="BX40" s="327">
        <v>12209.4</v>
      </c>
    </row>
    <row r="41" spans="1:76" ht="13.25" customHeight="1">
      <c r="A41" s="335" t="s">
        <v>64</v>
      </c>
      <c r="B41" s="452">
        <v>155246.93095281901</v>
      </c>
      <c r="C41" s="452">
        <v>143062.889070073</v>
      </c>
      <c r="D41" s="452">
        <v>2571.7557663489101</v>
      </c>
      <c r="E41" s="452">
        <v>16325.2312590443</v>
      </c>
      <c r="F41" s="452">
        <v>15316.239142619799</v>
      </c>
      <c r="G41" s="452">
        <v>376.860187518776</v>
      </c>
      <c r="H41" s="452">
        <v>49810.335989561499</v>
      </c>
      <c r="I41" s="452">
        <v>42481.256636785103</v>
      </c>
      <c r="J41" s="376"/>
      <c r="K41" s="376"/>
      <c r="L41" s="376"/>
      <c r="M41" s="376"/>
      <c r="N41" s="376"/>
      <c r="O41" s="376"/>
      <c r="P41" s="376"/>
      <c r="Q41" s="376"/>
      <c r="BO41" s="335" t="s">
        <v>87</v>
      </c>
      <c r="BP41" s="327">
        <v>48550</v>
      </c>
      <c r="BQ41" s="327">
        <v>34277</v>
      </c>
      <c r="BR41" s="327">
        <v>2349</v>
      </c>
      <c r="BS41" s="327">
        <v>7983</v>
      </c>
      <c r="BT41" s="327">
        <v>11607</v>
      </c>
      <c r="BU41" s="327">
        <v>498.5</v>
      </c>
      <c r="BV41" s="327"/>
      <c r="BW41" s="327">
        <v>27200</v>
      </c>
      <c r="BX41" s="327">
        <v>12396.4</v>
      </c>
    </row>
    <row r="42" spans="1:76" ht="13.25" customHeight="1">
      <c r="A42" s="335" t="s">
        <v>65</v>
      </c>
      <c r="B42" s="452">
        <v>153916.10770281401</v>
      </c>
      <c r="C42" s="452">
        <v>140192.59711407099</v>
      </c>
      <c r="D42" s="452">
        <v>2534.6854354064499</v>
      </c>
      <c r="E42" s="452">
        <v>15645.7952530152</v>
      </c>
      <c r="F42" s="452">
        <v>15527.399865827199</v>
      </c>
      <c r="G42" s="452">
        <v>381.78749707207697</v>
      </c>
      <c r="H42" s="452">
        <v>53017.381984248997</v>
      </c>
      <c r="I42" s="452">
        <v>43084.228444624998</v>
      </c>
      <c r="J42" s="376"/>
      <c r="K42" s="376"/>
      <c r="L42" s="376"/>
      <c r="M42" s="376"/>
      <c r="N42" s="376"/>
      <c r="O42" s="376"/>
      <c r="P42" s="376"/>
      <c r="Q42" s="376"/>
      <c r="BO42" s="335" t="s">
        <v>88</v>
      </c>
      <c r="BP42" s="327">
        <v>47516.5</v>
      </c>
      <c r="BQ42" s="327">
        <v>32600</v>
      </c>
      <c r="BR42" s="327">
        <v>2222.5</v>
      </c>
      <c r="BS42" s="327">
        <v>8324.5</v>
      </c>
      <c r="BT42" s="327">
        <v>11978</v>
      </c>
      <c r="BU42" s="327">
        <v>529.5</v>
      </c>
      <c r="BV42" s="327"/>
      <c r="BW42" s="327">
        <v>31100</v>
      </c>
      <c r="BX42" s="327">
        <v>12726.4</v>
      </c>
    </row>
    <row r="43" spans="1:76" ht="13.25" customHeight="1" thickBot="1">
      <c r="A43" s="350" t="s">
        <v>66</v>
      </c>
      <c r="B43" s="453">
        <v>164455</v>
      </c>
      <c r="C43" s="453">
        <v>151443</v>
      </c>
      <c r="D43" s="453">
        <v>2550</v>
      </c>
      <c r="E43" s="453">
        <v>18351</v>
      </c>
      <c r="F43" s="453">
        <v>15930</v>
      </c>
      <c r="G43" s="453">
        <v>410</v>
      </c>
      <c r="H43" s="453">
        <v>54202</v>
      </c>
      <c r="I43" s="453">
        <v>43284</v>
      </c>
      <c r="J43" s="376"/>
      <c r="K43" s="376"/>
      <c r="L43" s="376"/>
      <c r="M43" s="376"/>
      <c r="N43" s="376"/>
      <c r="O43" s="376"/>
      <c r="P43" s="376"/>
      <c r="Q43" s="376"/>
      <c r="BO43" s="350" t="s">
        <v>89</v>
      </c>
      <c r="BP43" s="351">
        <v>55225.5</v>
      </c>
      <c r="BQ43" s="351">
        <v>37525</v>
      </c>
      <c r="BR43" s="351">
        <v>2271.5</v>
      </c>
      <c r="BS43" s="351">
        <v>8656</v>
      </c>
      <c r="BT43" s="351">
        <v>11822</v>
      </c>
      <c r="BU43" s="351">
        <v>554.5</v>
      </c>
      <c r="BV43" s="351"/>
      <c r="BW43" s="351">
        <v>39300</v>
      </c>
      <c r="BX43" s="351">
        <v>12079.4</v>
      </c>
    </row>
    <row r="44" spans="1:76" ht="9" customHeight="1">
      <c r="A44" s="851" t="s">
        <v>411</v>
      </c>
      <c r="B44" s="852"/>
      <c r="C44" s="852"/>
      <c r="D44" s="853" t="s">
        <v>415</v>
      </c>
      <c r="E44" s="852"/>
      <c r="F44" s="852"/>
      <c r="G44" s="853"/>
      <c r="H44" s="852"/>
      <c r="I44" s="377"/>
      <c r="J44" s="327"/>
      <c r="K44" s="327"/>
      <c r="L44" s="327"/>
      <c r="M44" s="327"/>
      <c r="BO44" s="335"/>
      <c r="BP44" s="327"/>
      <c r="BQ44" s="327"/>
      <c r="BR44" s="327"/>
      <c r="BS44" s="327"/>
      <c r="BT44" s="327"/>
      <c r="BU44" s="327"/>
      <c r="BV44" s="327"/>
      <c r="BW44" s="327"/>
      <c r="BX44" s="327"/>
    </row>
    <row r="45" spans="1:76" ht="9" customHeight="1">
      <c r="A45" s="841" t="s">
        <v>359</v>
      </c>
      <c r="B45" s="836"/>
      <c r="C45" s="837"/>
      <c r="D45" s="837"/>
      <c r="E45" s="854"/>
      <c r="F45" s="854"/>
      <c r="G45" s="854"/>
      <c r="H45" s="854"/>
      <c r="I45" s="378"/>
      <c r="M45" s="327"/>
      <c r="BO45" s="326"/>
      <c r="BW45" s="337"/>
    </row>
    <row r="46" spans="1:76" ht="9" customHeight="1">
      <c r="A46" s="780" t="s">
        <v>358</v>
      </c>
      <c r="B46" s="836"/>
      <c r="C46" s="836"/>
      <c r="D46" s="842"/>
      <c r="E46" s="854"/>
      <c r="F46" s="854"/>
      <c r="G46" s="854"/>
      <c r="H46" s="854"/>
      <c r="I46" s="378"/>
      <c r="M46" s="327"/>
      <c r="BW46" s="337"/>
    </row>
    <row r="47" spans="1:76" ht="10.25" customHeight="1">
      <c r="A47" s="848"/>
      <c r="B47" s="854"/>
      <c r="C47" s="854"/>
      <c r="D47" s="854"/>
      <c r="E47" s="854"/>
      <c r="F47" s="854"/>
      <c r="G47" s="854"/>
      <c r="H47" s="854"/>
      <c r="I47" s="378"/>
      <c r="M47" s="327"/>
      <c r="BW47" s="337"/>
    </row>
    <row r="48" spans="1:76" ht="15" customHeight="1">
      <c r="A48" s="848"/>
      <c r="B48" s="854"/>
      <c r="C48" s="854"/>
      <c r="D48" s="854"/>
      <c r="E48" s="854"/>
      <c r="F48" s="854"/>
      <c r="G48" s="854"/>
      <c r="H48" s="854"/>
      <c r="M48" s="327"/>
    </row>
    <row r="49" spans="13:13" ht="15" customHeight="1">
      <c r="M49" s="327"/>
    </row>
    <row r="50" spans="13:13" ht="15" customHeight="1">
      <c r="M50" s="327"/>
    </row>
    <row r="51" spans="13:13" ht="15" customHeight="1">
      <c r="M51" s="327"/>
    </row>
    <row r="52" spans="13:13" ht="15" customHeight="1">
      <c r="M52" s="327"/>
    </row>
  </sheetData>
  <mergeCells count="12">
    <mergeCell ref="BO26:BX26"/>
    <mergeCell ref="BO28:BX28"/>
    <mergeCell ref="BO3:BX3"/>
    <mergeCell ref="BO5:BX5"/>
    <mergeCell ref="A6:A7"/>
    <mergeCell ref="L6:L7"/>
    <mergeCell ref="I6:I7"/>
    <mergeCell ref="A29:A30"/>
    <mergeCell ref="I29:I30"/>
    <mergeCell ref="L29:L30"/>
    <mergeCell ref="H29:H30"/>
    <mergeCell ref="H6:H7"/>
  </mergeCells>
  <printOptions horizontalCentered="1" verticalCentered="1" gridLinesSet="0"/>
  <pageMargins left="0" right="0" top="0" bottom="0" header="0" footer="0"/>
  <pageSetup paperSize="9" orientation="portrait" r:id="rId1"/>
  <headerFooter scaleWithDoc="0" alignWithMargins="0"/>
  <rowBreaks count="1" manualBreakCount="1">
    <brk id="25" max="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syncVertical="1" syncRef="A1" transitionEvaluation="1" codeName="Hoja96">
    <tabColor theme="9" tint="0.59999389629810485"/>
  </sheetPr>
  <dimension ref="A1:L68"/>
  <sheetViews>
    <sheetView showGridLines="0" zoomScaleNormal="100" workbookViewId="0">
      <selection activeCell="J14" sqref="J14"/>
    </sheetView>
  </sheetViews>
  <sheetFormatPr baseColWidth="10" defaultColWidth="9.796875" defaultRowHeight="15" customHeight="1"/>
  <cols>
    <col min="1" max="1" width="7.3984375" style="342" customWidth="1"/>
    <col min="2" max="2" width="8.796875" style="342" customWidth="1"/>
    <col min="3" max="10" width="8.19921875" style="342" customWidth="1"/>
    <col min="11" max="11" width="7.3984375" style="342" customWidth="1"/>
    <col min="12" max="12" width="3.3984375" style="342" customWidth="1"/>
    <col min="13" max="14" width="9" style="342" customWidth="1"/>
    <col min="15" max="256" width="9.796875" style="342"/>
    <col min="257" max="257" width="7.3984375" style="342" customWidth="1"/>
    <col min="258" max="258" width="10.796875" style="342" customWidth="1"/>
    <col min="259" max="259" width="11.3984375" style="342" customWidth="1"/>
    <col min="260" max="261" width="10.796875" style="342" customWidth="1"/>
    <col min="262" max="263" width="10.19921875" style="342" customWidth="1"/>
    <col min="264" max="264" width="11.19921875" style="342" customWidth="1"/>
    <col min="265" max="265" width="9.3984375" style="342" customWidth="1"/>
    <col min="266" max="266" width="2" style="342" customWidth="1"/>
    <col min="267" max="267" width="12" style="342" customWidth="1"/>
    <col min="268" max="268" width="12.796875" style="342" customWidth="1"/>
    <col min="269" max="512" width="9.796875" style="342"/>
    <col min="513" max="513" width="7.3984375" style="342" customWidth="1"/>
    <col min="514" max="514" width="10.796875" style="342" customWidth="1"/>
    <col min="515" max="515" width="11.3984375" style="342" customWidth="1"/>
    <col min="516" max="517" width="10.796875" style="342" customWidth="1"/>
    <col min="518" max="519" width="10.19921875" style="342" customWidth="1"/>
    <col min="520" max="520" width="11.19921875" style="342" customWidth="1"/>
    <col min="521" max="521" width="9.3984375" style="342" customWidth="1"/>
    <col min="522" max="522" width="2" style="342" customWidth="1"/>
    <col min="523" max="523" width="12" style="342" customWidth="1"/>
    <col min="524" max="524" width="12.796875" style="342" customWidth="1"/>
    <col min="525" max="768" width="9.796875" style="342"/>
    <col min="769" max="769" width="7.3984375" style="342" customWidth="1"/>
    <col min="770" max="770" width="10.796875" style="342" customWidth="1"/>
    <col min="771" max="771" width="11.3984375" style="342" customWidth="1"/>
    <col min="772" max="773" width="10.796875" style="342" customWidth="1"/>
    <col min="774" max="775" width="10.19921875" style="342" customWidth="1"/>
    <col min="776" max="776" width="11.19921875" style="342" customWidth="1"/>
    <col min="777" max="777" width="9.3984375" style="342" customWidth="1"/>
    <col min="778" max="778" width="2" style="342" customWidth="1"/>
    <col min="779" max="779" width="12" style="342" customWidth="1"/>
    <col min="780" max="780" width="12.796875" style="342" customWidth="1"/>
    <col min="781" max="1024" width="9.796875" style="342"/>
    <col min="1025" max="1025" width="7.3984375" style="342" customWidth="1"/>
    <col min="1026" max="1026" width="10.796875" style="342" customWidth="1"/>
    <col min="1027" max="1027" width="11.3984375" style="342" customWidth="1"/>
    <col min="1028" max="1029" width="10.796875" style="342" customWidth="1"/>
    <col min="1030" max="1031" width="10.19921875" style="342" customWidth="1"/>
    <col min="1032" max="1032" width="11.19921875" style="342" customWidth="1"/>
    <col min="1033" max="1033" width="9.3984375" style="342" customWidth="1"/>
    <col min="1034" max="1034" width="2" style="342" customWidth="1"/>
    <col min="1035" max="1035" width="12" style="342" customWidth="1"/>
    <col min="1036" max="1036" width="12.796875" style="342" customWidth="1"/>
    <col min="1037" max="1280" width="9.796875" style="342"/>
    <col min="1281" max="1281" width="7.3984375" style="342" customWidth="1"/>
    <col min="1282" max="1282" width="10.796875" style="342" customWidth="1"/>
    <col min="1283" max="1283" width="11.3984375" style="342" customWidth="1"/>
    <col min="1284" max="1285" width="10.796875" style="342" customWidth="1"/>
    <col min="1286" max="1287" width="10.19921875" style="342" customWidth="1"/>
    <col min="1288" max="1288" width="11.19921875" style="342" customWidth="1"/>
    <col min="1289" max="1289" width="9.3984375" style="342" customWidth="1"/>
    <col min="1290" max="1290" width="2" style="342" customWidth="1"/>
    <col min="1291" max="1291" width="12" style="342" customWidth="1"/>
    <col min="1292" max="1292" width="12.796875" style="342" customWidth="1"/>
    <col min="1293" max="1536" width="9.796875" style="342"/>
    <col min="1537" max="1537" width="7.3984375" style="342" customWidth="1"/>
    <col min="1538" max="1538" width="10.796875" style="342" customWidth="1"/>
    <col min="1539" max="1539" width="11.3984375" style="342" customWidth="1"/>
    <col min="1540" max="1541" width="10.796875" style="342" customWidth="1"/>
    <col min="1542" max="1543" width="10.19921875" style="342" customWidth="1"/>
    <col min="1544" max="1544" width="11.19921875" style="342" customWidth="1"/>
    <col min="1545" max="1545" width="9.3984375" style="342" customWidth="1"/>
    <col min="1546" max="1546" width="2" style="342" customWidth="1"/>
    <col min="1547" max="1547" width="12" style="342" customWidth="1"/>
    <col min="1548" max="1548" width="12.796875" style="342" customWidth="1"/>
    <col min="1549" max="1792" width="9.796875" style="342"/>
    <col min="1793" max="1793" width="7.3984375" style="342" customWidth="1"/>
    <col min="1794" max="1794" width="10.796875" style="342" customWidth="1"/>
    <col min="1795" max="1795" width="11.3984375" style="342" customWidth="1"/>
    <col min="1796" max="1797" width="10.796875" style="342" customWidth="1"/>
    <col min="1798" max="1799" width="10.19921875" style="342" customWidth="1"/>
    <col min="1800" max="1800" width="11.19921875" style="342" customWidth="1"/>
    <col min="1801" max="1801" width="9.3984375" style="342" customWidth="1"/>
    <col min="1802" max="1802" width="2" style="342" customWidth="1"/>
    <col min="1803" max="1803" width="12" style="342" customWidth="1"/>
    <col min="1804" max="1804" width="12.796875" style="342" customWidth="1"/>
    <col min="1805" max="2048" width="9.796875" style="342"/>
    <col min="2049" max="2049" width="7.3984375" style="342" customWidth="1"/>
    <col min="2050" max="2050" width="10.796875" style="342" customWidth="1"/>
    <col min="2051" max="2051" width="11.3984375" style="342" customWidth="1"/>
    <col min="2052" max="2053" width="10.796875" style="342" customWidth="1"/>
    <col min="2054" max="2055" width="10.19921875" style="342" customWidth="1"/>
    <col min="2056" max="2056" width="11.19921875" style="342" customWidth="1"/>
    <col min="2057" max="2057" width="9.3984375" style="342" customWidth="1"/>
    <col min="2058" max="2058" width="2" style="342" customWidth="1"/>
    <col min="2059" max="2059" width="12" style="342" customWidth="1"/>
    <col min="2060" max="2060" width="12.796875" style="342" customWidth="1"/>
    <col min="2061" max="2304" width="9.796875" style="342"/>
    <col min="2305" max="2305" width="7.3984375" style="342" customWidth="1"/>
    <col min="2306" max="2306" width="10.796875" style="342" customWidth="1"/>
    <col min="2307" max="2307" width="11.3984375" style="342" customWidth="1"/>
    <col min="2308" max="2309" width="10.796875" style="342" customWidth="1"/>
    <col min="2310" max="2311" width="10.19921875" style="342" customWidth="1"/>
    <col min="2312" max="2312" width="11.19921875" style="342" customWidth="1"/>
    <col min="2313" max="2313" width="9.3984375" style="342" customWidth="1"/>
    <col min="2314" max="2314" width="2" style="342" customWidth="1"/>
    <col min="2315" max="2315" width="12" style="342" customWidth="1"/>
    <col min="2316" max="2316" width="12.796875" style="342" customWidth="1"/>
    <col min="2317" max="2560" width="9.796875" style="342"/>
    <col min="2561" max="2561" width="7.3984375" style="342" customWidth="1"/>
    <col min="2562" max="2562" width="10.796875" style="342" customWidth="1"/>
    <col min="2563" max="2563" width="11.3984375" style="342" customWidth="1"/>
    <col min="2564" max="2565" width="10.796875" style="342" customWidth="1"/>
    <col min="2566" max="2567" width="10.19921875" style="342" customWidth="1"/>
    <col min="2568" max="2568" width="11.19921875" style="342" customWidth="1"/>
    <col min="2569" max="2569" width="9.3984375" style="342" customWidth="1"/>
    <col min="2570" max="2570" width="2" style="342" customWidth="1"/>
    <col min="2571" max="2571" width="12" style="342" customWidth="1"/>
    <col min="2572" max="2572" width="12.796875" style="342" customWidth="1"/>
    <col min="2573" max="2816" width="9.796875" style="342"/>
    <col min="2817" max="2817" width="7.3984375" style="342" customWidth="1"/>
    <col min="2818" max="2818" width="10.796875" style="342" customWidth="1"/>
    <col min="2819" max="2819" width="11.3984375" style="342" customWidth="1"/>
    <col min="2820" max="2821" width="10.796875" style="342" customWidth="1"/>
    <col min="2822" max="2823" width="10.19921875" style="342" customWidth="1"/>
    <col min="2824" max="2824" width="11.19921875" style="342" customWidth="1"/>
    <col min="2825" max="2825" width="9.3984375" style="342" customWidth="1"/>
    <col min="2826" max="2826" width="2" style="342" customWidth="1"/>
    <col min="2827" max="2827" width="12" style="342" customWidth="1"/>
    <col min="2828" max="2828" width="12.796875" style="342" customWidth="1"/>
    <col min="2829" max="3072" width="9.796875" style="342"/>
    <col min="3073" max="3073" width="7.3984375" style="342" customWidth="1"/>
    <col min="3074" max="3074" width="10.796875" style="342" customWidth="1"/>
    <col min="3075" max="3075" width="11.3984375" style="342" customWidth="1"/>
    <col min="3076" max="3077" width="10.796875" style="342" customWidth="1"/>
    <col min="3078" max="3079" width="10.19921875" style="342" customWidth="1"/>
    <col min="3080" max="3080" width="11.19921875" style="342" customWidth="1"/>
    <col min="3081" max="3081" width="9.3984375" style="342" customWidth="1"/>
    <col min="3082" max="3082" width="2" style="342" customWidth="1"/>
    <col min="3083" max="3083" width="12" style="342" customWidth="1"/>
    <col min="3084" max="3084" width="12.796875" style="342" customWidth="1"/>
    <col min="3085" max="3328" width="9.796875" style="342"/>
    <col min="3329" max="3329" width="7.3984375" style="342" customWidth="1"/>
    <col min="3330" max="3330" width="10.796875" style="342" customWidth="1"/>
    <col min="3331" max="3331" width="11.3984375" style="342" customWidth="1"/>
    <col min="3332" max="3333" width="10.796875" style="342" customWidth="1"/>
    <col min="3334" max="3335" width="10.19921875" style="342" customWidth="1"/>
    <col min="3336" max="3336" width="11.19921875" style="342" customWidth="1"/>
    <col min="3337" max="3337" width="9.3984375" style="342" customWidth="1"/>
    <col min="3338" max="3338" width="2" style="342" customWidth="1"/>
    <col min="3339" max="3339" width="12" style="342" customWidth="1"/>
    <col min="3340" max="3340" width="12.796875" style="342" customWidth="1"/>
    <col min="3341" max="3584" width="9.796875" style="342"/>
    <col min="3585" max="3585" width="7.3984375" style="342" customWidth="1"/>
    <col min="3586" max="3586" width="10.796875" style="342" customWidth="1"/>
    <col min="3587" max="3587" width="11.3984375" style="342" customWidth="1"/>
    <col min="3588" max="3589" width="10.796875" style="342" customWidth="1"/>
    <col min="3590" max="3591" width="10.19921875" style="342" customWidth="1"/>
    <col min="3592" max="3592" width="11.19921875" style="342" customWidth="1"/>
    <col min="3593" max="3593" width="9.3984375" style="342" customWidth="1"/>
    <col min="3594" max="3594" width="2" style="342" customWidth="1"/>
    <col min="3595" max="3595" width="12" style="342" customWidth="1"/>
    <col min="3596" max="3596" width="12.796875" style="342" customWidth="1"/>
    <col min="3597" max="3840" width="9.796875" style="342"/>
    <col min="3841" max="3841" width="7.3984375" style="342" customWidth="1"/>
    <col min="3842" max="3842" width="10.796875" style="342" customWidth="1"/>
    <col min="3843" max="3843" width="11.3984375" style="342" customWidth="1"/>
    <col min="3844" max="3845" width="10.796875" style="342" customWidth="1"/>
    <col min="3846" max="3847" width="10.19921875" style="342" customWidth="1"/>
    <col min="3848" max="3848" width="11.19921875" style="342" customWidth="1"/>
    <col min="3849" max="3849" width="9.3984375" style="342" customWidth="1"/>
    <col min="3850" max="3850" width="2" style="342" customWidth="1"/>
    <col min="3851" max="3851" width="12" style="342" customWidth="1"/>
    <col min="3852" max="3852" width="12.796875" style="342" customWidth="1"/>
    <col min="3853" max="4096" width="9.796875" style="342"/>
    <col min="4097" max="4097" width="7.3984375" style="342" customWidth="1"/>
    <col min="4098" max="4098" width="10.796875" style="342" customWidth="1"/>
    <col min="4099" max="4099" width="11.3984375" style="342" customWidth="1"/>
    <col min="4100" max="4101" width="10.796875" style="342" customWidth="1"/>
    <col min="4102" max="4103" width="10.19921875" style="342" customWidth="1"/>
    <col min="4104" max="4104" width="11.19921875" style="342" customWidth="1"/>
    <col min="4105" max="4105" width="9.3984375" style="342" customWidth="1"/>
    <col min="4106" max="4106" width="2" style="342" customWidth="1"/>
    <col min="4107" max="4107" width="12" style="342" customWidth="1"/>
    <col min="4108" max="4108" width="12.796875" style="342" customWidth="1"/>
    <col min="4109" max="4352" width="9.796875" style="342"/>
    <col min="4353" max="4353" width="7.3984375" style="342" customWidth="1"/>
    <col min="4354" max="4354" width="10.796875" style="342" customWidth="1"/>
    <col min="4355" max="4355" width="11.3984375" style="342" customWidth="1"/>
    <col min="4356" max="4357" width="10.796875" style="342" customWidth="1"/>
    <col min="4358" max="4359" width="10.19921875" style="342" customWidth="1"/>
    <col min="4360" max="4360" width="11.19921875" style="342" customWidth="1"/>
    <col min="4361" max="4361" width="9.3984375" style="342" customWidth="1"/>
    <col min="4362" max="4362" width="2" style="342" customWidth="1"/>
    <col min="4363" max="4363" width="12" style="342" customWidth="1"/>
    <col min="4364" max="4364" width="12.796875" style="342" customWidth="1"/>
    <col min="4365" max="4608" width="9.796875" style="342"/>
    <col min="4609" max="4609" width="7.3984375" style="342" customWidth="1"/>
    <col min="4610" max="4610" width="10.796875" style="342" customWidth="1"/>
    <col min="4611" max="4611" width="11.3984375" style="342" customWidth="1"/>
    <col min="4612" max="4613" width="10.796875" style="342" customWidth="1"/>
    <col min="4614" max="4615" width="10.19921875" style="342" customWidth="1"/>
    <col min="4616" max="4616" width="11.19921875" style="342" customWidth="1"/>
    <col min="4617" max="4617" width="9.3984375" style="342" customWidth="1"/>
    <col min="4618" max="4618" width="2" style="342" customWidth="1"/>
    <col min="4619" max="4619" width="12" style="342" customWidth="1"/>
    <col min="4620" max="4620" width="12.796875" style="342" customWidth="1"/>
    <col min="4621" max="4864" width="9.796875" style="342"/>
    <col min="4865" max="4865" width="7.3984375" style="342" customWidth="1"/>
    <col min="4866" max="4866" width="10.796875" style="342" customWidth="1"/>
    <col min="4867" max="4867" width="11.3984375" style="342" customWidth="1"/>
    <col min="4868" max="4869" width="10.796875" style="342" customWidth="1"/>
    <col min="4870" max="4871" width="10.19921875" style="342" customWidth="1"/>
    <col min="4872" max="4872" width="11.19921875" style="342" customWidth="1"/>
    <col min="4873" max="4873" width="9.3984375" style="342" customWidth="1"/>
    <col min="4874" max="4874" width="2" style="342" customWidth="1"/>
    <col min="4875" max="4875" width="12" style="342" customWidth="1"/>
    <col min="4876" max="4876" width="12.796875" style="342" customWidth="1"/>
    <col min="4877" max="5120" width="9.796875" style="342"/>
    <col min="5121" max="5121" width="7.3984375" style="342" customWidth="1"/>
    <col min="5122" max="5122" width="10.796875" style="342" customWidth="1"/>
    <col min="5123" max="5123" width="11.3984375" style="342" customWidth="1"/>
    <col min="5124" max="5125" width="10.796875" style="342" customWidth="1"/>
    <col min="5126" max="5127" width="10.19921875" style="342" customWidth="1"/>
    <col min="5128" max="5128" width="11.19921875" style="342" customWidth="1"/>
    <col min="5129" max="5129" width="9.3984375" style="342" customWidth="1"/>
    <col min="5130" max="5130" width="2" style="342" customWidth="1"/>
    <col min="5131" max="5131" width="12" style="342" customWidth="1"/>
    <col min="5132" max="5132" width="12.796875" style="342" customWidth="1"/>
    <col min="5133" max="5376" width="9.796875" style="342"/>
    <col min="5377" max="5377" width="7.3984375" style="342" customWidth="1"/>
    <col min="5378" max="5378" width="10.796875" style="342" customWidth="1"/>
    <col min="5379" max="5379" width="11.3984375" style="342" customWidth="1"/>
    <col min="5380" max="5381" width="10.796875" style="342" customWidth="1"/>
    <col min="5382" max="5383" width="10.19921875" style="342" customWidth="1"/>
    <col min="5384" max="5384" width="11.19921875" style="342" customWidth="1"/>
    <col min="5385" max="5385" width="9.3984375" style="342" customWidth="1"/>
    <col min="5386" max="5386" width="2" style="342" customWidth="1"/>
    <col min="5387" max="5387" width="12" style="342" customWidth="1"/>
    <col min="5388" max="5388" width="12.796875" style="342" customWidth="1"/>
    <col min="5389" max="5632" width="9.796875" style="342"/>
    <col min="5633" max="5633" width="7.3984375" style="342" customWidth="1"/>
    <col min="5634" max="5634" width="10.796875" style="342" customWidth="1"/>
    <col min="5635" max="5635" width="11.3984375" style="342" customWidth="1"/>
    <col min="5636" max="5637" width="10.796875" style="342" customWidth="1"/>
    <col min="5638" max="5639" width="10.19921875" style="342" customWidth="1"/>
    <col min="5640" max="5640" width="11.19921875" style="342" customWidth="1"/>
    <col min="5641" max="5641" width="9.3984375" style="342" customWidth="1"/>
    <col min="5642" max="5642" width="2" style="342" customWidth="1"/>
    <col min="5643" max="5643" width="12" style="342" customWidth="1"/>
    <col min="5644" max="5644" width="12.796875" style="342" customWidth="1"/>
    <col min="5645" max="5888" width="9.796875" style="342"/>
    <col min="5889" max="5889" width="7.3984375" style="342" customWidth="1"/>
    <col min="5890" max="5890" width="10.796875" style="342" customWidth="1"/>
    <col min="5891" max="5891" width="11.3984375" style="342" customWidth="1"/>
    <col min="5892" max="5893" width="10.796875" style="342" customWidth="1"/>
    <col min="5894" max="5895" width="10.19921875" style="342" customWidth="1"/>
    <col min="5896" max="5896" width="11.19921875" style="342" customWidth="1"/>
    <col min="5897" max="5897" width="9.3984375" style="342" customWidth="1"/>
    <col min="5898" max="5898" width="2" style="342" customWidth="1"/>
    <col min="5899" max="5899" width="12" style="342" customWidth="1"/>
    <col min="5900" max="5900" width="12.796875" style="342" customWidth="1"/>
    <col min="5901" max="6144" width="9.796875" style="342"/>
    <col min="6145" max="6145" width="7.3984375" style="342" customWidth="1"/>
    <col min="6146" max="6146" width="10.796875" style="342" customWidth="1"/>
    <col min="6147" max="6147" width="11.3984375" style="342" customWidth="1"/>
    <col min="6148" max="6149" width="10.796875" style="342" customWidth="1"/>
    <col min="6150" max="6151" width="10.19921875" style="342" customWidth="1"/>
    <col min="6152" max="6152" width="11.19921875" style="342" customWidth="1"/>
    <col min="6153" max="6153" width="9.3984375" style="342" customWidth="1"/>
    <col min="6154" max="6154" width="2" style="342" customWidth="1"/>
    <col min="6155" max="6155" width="12" style="342" customWidth="1"/>
    <col min="6156" max="6156" width="12.796875" style="342" customWidth="1"/>
    <col min="6157" max="6400" width="9.796875" style="342"/>
    <col min="6401" max="6401" width="7.3984375" style="342" customWidth="1"/>
    <col min="6402" max="6402" width="10.796875" style="342" customWidth="1"/>
    <col min="6403" max="6403" width="11.3984375" style="342" customWidth="1"/>
    <col min="6404" max="6405" width="10.796875" style="342" customWidth="1"/>
    <col min="6406" max="6407" width="10.19921875" style="342" customWidth="1"/>
    <col min="6408" max="6408" width="11.19921875" style="342" customWidth="1"/>
    <col min="6409" max="6409" width="9.3984375" style="342" customWidth="1"/>
    <col min="6410" max="6410" width="2" style="342" customWidth="1"/>
    <col min="6411" max="6411" width="12" style="342" customWidth="1"/>
    <col min="6412" max="6412" width="12.796875" style="342" customWidth="1"/>
    <col min="6413" max="6656" width="9.796875" style="342"/>
    <col min="6657" max="6657" width="7.3984375" style="342" customWidth="1"/>
    <col min="6658" max="6658" width="10.796875" style="342" customWidth="1"/>
    <col min="6659" max="6659" width="11.3984375" style="342" customWidth="1"/>
    <col min="6660" max="6661" width="10.796875" style="342" customWidth="1"/>
    <col min="6662" max="6663" width="10.19921875" style="342" customWidth="1"/>
    <col min="6664" max="6664" width="11.19921875" style="342" customWidth="1"/>
    <col min="6665" max="6665" width="9.3984375" style="342" customWidth="1"/>
    <col min="6666" max="6666" width="2" style="342" customWidth="1"/>
    <col min="6667" max="6667" width="12" style="342" customWidth="1"/>
    <col min="6668" max="6668" width="12.796875" style="342" customWidth="1"/>
    <col min="6669" max="6912" width="9.796875" style="342"/>
    <col min="6913" max="6913" width="7.3984375" style="342" customWidth="1"/>
    <col min="6914" max="6914" width="10.796875" style="342" customWidth="1"/>
    <col min="6915" max="6915" width="11.3984375" style="342" customWidth="1"/>
    <col min="6916" max="6917" width="10.796875" style="342" customWidth="1"/>
    <col min="6918" max="6919" width="10.19921875" style="342" customWidth="1"/>
    <col min="6920" max="6920" width="11.19921875" style="342" customWidth="1"/>
    <col min="6921" max="6921" width="9.3984375" style="342" customWidth="1"/>
    <col min="6922" max="6922" width="2" style="342" customWidth="1"/>
    <col min="6923" max="6923" width="12" style="342" customWidth="1"/>
    <col min="6924" max="6924" width="12.796875" style="342" customWidth="1"/>
    <col min="6925" max="7168" width="9.796875" style="342"/>
    <col min="7169" max="7169" width="7.3984375" style="342" customWidth="1"/>
    <col min="7170" max="7170" width="10.796875" style="342" customWidth="1"/>
    <col min="7171" max="7171" width="11.3984375" style="342" customWidth="1"/>
    <col min="7172" max="7173" width="10.796875" style="342" customWidth="1"/>
    <col min="7174" max="7175" width="10.19921875" style="342" customWidth="1"/>
    <col min="7176" max="7176" width="11.19921875" style="342" customWidth="1"/>
    <col min="7177" max="7177" width="9.3984375" style="342" customWidth="1"/>
    <col min="7178" max="7178" width="2" style="342" customWidth="1"/>
    <col min="7179" max="7179" width="12" style="342" customWidth="1"/>
    <col min="7180" max="7180" width="12.796875" style="342" customWidth="1"/>
    <col min="7181" max="7424" width="9.796875" style="342"/>
    <col min="7425" max="7425" width="7.3984375" style="342" customWidth="1"/>
    <col min="7426" max="7426" width="10.796875" style="342" customWidth="1"/>
    <col min="7427" max="7427" width="11.3984375" style="342" customWidth="1"/>
    <col min="7428" max="7429" width="10.796875" style="342" customWidth="1"/>
    <col min="7430" max="7431" width="10.19921875" style="342" customWidth="1"/>
    <col min="7432" max="7432" width="11.19921875" style="342" customWidth="1"/>
    <col min="7433" max="7433" width="9.3984375" style="342" customWidth="1"/>
    <col min="7434" max="7434" width="2" style="342" customWidth="1"/>
    <col min="7435" max="7435" width="12" style="342" customWidth="1"/>
    <col min="7436" max="7436" width="12.796875" style="342" customWidth="1"/>
    <col min="7437" max="7680" width="9.796875" style="342"/>
    <col min="7681" max="7681" width="7.3984375" style="342" customWidth="1"/>
    <col min="7682" max="7682" width="10.796875" style="342" customWidth="1"/>
    <col min="7683" max="7683" width="11.3984375" style="342" customWidth="1"/>
    <col min="7684" max="7685" width="10.796875" style="342" customWidth="1"/>
    <col min="7686" max="7687" width="10.19921875" style="342" customWidth="1"/>
    <col min="7688" max="7688" width="11.19921875" style="342" customWidth="1"/>
    <col min="7689" max="7689" width="9.3984375" style="342" customWidth="1"/>
    <col min="7690" max="7690" width="2" style="342" customWidth="1"/>
    <col min="7691" max="7691" width="12" style="342" customWidth="1"/>
    <col min="7692" max="7692" width="12.796875" style="342" customWidth="1"/>
    <col min="7693" max="7936" width="9.796875" style="342"/>
    <col min="7937" max="7937" width="7.3984375" style="342" customWidth="1"/>
    <col min="7938" max="7938" width="10.796875" style="342" customWidth="1"/>
    <col min="7939" max="7939" width="11.3984375" style="342" customWidth="1"/>
    <col min="7940" max="7941" width="10.796875" style="342" customWidth="1"/>
    <col min="7942" max="7943" width="10.19921875" style="342" customWidth="1"/>
    <col min="7944" max="7944" width="11.19921875" style="342" customWidth="1"/>
    <col min="7945" max="7945" width="9.3984375" style="342" customWidth="1"/>
    <col min="7946" max="7946" width="2" style="342" customWidth="1"/>
    <col min="7947" max="7947" width="12" style="342" customWidth="1"/>
    <col min="7948" max="7948" width="12.796875" style="342" customWidth="1"/>
    <col min="7949" max="8192" width="9.796875" style="342"/>
    <col min="8193" max="8193" width="7.3984375" style="342" customWidth="1"/>
    <col min="8194" max="8194" width="10.796875" style="342" customWidth="1"/>
    <col min="8195" max="8195" width="11.3984375" style="342" customWidth="1"/>
    <col min="8196" max="8197" width="10.796875" style="342" customWidth="1"/>
    <col min="8198" max="8199" width="10.19921875" style="342" customWidth="1"/>
    <col min="8200" max="8200" width="11.19921875" style="342" customWidth="1"/>
    <col min="8201" max="8201" width="9.3984375" style="342" customWidth="1"/>
    <col min="8202" max="8202" width="2" style="342" customWidth="1"/>
    <col min="8203" max="8203" width="12" style="342" customWidth="1"/>
    <col min="8204" max="8204" width="12.796875" style="342" customWidth="1"/>
    <col min="8205" max="8448" width="9.796875" style="342"/>
    <col min="8449" max="8449" width="7.3984375" style="342" customWidth="1"/>
    <col min="8450" max="8450" width="10.796875" style="342" customWidth="1"/>
    <col min="8451" max="8451" width="11.3984375" style="342" customWidth="1"/>
    <col min="8452" max="8453" width="10.796875" style="342" customWidth="1"/>
    <col min="8454" max="8455" width="10.19921875" style="342" customWidth="1"/>
    <col min="8456" max="8456" width="11.19921875" style="342" customWidth="1"/>
    <col min="8457" max="8457" width="9.3984375" style="342" customWidth="1"/>
    <col min="8458" max="8458" width="2" style="342" customWidth="1"/>
    <col min="8459" max="8459" width="12" style="342" customWidth="1"/>
    <col min="8460" max="8460" width="12.796875" style="342" customWidth="1"/>
    <col min="8461" max="8704" width="9.796875" style="342"/>
    <col min="8705" max="8705" width="7.3984375" style="342" customWidth="1"/>
    <col min="8706" max="8706" width="10.796875" style="342" customWidth="1"/>
    <col min="8707" max="8707" width="11.3984375" style="342" customWidth="1"/>
    <col min="8708" max="8709" width="10.796875" style="342" customWidth="1"/>
    <col min="8710" max="8711" width="10.19921875" style="342" customWidth="1"/>
    <col min="8712" max="8712" width="11.19921875" style="342" customWidth="1"/>
    <col min="8713" max="8713" width="9.3984375" style="342" customWidth="1"/>
    <col min="8714" max="8714" width="2" style="342" customWidth="1"/>
    <col min="8715" max="8715" width="12" style="342" customWidth="1"/>
    <col min="8716" max="8716" width="12.796875" style="342" customWidth="1"/>
    <col min="8717" max="8960" width="9.796875" style="342"/>
    <col min="8961" max="8961" width="7.3984375" style="342" customWidth="1"/>
    <col min="8962" max="8962" width="10.796875" style="342" customWidth="1"/>
    <col min="8963" max="8963" width="11.3984375" style="342" customWidth="1"/>
    <col min="8964" max="8965" width="10.796875" style="342" customWidth="1"/>
    <col min="8966" max="8967" width="10.19921875" style="342" customWidth="1"/>
    <col min="8968" max="8968" width="11.19921875" style="342" customWidth="1"/>
    <col min="8969" max="8969" width="9.3984375" style="342" customWidth="1"/>
    <col min="8970" max="8970" width="2" style="342" customWidth="1"/>
    <col min="8971" max="8971" width="12" style="342" customWidth="1"/>
    <col min="8972" max="8972" width="12.796875" style="342" customWidth="1"/>
    <col min="8973" max="9216" width="9.796875" style="342"/>
    <col min="9217" max="9217" width="7.3984375" style="342" customWidth="1"/>
    <col min="9218" max="9218" width="10.796875" style="342" customWidth="1"/>
    <col min="9219" max="9219" width="11.3984375" style="342" customWidth="1"/>
    <col min="9220" max="9221" width="10.796875" style="342" customWidth="1"/>
    <col min="9222" max="9223" width="10.19921875" style="342" customWidth="1"/>
    <col min="9224" max="9224" width="11.19921875" style="342" customWidth="1"/>
    <col min="9225" max="9225" width="9.3984375" style="342" customWidth="1"/>
    <col min="9226" max="9226" width="2" style="342" customWidth="1"/>
    <col min="9227" max="9227" width="12" style="342" customWidth="1"/>
    <col min="9228" max="9228" width="12.796875" style="342" customWidth="1"/>
    <col min="9229" max="9472" width="9.796875" style="342"/>
    <col min="9473" max="9473" width="7.3984375" style="342" customWidth="1"/>
    <col min="9474" max="9474" width="10.796875" style="342" customWidth="1"/>
    <col min="9475" max="9475" width="11.3984375" style="342" customWidth="1"/>
    <col min="9476" max="9477" width="10.796875" style="342" customWidth="1"/>
    <col min="9478" max="9479" width="10.19921875" style="342" customWidth="1"/>
    <col min="9480" max="9480" width="11.19921875" style="342" customWidth="1"/>
    <col min="9481" max="9481" width="9.3984375" style="342" customWidth="1"/>
    <col min="9482" max="9482" width="2" style="342" customWidth="1"/>
    <col min="9483" max="9483" width="12" style="342" customWidth="1"/>
    <col min="9484" max="9484" width="12.796875" style="342" customWidth="1"/>
    <col min="9485" max="9728" width="9.796875" style="342"/>
    <col min="9729" max="9729" width="7.3984375" style="342" customWidth="1"/>
    <col min="9730" max="9730" width="10.796875" style="342" customWidth="1"/>
    <col min="9731" max="9731" width="11.3984375" style="342" customWidth="1"/>
    <col min="9732" max="9733" width="10.796875" style="342" customWidth="1"/>
    <col min="9734" max="9735" width="10.19921875" style="342" customWidth="1"/>
    <col min="9736" max="9736" width="11.19921875" style="342" customWidth="1"/>
    <col min="9737" max="9737" width="9.3984375" style="342" customWidth="1"/>
    <col min="9738" max="9738" width="2" style="342" customWidth="1"/>
    <col min="9739" max="9739" width="12" style="342" customWidth="1"/>
    <col min="9740" max="9740" width="12.796875" style="342" customWidth="1"/>
    <col min="9741" max="9984" width="9.796875" style="342"/>
    <col min="9985" max="9985" width="7.3984375" style="342" customWidth="1"/>
    <col min="9986" max="9986" width="10.796875" style="342" customWidth="1"/>
    <col min="9987" max="9987" width="11.3984375" style="342" customWidth="1"/>
    <col min="9988" max="9989" width="10.796875" style="342" customWidth="1"/>
    <col min="9990" max="9991" width="10.19921875" style="342" customWidth="1"/>
    <col min="9992" max="9992" width="11.19921875" style="342" customWidth="1"/>
    <col min="9993" max="9993" width="9.3984375" style="342" customWidth="1"/>
    <col min="9994" max="9994" width="2" style="342" customWidth="1"/>
    <col min="9995" max="9995" width="12" style="342" customWidth="1"/>
    <col min="9996" max="9996" width="12.796875" style="342" customWidth="1"/>
    <col min="9997" max="10240" width="9.796875" style="342"/>
    <col min="10241" max="10241" width="7.3984375" style="342" customWidth="1"/>
    <col min="10242" max="10242" width="10.796875" style="342" customWidth="1"/>
    <col min="10243" max="10243" width="11.3984375" style="342" customWidth="1"/>
    <col min="10244" max="10245" width="10.796875" style="342" customWidth="1"/>
    <col min="10246" max="10247" width="10.19921875" style="342" customWidth="1"/>
    <col min="10248" max="10248" width="11.19921875" style="342" customWidth="1"/>
    <col min="10249" max="10249" width="9.3984375" style="342" customWidth="1"/>
    <col min="10250" max="10250" width="2" style="342" customWidth="1"/>
    <col min="10251" max="10251" width="12" style="342" customWidth="1"/>
    <col min="10252" max="10252" width="12.796875" style="342" customWidth="1"/>
    <col min="10253" max="10496" width="9.796875" style="342"/>
    <col min="10497" max="10497" width="7.3984375" style="342" customWidth="1"/>
    <col min="10498" max="10498" width="10.796875" style="342" customWidth="1"/>
    <col min="10499" max="10499" width="11.3984375" style="342" customWidth="1"/>
    <col min="10500" max="10501" width="10.796875" style="342" customWidth="1"/>
    <col min="10502" max="10503" width="10.19921875" style="342" customWidth="1"/>
    <col min="10504" max="10504" width="11.19921875" style="342" customWidth="1"/>
    <col min="10505" max="10505" width="9.3984375" style="342" customWidth="1"/>
    <col min="10506" max="10506" width="2" style="342" customWidth="1"/>
    <col min="10507" max="10507" width="12" style="342" customWidth="1"/>
    <col min="10508" max="10508" width="12.796875" style="342" customWidth="1"/>
    <col min="10509" max="10752" width="9.796875" style="342"/>
    <col min="10753" max="10753" width="7.3984375" style="342" customWidth="1"/>
    <col min="10754" max="10754" width="10.796875" style="342" customWidth="1"/>
    <col min="10755" max="10755" width="11.3984375" style="342" customWidth="1"/>
    <col min="10756" max="10757" width="10.796875" style="342" customWidth="1"/>
    <col min="10758" max="10759" width="10.19921875" style="342" customWidth="1"/>
    <col min="10760" max="10760" width="11.19921875" style="342" customWidth="1"/>
    <col min="10761" max="10761" width="9.3984375" style="342" customWidth="1"/>
    <col min="10762" max="10762" width="2" style="342" customWidth="1"/>
    <col min="10763" max="10763" width="12" style="342" customWidth="1"/>
    <col min="10764" max="10764" width="12.796875" style="342" customWidth="1"/>
    <col min="10765" max="11008" width="9.796875" style="342"/>
    <col min="11009" max="11009" width="7.3984375" style="342" customWidth="1"/>
    <col min="11010" max="11010" width="10.796875" style="342" customWidth="1"/>
    <col min="11011" max="11011" width="11.3984375" style="342" customWidth="1"/>
    <col min="11012" max="11013" width="10.796875" style="342" customWidth="1"/>
    <col min="11014" max="11015" width="10.19921875" style="342" customWidth="1"/>
    <col min="11016" max="11016" width="11.19921875" style="342" customWidth="1"/>
    <col min="11017" max="11017" width="9.3984375" style="342" customWidth="1"/>
    <col min="11018" max="11018" width="2" style="342" customWidth="1"/>
    <col min="11019" max="11019" width="12" style="342" customWidth="1"/>
    <col min="11020" max="11020" width="12.796875" style="342" customWidth="1"/>
    <col min="11021" max="11264" width="9.796875" style="342"/>
    <col min="11265" max="11265" width="7.3984375" style="342" customWidth="1"/>
    <col min="11266" max="11266" width="10.796875" style="342" customWidth="1"/>
    <col min="11267" max="11267" width="11.3984375" style="342" customWidth="1"/>
    <col min="11268" max="11269" width="10.796875" style="342" customWidth="1"/>
    <col min="11270" max="11271" width="10.19921875" style="342" customWidth="1"/>
    <col min="11272" max="11272" width="11.19921875" style="342" customWidth="1"/>
    <col min="11273" max="11273" width="9.3984375" style="342" customWidth="1"/>
    <col min="11274" max="11274" width="2" style="342" customWidth="1"/>
    <col min="11275" max="11275" width="12" style="342" customWidth="1"/>
    <col min="11276" max="11276" width="12.796875" style="342" customWidth="1"/>
    <col min="11277" max="11520" width="9.796875" style="342"/>
    <col min="11521" max="11521" width="7.3984375" style="342" customWidth="1"/>
    <col min="11522" max="11522" width="10.796875" style="342" customWidth="1"/>
    <col min="11523" max="11523" width="11.3984375" style="342" customWidth="1"/>
    <col min="11524" max="11525" width="10.796875" style="342" customWidth="1"/>
    <col min="11526" max="11527" width="10.19921875" style="342" customWidth="1"/>
    <col min="11528" max="11528" width="11.19921875" style="342" customWidth="1"/>
    <col min="11529" max="11529" width="9.3984375" style="342" customWidth="1"/>
    <col min="11530" max="11530" width="2" style="342" customWidth="1"/>
    <col min="11531" max="11531" width="12" style="342" customWidth="1"/>
    <col min="11532" max="11532" width="12.796875" style="342" customWidth="1"/>
    <col min="11533" max="11776" width="9.796875" style="342"/>
    <col min="11777" max="11777" width="7.3984375" style="342" customWidth="1"/>
    <col min="11778" max="11778" width="10.796875" style="342" customWidth="1"/>
    <col min="11779" max="11779" width="11.3984375" style="342" customWidth="1"/>
    <col min="11780" max="11781" width="10.796875" style="342" customWidth="1"/>
    <col min="11782" max="11783" width="10.19921875" style="342" customWidth="1"/>
    <col min="11784" max="11784" width="11.19921875" style="342" customWidth="1"/>
    <col min="11785" max="11785" width="9.3984375" style="342" customWidth="1"/>
    <col min="11786" max="11786" width="2" style="342" customWidth="1"/>
    <col min="11787" max="11787" width="12" style="342" customWidth="1"/>
    <col min="11788" max="11788" width="12.796875" style="342" customWidth="1"/>
    <col min="11789" max="12032" width="9.796875" style="342"/>
    <col min="12033" max="12033" width="7.3984375" style="342" customWidth="1"/>
    <col min="12034" max="12034" width="10.796875" style="342" customWidth="1"/>
    <col min="12035" max="12035" width="11.3984375" style="342" customWidth="1"/>
    <col min="12036" max="12037" width="10.796875" style="342" customWidth="1"/>
    <col min="12038" max="12039" width="10.19921875" style="342" customWidth="1"/>
    <col min="12040" max="12040" width="11.19921875" style="342" customWidth="1"/>
    <col min="12041" max="12041" width="9.3984375" style="342" customWidth="1"/>
    <col min="12042" max="12042" width="2" style="342" customWidth="1"/>
    <col min="12043" max="12043" width="12" style="342" customWidth="1"/>
    <col min="12044" max="12044" width="12.796875" style="342" customWidth="1"/>
    <col min="12045" max="12288" width="9.796875" style="342"/>
    <col min="12289" max="12289" width="7.3984375" style="342" customWidth="1"/>
    <col min="12290" max="12290" width="10.796875" style="342" customWidth="1"/>
    <col min="12291" max="12291" width="11.3984375" style="342" customWidth="1"/>
    <col min="12292" max="12293" width="10.796875" style="342" customWidth="1"/>
    <col min="12294" max="12295" width="10.19921875" style="342" customWidth="1"/>
    <col min="12296" max="12296" width="11.19921875" style="342" customWidth="1"/>
    <col min="12297" max="12297" width="9.3984375" style="342" customWidth="1"/>
    <col min="12298" max="12298" width="2" style="342" customWidth="1"/>
    <col min="12299" max="12299" width="12" style="342" customWidth="1"/>
    <col min="12300" max="12300" width="12.796875" style="342" customWidth="1"/>
    <col min="12301" max="12544" width="9.796875" style="342"/>
    <col min="12545" max="12545" width="7.3984375" style="342" customWidth="1"/>
    <col min="12546" max="12546" width="10.796875" style="342" customWidth="1"/>
    <col min="12547" max="12547" width="11.3984375" style="342" customWidth="1"/>
    <col min="12548" max="12549" width="10.796875" style="342" customWidth="1"/>
    <col min="12550" max="12551" width="10.19921875" style="342" customWidth="1"/>
    <col min="12552" max="12552" width="11.19921875" style="342" customWidth="1"/>
    <col min="12553" max="12553" width="9.3984375" style="342" customWidth="1"/>
    <col min="12554" max="12554" width="2" style="342" customWidth="1"/>
    <col min="12555" max="12555" width="12" style="342" customWidth="1"/>
    <col min="12556" max="12556" width="12.796875" style="342" customWidth="1"/>
    <col min="12557" max="12800" width="9.796875" style="342"/>
    <col min="12801" max="12801" width="7.3984375" style="342" customWidth="1"/>
    <col min="12802" max="12802" width="10.796875" style="342" customWidth="1"/>
    <col min="12803" max="12803" width="11.3984375" style="342" customWidth="1"/>
    <col min="12804" max="12805" width="10.796875" style="342" customWidth="1"/>
    <col min="12806" max="12807" width="10.19921875" style="342" customWidth="1"/>
    <col min="12808" max="12808" width="11.19921875" style="342" customWidth="1"/>
    <col min="12809" max="12809" width="9.3984375" style="342" customWidth="1"/>
    <col min="12810" max="12810" width="2" style="342" customWidth="1"/>
    <col min="12811" max="12811" width="12" style="342" customWidth="1"/>
    <col min="12812" max="12812" width="12.796875" style="342" customWidth="1"/>
    <col min="12813" max="13056" width="9.796875" style="342"/>
    <col min="13057" max="13057" width="7.3984375" style="342" customWidth="1"/>
    <col min="13058" max="13058" width="10.796875" style="342" customWidth="1"/>
    <col min="13059" max="13059" width="11.3984375" style="342" customWidth="1"/>
    <col min="13060" max="13061" width="10.796875" style="342" customWidth="1"/>
    <col min="13062" max="13063" width="10.19921875" style="342" customWidth="1"/>
    <col min="13064" max="13064" width="11.19921875" style="342" customWidth="1"/>
    <col min="13065" max="13065" width="9.3984375" style="342" customWidth="1"/>
    <col min="13066" max="13066" width="2" style="342" customWidth="1"/>
    <col min="13067" max="13067" width="12" style="342" customWidth="1"/>
    <col min="13068" max="13068" width="12.796875" style="342" customWidth="1"/>
    <col min="13069" max="13312" width="9.796875" style="342"/>
    <col min="13313" max="13313" width="7.3984375" style="342" customWidth="1"/>
    <col min="13314" max="13314" width="10.796875" style="342" customWidth="1"/>
    <col min="13315" max="13315" width="11.3984375" style="342" customWidth="1"/>
    <col min="13316" max="13317" width="10.796875" style="342" customWidth="1"/>
    <col min="13318" max="13319" width="10.19921875" style="342" customWidth="1"/>
    <col min="13320" max="13320" width="11.19921875" style="342" customWidth="1"/>
    <col min="13321" max="13321" width="9.3984375" style="342" customWidth="1"/>
    <col min="13322" max="13322" width="2" style="342" customWidth="1"/>
    <col min="13323" max="13323" width="12" style="342" customWidth="1"/>
    <col min="13324" max="13324" width="12.796875" style="342" customWidth="1"/>
    <col min="13325" max="13568" width="9.796875" style="342"/>
    <col min="13569" max="13569" width="7.3984375" style="342" customWidth="1"/>
    <col min="13570" max="13570" width="10.796875" style="342" customWidth="1"/>
    <col min="13571" max="13571" width="11.3984375" style="342" customWidth="1"/>
    <col min="13572" max="13573" width="10.796875" style="342" customWidth="1"/>
    <col min="13574" max="13575" width="10.19921875" style="342" customWidth="1"/>
    <col min="13576" max="13576" width="11.19921875" style="342" customWidth="1"/>
    <col min="13577" max="13577" width="9.3984375" style="342" customWidth="1"/>
    <col min="13578" max="13578" width="2" style="342" customWidth="1"/>
    <col min="13579" max="13579" width="12" style="342" customWidth="1"/>
    <col min="13580" max="13580" width="12.796875" style="342" customWidth="1"/>
    <col min="13581" max="13824" width="9.796875" style="342"/>
    <col min="13825" max="13825" width="7.3984375" style="342" customWidth="1"/>
    <col min="13826" max="13826" width="10.796875" style="342" customWidth="1"/>
    <col min="13827" max="13827" width="11.3984375" style="342" customWidth="1"/>
    <col min="13828" max="13829" width="10.796875" style="342" customWidth="1"/>
    <col min="13830" max="13831" width="10.19921875" style="342" customWidth="1"/>
    <col min="13832" max="13832" width="11.19921875" style="342" customWidth="1"/>
    <col min="13833" max="13833" width="9.3984375" style="342" customWidth="1"/>
    <col min="13834" max="13834" width="2" style="342" customWidth="1"/>
    <col min="13835" max="13835" width="12" style="342" customWidth="1"/>
    <col min="13836" max="13836" width="12.796875" style="342" customWidth="1"/>
    <col min="13837" max="14080" width="9.796875" style="342"/>
    <col min="14081" max="14081" width="7.3984375" style="342" customWidth="1"/>
    <col min="14082" max="14082" width="10.796875" style="342" customWidth="1"/>
    <col min="14083" max="14083" width="11.3984375" style="342" customWidth="1"/>
    <col min="14084" max="14085" width="10.796875" style="342" customWidth="1"/>
    <col min="14086" max="14087" width="10.19921875" style="342" customWidth="1"/>
    <col min="14088" max="14088" width="11.19921875" style="342" customWidth="1"/>
    <col min="14089" max="14089" width="9.3984375" style="342" customWidth="1"/>
    <col min="14090" max="14090" width="2" style="342" customWidth="1"/>
    <col min="14091" max="14091" width="12" style="342" customWidth="1"/>
    <col min="14092" max="14092" width="12.796875" style="342" customWidth="1"/>
    <col min="14093" max="14336" width="9.796875" style="342"/>
    <col min="14337" max="14337" width="7.3984375" style="342" customWidth="1"/>
    <col min="14338" max="14338" width="10.796875" style="342" customWidth="1"/>
    <col min="14339" max="14339" width="11.3984375" style="342" customWidth="1"/>
    <col min="14340" max="14341" width="10.796875" style="342" customWidth="1"/>
    <col min="14342" max="14343" width="10.19921875" style="342" customWidth="1"/>
    <col min="14344" max="14344" width="11.19921875" style="342" customWidth="1"/>
    <col min="14345" max="14345" width="9.3984375" style="342" customWidth="1"/>
    <col min="14346" max="14346" width="2" style="342" customWidth="1"/>
    <col min="14347" max="14347" width="12" style="342" customWidth="1"/>
    <col min="14348" max="14348" width="12.796875" style="342" customWidth="1"/>
    <col min="14349" max="14592" width="9.796875" style="342"/>
    <col min="14593" max="14593" width="7.3984375" style="342" customWidth="1"/>
    <col min="14594" max="14594" width="10.796875" style="342" customWidth="1"/>
    <col min="14595" max="14595" width="11.3984375" style="342" customWidth="1"/>
    <col min="14596" max="14597" width="10.796875" style="342" customWidth="1"/>
    <col min="14598" max="14599" width="10.19921875" style="342" customWidth="1"/>
    <col min="14600" max="14600" width="11.19921875" style="342" customWidth="1"/>
    <col min="14601" max="14601" width="9.3984375" style="342" customWidth="1"/>
    <col min="14602" max="14602" width="2" style="342" customWidth="1"/>
    <col min="14603" max="14603" width="12" style="342" customWidth="1"/>
    <col min="14604" max="14604" width="12.796875" style="342" customWidth="1"/>
    <col min="14605" max="14848" width="9.796875" style="342"/>
    <col min="14849" max="14849" width="7.3984375" style="342" customWidth="1"/>
    <col min="14850" max="14850" width="10.796875" style="342" customWidth="1"/>
    <col min="14851" max="14851" width="11.3984375" style="342" customWidth="1"/>
    <col min="14852" max="14853" width="10.796875" style="342" customWidth="1"/>
    <col min="14854" max="14855" width="10.19921875" style="342" customWidth="1"/>
    <col min="14856" max="14856" width="11.19921875" style="342" customWidth="1"/>
    <col min="14857" max="14857" width="9.3984375" style="342" customWidth="1"/>
    <col min="14858" max="14858" width="2" style="342" customWidth="1"/>
    <col min="14859" max="14859" width="12" style="342" customWidth="1"/>
    <col min="14860" max="14860" width="12.796875" style="342" customWidth="1"/>
    <col min="14861" max="15104" width="9.796875" style="342"/>
    <col min="15105" max="15105" width="7.3984375" style="342" customWidth="1"/>
    <col min="15106" max="15106" width="10.796875" style="342" customWidth="1"/>
    <col min="15107" max="15107" width="11.3984375" style="342" customWidth="1"/>
    <col min="15108" max="15109" width="10.796875" style="342" customWidth="1"/>
    <col min="15110" max="15111" width="10.19921875" style="342" customWidth="1"/>
    <col min="15112" max="15112" width="11.19921875" style="342" customWidth="1"/>
    <col min="15113" max="15113" width="9.3984375" style="342" customWidth="1"/>
    <col min="15114" max="15114" width="2" style="342" customWidth="1"/>
    <col min="15115" max="15115" width="12" style="342" customWidth="1"/>
    <col min="15116" max="15116" width="12.796875" style="342" customWidth="1"/>
    <col min="15117" max="15360" width="9.796875" style="342"/>
    <col min="15361" max="15361" width="7.3984375" style="342" customWidth="1"/>
    <col min="15362" max="15362" width="10.796875" style="342" customWidth="1"/>
    <col min="15363" max="15363" width="11.3984375" style="342" customWidth="1"/>
    <col min="15364" max="15365" width="10.796875" style="342" customWidth="1"/>
    <col min="15366" max="15367" width="10.19921875" style="342" customWidth="1"/>
    <col min="15368" max="15368" width="11.19921875" style="342" customWidth="1"/>
    <col min="15369" max="15369" width="9.3984375" style="342" customWidth="1"/>
    <col min="15370" max="15370" width="2" style="342" customWidth="1"/>
    <col min="15371" max="15371" width="12" style="342" customWidth="1"/>
    <col min="15372" max="15372" width="12.796875" style="342" customWidth="1"/>
    <col min="15373" max="15616" width="9.796875" style="342"/>
    <col min="15617" max="15617" width="7.3984375" style="342" customWidth="1"/>
    <col min="15618" max="15618" width="10.796875" style="342" customWidth="1"/>
    <col min="15619" max="15619" width="11.3984375" style="342" customWidth="1"/>
    <col min="15620" max="15621" width="10.796875" style="342" customWidth="1"/>
    <col min="15622" max="15623" width="10.19921875" style="342" customWidth="1"/>
    <col min="15624" max="15624" width="11.19921875" style="342" customWidth="1"/>
    <col min="15625" max="15625" width="9.3984375" style="342" customWidth="1"/>
    <col min="15626" max="15626" width="2" style="342" customWidth="1"/>
    <col min="15627" max="15627" width="12" style="342" customWidth="1"/>
    <col min="15628" max="15628" width="12.796875" style="342" customWidth="1"/>
    <col min="15629" max="15872" width="9.796875" style="342"/>
    <col min="15873" max="15873" width="7.3984375" style="342" customWidth="1"/>
    <col min="15874" max="15874" width="10.796875" style="342" customWidth="1"/>
    <col min="15875" max="15875" width="11.3984375" style="342" customWidth="1"/>
    <col min="15876" max="15877" width="10.796875" style="342" customWidth="1"/>
    <col min="15878" max="15879" width="10.19921875" style="342" customWidth="1"/>
    <col min="15880" max="15880" width="11.19921875" style="342" customWidth="1"/>
    <col min="15881" max="15881" width="9.3984375" style="342" customWidth="1"/>
    <col min="15882" max="15882" width="2" style="342" customWidth="1"/>
    <col min="15883" max="15883" width="12" style="342" customWidth="1"/>
    <col min="15884" max="15884" width="12.796875" style="342" customWidth="1"/>
    <col min="15885" max="16128" width="9.796875" style="342"/>
    <col min="16129" max="16129" width="7.3984375" style="342" customWidth="1"/>
    <col min="16130" max="16130" width="10.796875" style="342" customWidth="1"/>
    <col min="16131" max="16131" width="11.3984375" style="342" customWidth="1"/>
    <col min="16132" max="16133" width="10.796875" style="342" customWidth="1"/>
    <col min="16134" max="16135" width="10.19921875" style="342" customWidth="1"/>
    <col min="16136" max="16136" width="11.19921875" style="342" customWidth="1"/>
    <col min="16137" max="16137" width="9.3984375" style="342" customWidth="1"/>
    <col min="16138" max="16138" width="2" style="342" customWidth="1"/>
    <col min="16139" max="16139" width="12" style="342" customWidth="1"/>
    <col min="16140" max="16140" width="12.796875" style="342" customWidth="1"/>
    <col min="16141" max="16384" width="9.796875" style="342"/>
  </cols>
  <sheetData>
    <row r="1" spans="1:11" ht="15" customHeight="1">
      <c r="G1" s="335"/>
    </row>
    <row r="2" spans="1:11" ht="14" customHeight="1">
      <c r="A2" s="314" t="s">
        <v>335</v>
      </c>
      <c r="B2" s="379"/>
      <c r="C2" s="343"/>
      <c r="D2" s="343"/>
      <c r="E2" s="343"/>
      <c r="F2" s="343"/>
      <c r="G2" s="343"/>
      <c r="H2" s="343"/>
      <c r="I2" s="343"/>
      <c r="J2" s="343"/>
      <c r="K2" s="343"/>
    </row>
    <row r="3" spans="1:11" ht="12" customHeight="1">
      <c r="A3" s="379" t="s">
        <v>565</v>
      </c>
      <c r="B3" s="379"/>
      <c r="C3" s="343"/>
      <c r="D3" s="343"/>
      <c r="E3" s="343"/>
      <c r="F3" s="343"/>
      <c r="G3" s="343"/>
      <c r="H3" s="343"/>
      <c r="I3" s="343"/>
      <c r="J3" s="343"/>
      <c r="K3" s="343"/>
    </row>
    <row r="4" spans="1:11" ht="12" customHeight="1">
      <c r="A4" s="379" t="s">
        <v>289</v>
      </c>
      <c r="B4" s="379"/>
      <c r="C4" s="343"/>
      <c r="D4" s="343"/>
      <c r="E4" s="343"/>
      <c r="F4" s="343"/>
      <c r="G4" s="343"/>
      <c r="H4" s="343"/>
      <c r="I4" s="343"/>
      <c r="J4" s="343"/>
      <c r="K4" s="343"/>
    </row>
    <row r="5" spans="1:11" ht="4.25" customHeight="1" thickBot="1">
      <c r="A5" s="365"/>
      <c r="B5" s="365"/>
      <c r="C5" s="365"/>
      <c r="D5" s="365"/>
      <c r="E5" s="365"/>
      <c r="F5" s="365"/>
      <c r="G5" s="365"/>
      <c r="H5" s="365"/>
      <c r="I5" s="365"/>
      <c r="J5" s="365"/>
      <c r="K5" s="343"/>
    </row>
    <row r="6" spans="1:11" ht="13.25" customHeight="1">
      <c r="A6" s="978" t="s">
        <v>111</v>
      </c>
      <c r="B6" s="689" t="s">
        <v>109</v>
      </c>
      <c r="C6" s="980" t="s">
        <v>114</v>
      </c>
      <c r="D6" s="980"/>
      <c r="E6" s="980"/>
      <c r="F6" s="980"/>
      <c r="G6" s="980"/>
      <c r="H6" s="980"/>
      <c r="I6" s="978" t="s">
        <v>189</v>
      </c>
      <c r="J6" s="978" t="s">
        <v>16</v>
      </c>
    </row>
    <row r="7" spans="1:11" ht="13.25" customHeight="1">
      <c r="A7" s="979"/>
      <c r="B7" s="690" t="s">
        <v>188</v>
      </c>
      <c r="C7" s="691" t="s">
        <v>281</v>
      </c>
      <c r="D7" s="691" t="s">
        <v>282</v>
      </c>
      <c r="E7" s="691" t="s">
        <v>283</v>
      </c>
      <c r="F7" s="691" t="s">
        <v>284</v>
      </c>
      <c r="G7" s="691" t="s">
        <v>285</v>
      </c>
      <c r="H7" s="691" t="s">
        <v>8</v>
      </c>
      <c r="I7" s="979"/>
      <c r="J7" s="979"/>
    </row>
    <row r="8" spans="1:11" ht="13.25" customHeight="1">
      <c r="A8" s="330">
        <v>2007</v>
      </c>
      <c r="B8" s="457">
        <f>(C8+E8+F8+G8+H8)</f>
        <v>609677.38</v>
      </c>
      <c r="C8" s="457">
        <v>508998.28</v>
      </c>
      <c r="D8" s="457">
        <v>478501</v>
      </c>
      <c r="E8" s="454">
        <v>1153.58</v>
      </c>
      <c r="F8" s="457">
        <v>33487.18</v>
      </c>
      <c r="G8" s="457">
        <v>65672.34</v>
      </c>
      <c r="H8" s="454">
        <v>366</v>
      </c>
      <c r="I8" s="457">
        <v>133445.57999999999</v>
      </c>
      <c r="J8" s="457">
        <v>122669</v>
      </c>
    </row>
    <row r="9" spans="1:11" ht="13.25" customHeight="1">
      <c r="A9" s="330">
        <v>2008</v>
      </c>
      <c r="B9" s="457">
        <f t="shared" ref="B9:B23" si="0">(C9+E9+F9+G9+H9)</f>
        <v>689767.96</v>
      </c>
      <c r="C9" s="457">
        <v>587333.59</v>
      </c>
      <c r="D9" s="457">
        <v>548764.1</v>
      </c>
      <c r="E9" s="454">
        <v>1256.25</v>
      </c>
      <c r="F9" s="457">
        <v>38146.36</v>
      </c>
      <c r="G9" s="457">
        <v>62715.3</v>
      </c>
      <c r="H9" s="454">
        <v>316.45999999999998</v>
      </c>
      <c r="I9" s="457">
        <v>127859.51</v>
      </c>
      <c r="J9" s="457">
        <v>127939.45</v>
      </c>
    </row>
    <row r="10" spans="1:11" ht="13.25" customHeight="1">
      <c r="A10" s="330">
        <v>2009</v>
      </c>
      <c r="B10" s="457">
        <f t="shared" si="0"/>
        <v>705048.72000000009</v>
      </c>
      <c r="C10" s="457">
        <v>602724.30000000005</v>
      </c>
      <c r="D10" s="457">
        <v>557643.72</v>
      </c>
      <c r="E10" s="454">
        <v>1229.8800000000001</v>
      </c>
      <c r="F10" s="457">
        <v>40646.410000000003</v>
      </c>
      <c r="G10" s="457">
        <v>60125.27</v>
      </c>
      <c r="H10" s="454">
        <v>322.86</v>
      </c>
      <c r="I10" s="457">
        <v>133508.98000000001</v>
      </c>
      <c r="J10" s="457">
        <v>128979.36</v>
      </c>
    </row>
    <row r="11" spans="1:11" ht="13.25" customHeight="1">
      <c r="A11" s="330">
        <v>2010</v>
      </c>
      <c r="B11" s="457">
        <f t="shared" si="0"/>
        <v>771381.19000000006</v>
      </c>
      <c r="C11" s="457">
        <v>663307.43000000005</v>
      </c>
      <c r="D11" s="457">
        <v>610167.57999999996</v>
      </c>
      <c r="E11" s="454">
        <v>1269.3499999999999</v>
      </c>
      <c r="F11" s="457">
        <v>44333.56</v>
      </c>
      <c r="G11" s="457">
        <v>62068.9</v>
      </c>
      <c r="H11" s="454">
        <v>401.95</v>
      </c>
      <c r="I11" s="457">
        <v>168506.13</v>
      </c>
      <c r="J11" s="457">
        <v>136848.79</v>
      </c>
    </row>
    <row r="12" spans="1:11" ht="13.25" customHeight="1">
      <c r="A12" s="330">
        <v>2011</v>
      </c>
      <c r="B12" s="457">
        <f t="shared" si="0"/>
        <v>777939.32</v>
      </c>
      <c r="C12" s="457">
        <v>667740.6</v>
      </c>
      <c r="D12" s="457">
        <v>612925.65</v>
      </c>
      <c r="E12" s="454">
        <v>1267.6300000000001</v>
      </c>
      <c r="F12" s="457">
        <v>46587.5</v>
      </c>
      <c r="G12" s="457">
        <v>62003.59</v>
      </c>
      <c r="H12" s="455">
        <v>340</v>
      </c>
      <c r="I12" s="457">
        <v>176538.76</v>
      </c>
      <c r="J12" s="457">
        <v>139128.43</v>
      </c>
    </row>
    <row r="13" spans="1:11" ht="13.25" customHeight="1">
      <c r="A13" s="330">
        <v>2012</v>
      </c>
      <c r="B13" s="457">
        <f t="shared" si="0"/>
        <v>822534.37</v>
      </c>
      <c r="C13" s="457">
        <v>700273.87</v>
      </c>
      <c r="D13" s="457">
        <v>637376.28</v>
      </c>
      <c r="E13" s="454">
        <v>1186</v>
      </c>
      <c r="F13" s="457">
        <v>52689.49</v>
      </c>
      <c r="G13" s="457">
        <v>68035.33</v>
      </c>
      <c r="H13" s="455">
        <v>349.68</v>
      </c>
      <c r="I13" s="457">
        <v>184190.1</v>
      </c>
      <c r="J13" s="457">
        <v>138170.51999999999</v>
      </c>
    </row>
    <row r="14" spans="1:11" ht="13.25" customHeight="1">
      <c r="A14" s="330">
        <v>2013</v>
      </c>
      <c r="B14" s="457">
        <f t="shared" si="0"/>
        <v>850232.79000000015</v>
      </c>
      <c r="C14" s="457">
        <v>714462.27</v>
      </c>
      <c r="D14" s="457">
        <v>652363.62</v>
      </c>
      <c r="E14" s="454">
        <v>1326.43</v>
      </c>
      <c r="F14" s="457">
        <v>60667.14</v>
      </c>
      <c r="G14" s="457">
        <v>73428.53</v>
      </c>
      <c r="H14" s="455">
        <v>348.42</v>
      </c>
      <c r="I14" s="457">
        <v>186401.3</v>
      </c>
      <c r="J14" s="457">
        <v>145163.17000000001</v>
      </c>
    </row>
    <row r="15" spans="1:11" ht="13.25" customHeight="1">
      <c r="A15" s="330">
        <v>2014</v>
      </c>
      <c r="B15" s="457">
        <f t="shared" si="0"/>
        <v>874761.02</v>
      </c>
      <c r="C15" s="457">
        <v>728420.74</v>
      </c>
      <c r="D15" s="457">
        <v>682187.14</v>
      </c>
      <c r="E15" s="454">
        <v>1317.15</v>
      </c>
      <c r="F15" s="457">
        <v>63965.3</v>
      </c>
      <c r="G15" s="457">
        <v>80739.83</v>
      </c>
      <c r="H15" s="455">
        <v>318</v>
      </c>
      <c r="I15" s="457">
        <v>184146</v>
      </c>
      <c r="J15" s="457">
        <v>154210.87</v>
      </c>
    </row>
    <row r="16" spans="1:11" ht="13.25" customHeight="1">
      <c r="A16" s="330">
        <v>2015</v>
      </c>
      <c r="B16" s="457">
        <f t="shared" si="0"/>
        <v>894186.69000000006</v>
      </c>
      <c r="C16" s="457">
        <v>745684.87</v>
      </c>
      <c r="D16" s="457">
        <v>700033.91</v>
      </c>
      <c r="E16" s="454">
        <v>1204.51</v>
      </c>
      <c r="F16" s="457">
        <v>64345.03</v>
      </c>
      <c r="G16" s="457">
        <v>82705.22</v>
      </c>
      <c r="H16" s="454">
        <v>247.06</v>
      </c>
      <c r="I16" s="457">
        <v>185000</v>
      </c>
      <c r="J16" s="457">
        <v>162226.95000000001</v>
      </c>
    </row>
    <row r="17" spans="1:12" ht="13.25" customHeight="1">
      <c r="A17" s="330">
        <v>2016</v>
      </c>
      <c r="B17" s="457">
        <f t="shared" si="0"/>
        <v>932355.32</v>
      </c>
      <c r="C17" s="457">
        <v>782264.27</v>
      </c>
      <c r="D17" s="457">
        <v>726536.18</v>
      </c>
      <c r="E17" s="454">
        <v>1179.99</v>
      </c>
      <c r="F17" s="457">
        <v>68999.960000000006</v>
      </c>
      <c r="G17" s="457">
        <v>79667.429999999993</v>
      </c>
      <c r="H17" s="454">
        <v>243.67</v>
      </c>
      <c r="I17" s="457">
        <v>189500</v>
      </c>
      <c r="J17" s="457">
        <v>168411.6</v>
      </c>
    </row>
    <row r="18" spans="1:12" ht="13.25" customHeight="1">
      <c r="A18" s="330" t="s">
        <v>195</v>
      </c>
      <c r="B18" s="457">
        <f t="shared" si="0"/>
        <v>970299.67999999993</v>
      </c>
      <c r="C18" s="457">
        <v>809019.57</v>
      </c>
      <c r="D18" s="457">
        <v>755692.62</v>
      </c>
      <c r="E18" s="454">
        <v>1067.49</v>
      </c>
      <c r="F18" s="457">
        <v>75933.179999999993</v>
      </c>
      <c r="G18" s="457">
        <v>84069.440000000002</v>
      </c>
      <c r="H18" s="454">
        <v>210</v>
      </c>
      <c r="I18" s="457">
        <v>195000</v>
      </c>
      <c r="J18" s="457">
        <v>174441.33</v>
      </c>
    </row>
    <row r="19" spans="1:12" ht="13.25" customHeight="1">
      <c r="A19" s="330" t="s">
        <v>197</v>
      </c>
      <c r="B19" s="457">
        <f>(C19+E19+F19+G19+H19)</f>
        <v>1003480.7400000001</v>
      </c>
      <c r="C19" s="457">
        <v>833995.79</v>
      </c>
      <c r="D19" s="457">
        <v>759191.42</v>
      </c>
      <c r="E19" s="454">
        <v>1050.53</v>
      </c>
      <c r="F19" s="457">
        <v>81996.42</v>
      </c>
      <c r="G19" s="457">
        <v>86240.37</v>
      </c>
      <c r="H19" s="454">
        <v>197.63</v>
      </c>
      <c r="I19" s="457">
        <v>198092.34</v>
      </c>
      <c r="J19" s="457">
        <v>185416.09</v>
      </c>
    </row>
    <row r="20" spans="1:12" ht="13.25" customHeight="1">
      <c r="A20" s="330" t="s">
        <v>348</v>
      </c>
      <c r="B20" s="457">
        <f t="shared" ref="B20:B21" si="1">(C20+E20+F20+G20+H20)</f>
        <v>1030303.59</v>
      </c>
      <c r="C20" s="457">
        <v>856946.58</v>
      </c>
      <c r="D20" s="457">
        <v>772967.2</v>
      </c>
      <c r="E20" s="454">
        <v>1003.54</v>
      </c>
      <c r="F20" s="457">
        <v>86720.01</v>
      </c>
      <c r="G20" s="457">
        <v>85440.74</v>
      </c>
      <c r="H20" s="454">
        <v>192.72</v>
      </c>
      <c r="I20" s="457">
        <v>199500</v>
      </c>
      <c r="J20" s="457">
        <v>195393.77</v>
      </c>
    </row>
    <row r="21" spans="1:12" ht="13.25" customHeight="1">
      <c r="A21" s="330" t="s">
        <v>352</v>
      </c>
      <c r="B21" s="457">
        <f t="shared" si="1"/>
        <v>1008854.0299999999</v>
      </c>
      <c r="C21" s="457">
        <v>827377.73</v>
      </c>
      <c r="D21" s="457">
        <v>777584.15</v>
      </c>
      <c r="E21" s="454">
        <v>732.59</v>
      </c>
      <c r="F21" s="457">
        <v>101796.25</v>
      </c>
      <c r="G21" s="457">
        <v>78781.72</v>
      </c>
      <c r="H21" s="454">
        <v>165.74</v>
      </c>
      <c r="I21" s="457">
        <v>184069</v>
      </c>
      <c r="J21" s="457">
        <v>199110.16</v>
      </c>
    </row>
    <row r="22" spans="1:12" ht="13.25" customHeight="1">
      <c r="A22" s="330">
        <v>2021</v>
      </c>
      <c r="B22" s="457">
        <f t="shared" si="0"/>
        <v>1048486.4099999999</v>
      </c>
      <c r="C22" s="457">
        <v>856507.85</v>
      </c>
      <c r="D22" s="457">
        <v>805787.72</v>
      </c>
      <c r="E22" s="454">
        <v>807.22</v>
      </c>
      <c r="F22" s="457">
        <v>106323.24</v>
      </c>
      <c r="G22" s="457">
        <v>84679.01</v>
      </c>
      <c r="H22" s="454">
        <v>169.09</v>
      </c>
      <c r="I22" s="457">
        <v>186924.55</v>
      </c>
      <c r="J22" s="457">
        <v>208960.66</v>
      </c>
    </row>
    <row r="23" spans="1:12" ht="13.25" customHeight="1" thickBot="1">
      <c r="A23" s="926" t="s">
        <v>616</v>
      </c>
      <c r="B23" s="458">
        <f t="shared" si="0"/>
        <v>1028896.97</v>
      </c>
      <c r="C23" s="458">
        <v>830462.21</v>
      </c>
      <c r="D23" s="458">
        <v>802829.6</v>
      </c>
      <c r="E23" s="456">
        <v>884.56</v>
      </c>
      <c r="F23" s="458">
        <v>114650.95</v>
      </c>
      <c r="G23" s="458">
        <v>82733.98</v>
      </c>
      <c r="H23" s="456">
        <v>165.27</v>
      </c>
      <c r="I23" s="458">
        <v>192723.55</v>
      </c>
      <c r="J23" s="458">
        <v>219713.48</v>
      </c>
    </row>
    <row r="24" spans="1:12" ht="9" customHeight="1">
      <c r="A24" s="851" t="s">
        <v>411</v>
      </c>
      <c r="B24" s="854"/>
      <c r="C24" s="854"/>
      <c r="D24" s="851" t="s">
        <v>414</v>
      </c>
      <c r="E24" s="854"/>
      <c r="F24" s="854"/>
      <c r="G24" s="854"/>
      <c r="H24" s="851"/>
      <c r="I24" s="325"/>
      <c r="J24" s="324"/>
      <c r="K24" s="324"/>
    </row>
    <row r="25" spans="1:12" ht="9" customHeight="1">
      <c r="A25" s="778" t="s">
        <v>402</v>
      </c>
      <c r="B25" s="854"/>
      <c r="C25" s="854"/>
      <c r="D25" s="854"/>
      <c r="E25" s="854"/>
      <c r="F25" s="854"/>
      <c r="G25" s="854"/>
      <c r="H25" s="854"/>
      <c r="I25" s="324"/>
      <c r="J25" s="324"/>
      <c r="K25" s="324"/>
    </row>
    <row r="26" spans="1:12" ht="9" customHeight="1">
      <c r="A26" s="841" t="s">
        <v>359</v>
      </c>
      <c r="B26" s="836"/>
      <c r="C26" s="854"/>
      <c r="D26" s="854"/>
      <c r="E26" s="854"/>
      <c r="F26" s="854"/>
      <c r="G26" s="854"/>
      <c r="H26" s="854"/>
      <c r="I26" s="324"/>
      <c r="J26" s="324"/>
      <c r="K26" s="324"/>
    </row>
    <row r="27" spans="1:12" ht="9" customHeight="1">
      <c r="A27" s="780" t="s">
        <v>358</v>
      </c>
      <c r="B27" s="836"/>
      <c r="C27" s="854"/>
      <c r="D27" s="854"/>
      <c r="E27" s="854"/>
      <c r="F27" s="854"/>
      <c r="G27" s="854"/>
      <c r="H27" s="854"/>
      <c r="I27" s="324"/>
      <c r="J27" s="324"/>
      <c r="K27" s="324"/>
    </row>
    <row r="28" spans="1:12" ht="10.25" customHeight="1">
      <c r="B28" s="324"/>
      <c r="C28" s="324"/>
      <c r="D28" s="324"/>
      <c r="E28" s="324"/>
      <c r="F28" s="324"/>
      <c r="G28" s="324"/>
      <c r="H28" s="324"/>
      <c r="I28" s="324"/>
      <c r="J28" s="324"/>
      <c r="K28" s="324"/>
      <c r="L28" s="324"/>
    </row>
    <row r="29" spans="1:12" ht="12" customHeight="1">
      <c r="A29" s="379" t="s">
        <v>336</v>
      </c>
      <c r="B29" s="379"/>
      <c r="C29" s="343"/>
      <c r="D29" s="343"/>
      <c r="E29" s="343"/>
      <c r="F29" s="343"/>
      <c r="G29" s="343"/>
      <c r="H29" s="343"/>
      <c r="I29" s="343"/>
      <c r="J29" s="343"/>
      <c r="K29" s="343"/>
      <c r="L29" s="343"/>
    </row>
    <row r="30" spans="1:12" ht="12" customHeight="1">
      <c r="A30" s="379" t="s">
        <v>565</v>
      </c>
      <c r="B30" s="379"/>
      <c r="C30" s="343"/>
      <c r="D30" s="343"/>
      <c r="E30" s="343"/>
      <c r="F30" s="343"/>
      <c r="G30" s="343"/>
      <c r="H30" s="343"/>
      <c r="I30" s="343"/>
      <c r="J30" s="343"/>
      <c r="K30" s="343"/>
      <c r="L30" s="343"/>
    </row>
    <row r="31" spans="1:12" ht="12" customHeight="1">
      <c r="A31" s="380" t="s">
        <v>431</v>
      </c>
      <c r="B31" s="379"/>
      <c r="C31" s="343"/>
      <c r="D31" s="343"/>
      <c r="E31" s="343"/>
      <c r="F31" s="343"/>
      <c r="G31" s="343"/>
      <c r="H31" s="343"/>
      <c r="I31" s="343"/>
      <c r="J31" s="343"/>
      <c r="K31" s="343"/>
      <c r="L31" s="343"/>
    </row>
    <row r="32" spans="1:12" ht="4.25" customHeight="1" thickBot="1">
      <c r="A32" s="366"/>
      <c r="B32" s="366"/>
      <c r="C32" s="366"/>
      <c r="D32" s="366"/>
      <c r="E32" s="366"/>
      <c r="F32" s="366"/>
      <c r="G32" s="366"/>
      <c r="H32" s="366"/>
      <c r="I32" s="366"/>
      <c r="J32" s="366"/>
      <c r="K32" s="366"/>
    </row>
    <row r="33" spans="1:12" ht="13.25" customHeight="1">
      <c r="A33" s="978" t="s">
        <v>111</v>
      </c>
      <c r="B33" s="697" t="s">
        <v>125</v>
      </c>
      <c r="C33" s="698" t="s">
        <v>109</v>
      </c>
      <c r="D33" s="980" t="s">
        <v>114</v>
      </c>
      <c r="E33" s="980"/>
      <c r="F33" s="980"/>
      <c r="G33" s="980"/>
      <c r="H33" s="980"/>
      <c r="I33" s="980"/>
      <c r="J33" s="978" t="s">
        <v>288</v>
      </c>
      <c r="K33" s="978" t="s">
        <v>16</v>
      </c>
      <c r="L33" s="335"/>
    </row>
    <row r="34" spans="1:12" ht="13.25" customHeight="1">
      <c r="A34" s="979"/>
      <c r="B34" s="692" t="s">
        <v>133</v>
      </c>
      <c r="C34" s="691" t="s">
        <v>188</v>
      </c>
      <c r="D34" s="691" t="s">
        <v>281</v>
      </c>
      <c r="E34" s="691" t="s">
        <v>282</v>
      </c>
      <c r="F34" s="691" t="s">
        <v>283</v>
      </c>
      <c r="G34" s="691" t="s">
        <v>284</v>
      </c>
      <c r="H34" s="691" t="s">
        <v>285</v>
      </c>
      <c r="I34" s="691" t="s">
        <v>8</v>
      </c>
      <c r="J34" s="979"/>
      <c r="K34" s="979"/>
      <c r="L34" s="330"/>
    </row>
    <row r="35" spans="1:12" ht="13.25" customHeight="1">
      <c r="A35" s="335">
        <v>2007</v>
      </c>
      <c r="B35" s="331">
        <v>8922.5349999999999</v>
      </c>
      <c r="C35" s="332">
        <v>75.453000000000003</v>
      </c>
      <c r="D35" s="332">
        <v>57.045999999999999</v>
      </c>
      <c r="E35" s="332">
        <v>53.628</v>
      </c>
      <c r="F35" s="332">
        <v>0.129</v>
      </c>
      <c r="G35" s="332">
        <v>3.7530000000000001</v>
      </c>
      <c r="H35" s="332">
        <v>7.36</v>
      </c>
      <c r="I35" s="332">
        <v>4.1000000000000002E-2</v>
      </c>
      <c r="J35" s="328">
        <v>14.956</v>
      </c>
      <c r="K35" s="328">
        <v>13.747999999999999</v>
      </c>
      <c r="L35" s="367"/>
    </row>
    <row r="36" spans="1:12" ht="13.25" customHeight="1">
      <c r="A36" s="335">
        <v>2008</v>
      </c>
      <c r="B36" s="331">
        <v>9022.5349999999999</v>
      </c>
      <c r="C36" s="332">
        <v>81.085999999999999</v>
      </c>
      <c r="D36" s="332">
        <v>65.096000000000004</v>
      </c>
      <c r="E36" s="332">
        <v>60.820999999999998</v>
      </c>
      <c r="F36" s="332">
        <v>0.13900000000000001</v>
      </c>
      <c r="G36" s="332">
        <v>4.2279999999999998</v>
      </c>
      <c r="H36" s="332">
        <v>6.9509999999999996</v>
      </c>
      <c r="I36" s="332">
        <v>3.5000000000000003E-2</v>
      </c>
      <c r="J36" s="328">
        <v>14.170999999999999</v>
      </c>
      <c r="K36" s="328">
        <v>14.18</v>
      </c>
      <c r="L36" s="367"/>
    </row>
    <row r="37" spans="1:12" ht="13.25" customHeight="1">
      <c r="A37" s="335">
        <v>2009</v>
      </c>
      <c r="B37" s="331">
        <v>9122.5349999999999</v>
      </c>
      <c r="C37" s="332">
        <v>82.83</v>
      </c>
      <c r="D37" s="332">
        <v>66.069999999999993</v>
      </c>
      <c r="E37" s="332">
        <v>61.128</v>
      </c>
      <c r="F37" s="332">
        <v>0.13500000000000001</v>
      </c>
      <c r="G37" s="332">
        <v>4.4560000000000004</v>
      </c>
      <c r="H37" s="332">
        <v>6.5910000000000002</v>
      </c>
      <c r="I37" s="332">
        <v>3.5000000000000003E-2</v>
      </c>
      <c r="J37" s="328">
        <v>14.635</v>
      </c>
      <c r="K37" s="328">
        <v>14.138999999999999</v>
      </c>
      <c r="L37" s="367"/>
    </row>
    <row r="38" spans="1:12" ht="13.25" customHeight="1">
      <c r="A38" s="335">
        <v>2010</v>
      </c>
      <c r="B38" s="331">
        <v>9160.384</v>
      </c>
      <c r="C38" s="332">
        <v>91.072000000000003</v>
      </c>
      <c r="D38" s="332">
        <v>72.41</v>
      </c>
      <c r="E38" s="332">
        <v>66.608999999999995</v>
      </c>
      <c r="F38" s="332">
        <v>0.13900000000000001</v>
      </c>
      <c r="G38" s="332">
        <v>4.84</v>
      </c>
      <c r="H38" s="332">
        <v>6.7759999999999998</v>
      </c>
      <c r="I38" s="332">
        <v>4.3999999999999997E-2</v>
      </c>
      <c r="J38" s="328">
        <v>18.395</v>
      </c>
      <c r="K38" s="328">
        <v>14.939</v>
      </c>
      <c r="L38" s="367"/>
    </row>
    <row r="39" spans="1:12" ht="13.25" customHeight="1">
      <c r="A39" s="335">
        <v>2011</v>
      </c>
      <c r="B39" s="331">
        <v>9303.7880000000005</v>
      </c>
      <c r="C39" s="332">
        <v>83.614999999999995</v>
      </c>
      <c r="D39" s="332">
        <v>71.771000000000001</v>
      </c>
      <c r="E39" s="332">
        <v>65.879000000000005</v>
      </c>
      <c r="F39" s="332">
        <v>0.13600000000000001</v>
      </c>
      <c r="G39" s="332">
        <v>5.0069999999999997</v>
      </c>
      <c r="H39" s="332">
        <v>6.6639999999999997</v>
      </c>
      <c r="I39" s="332">
        <v>3.6999999999999998E-2</v>
      </c>
      <c r="J39" s="328">
        <v>18.975000000000001</v>
      </c>
      <c r="K39" s="328">
        <v>14.954000000000001</v>
      </c>
      <c r="L39" s="367"/>
    </row>
    <row r="40" spans="1:12" ht="13.25" customHeight="1">
      <c r="A40" s="335">
        <v>2012</v>
      </c>
      <c r="B40" s="331">
        <v>9450.5849999999991</v>
      </c>
      <c r="C40" s="332">
        <v>87.034999999999997</v>
      </c>
      <c r="D40" s="332">
        <v>74.097999999999999</v>
      </c>
      <c r="E40" s="332">
        <v>67.442999999999998</v>
      </c>
      <c r="F40" s="332">
        <v>0.125</v>
      </c>
      <c r="G40" s="332">
        <v>5.5750000000000002</v>
      </c>
      <c r="H40" s="332">
        <v>7.1989999999999998</v>
      </c>
      <c r="I40" s="332">
        <v>3.6999999999999998E-2</v>
      </c>
      <c r="J40" s="328">
        <v>19.489999999999998</v>
      </c>
      <c r="K40" s="328">
        <v>14.62</v>
      </c>
      <c r="L40" s="367"/>
    </row>
    <row r="41" spans="1:12" ht="13.25" customHeight="1">
      <c r="A41" s="335">
        <v>2013</v>
      </c>
      <c r="B41" s="331">
        <v>9600.1139999999996</v>
      </c>
      <c r="C41" s="332">
        <v>88.564999999999998</v>
      </c>
      <c r="D41" s="332">
        <v>74.421999999999997</v>
      </c>
      <c r="E41" s="332">
        <v>67.953999999999994</v>
      </c>
      <c r="F41" s="332">
        <v>0.13800000000000001</v>
      </c>
      <c r="G41" s="332">
        <v>6.319</v>
      </c>
      <c r="H41" s="332">
        <v>7.649</v>
      </c>
      <c r="I41" s="332">
        <v>3.5999999999999997E-2</v>
      </c>
      <c r="J41" s="328">
        <v>19.417000000000002</v>
      </c>
      <c r="K41" s="328">
        <v>15.121</v>
      </c>
      <c r="L41" s="367"/>
    </row>
    <row r="42" spans="1:12" ht="13.25" customHeight="1">
      <c r="A42" s="335">
        <v>2014</v>
      </c>
      <c r="B42" s="331">
        <v>9751.7170000000006</v>
      </c>
      <c r="C42" s="332">
        <v>89.703000000000003</v>
      </c>
      <c r="D42" s="332">
        <v>74.697000000000003</v>
      </c>
      <c r="E42" s="332">
        <v>69.956000000000003</v>
      </c>
      <c r="F42" s="332">
        <v>0.13500000000000001</v>
      </c>
      <c r="G42" s="332">
        <v>6.5590000000000002</v>
      </c>
      <c r="H42" s="332">
        <v>8.2799999999999994</v>
      </c>
      <c r="I42" s="332">
        <v>3.3000000000000002E-2</v>
      </c>
      <c r="J42" s="328">
        <v>18.882999999999999</v>
      </c>
      <c r="K42" s="328">
        <v>15.814</v>
      </c>
      <c r="L42" s="367"/>
    </row>
    <row r="43" spans="1:12" ht="13.25" customHeight="1">
      <c r="A43" s="335">
        <v>2015</v>
      </c>
      <c r="B43" s="331">
        <v>9904.7270000000008</v>
      </c>
      <c r="C43" s="332">
        <v>90.278999999999996</v>
      </c>
      <c r="D43" s="332">
        <v>75.286000000000001</v>
      </c>
      <c r="E43" s="332">
        <v>70.677000000000007</v>
      </c>
      <c r="F43" s="332">
        <v>0.122</v>
      </c>
      <c r="G43" s="332">
        <v>6.4960000000000004</v>
      </c>
      <c r="H43" s="332">
        <v>8.35</v>
      </c>
      <c r="I43" s="332">
        <v>2.5000000000000001E-2</v>
      </c>
      <c r="J43" s="328">
        <v>18.678000000000001</v>
      </c>
      <c r="K43" s="328">
        <v>16.379000000000001</v>
      </c>
      <c r="L43" s="367"/>
    </row>
    <row r="44" spans="1:12" ht="13.25" customHeight="1">
      <c r="A44" s="335">
        <v>2016</v>
      </c>
      <c r="B44" s="331">
        <v>10059.157058112307</v>
      </c>
      <c r="C44" s="332">
        <v>92.686999999999998</v>
      </c>
      <c r="D44" s="332">
        <v>77.766000000000005</v>
      </c>
      <c r="E44" s="332">
        <v>72.225999999999999</v>
      </c>
      <c r="F44" s="332">
        <v>0.11700000000000001</v>
      </c>
      <c r="G44" s="332">
        <v>6.859</v>
      </c>
      <c r="H44" s="332">
        <v>7.92</v>
      </c>
      <c r="I44" s="332">
        <v>2.4E-2</v>
      </c>
      <c r="J44" s="328">
        <v>18.838999999999999</v>
      </c>
      <c r="K44" s="328">
        <v>16.742000000000001</v>
      </c>
      <c r="L44" s="367"/>
    </row>
    <row r="45" spans="1:12" ht="13.25" customHeight="1">
      <c r="A45" s="330" t="s">
        <v>196</v>
      </c>
      <c r="B45" s="331">
        <v>10217.9871</v>
      </c>
      <c r="C45" s="332">
        <v>94.96</v>
      </c>
      <c r="D45" s="332">
        <v>79.176000000000002</v>
      </c>
      <c r="E45" s="332">
        <v>73.956999999999994</v>
      </c>
      <c r="F45" s="332">
        <v>0.104</v>
      </c>
      <c r="G45" s="332">
        <v>7.431</v>
      </c>
      <c r="H45" s="332">
        <v>8.2279999999999998</v>
      </c>
      <c r="I45" s="332">
        <v>2.1000000000000001E-2</v>
      </c>
      <c r="J45" s="328">
        <v>19.084</v>
      </c>
      <c r="K45" s="328">
        <v>17.071999999999999</v>
      </c>
      <c r="L45" s="367"/>
    </row>
    <row r="46" spans="1:12" ht="13.25" customHeight="1">
      <c r="A46" s="330" t="s">
        <v>197</v>
      </c>
      <c r="B46" s="331">
        <v>10378.313199999999</v>
      </c>
      <c r="C46" s="332">
        <v>96.69</v>
      </c>
      <c r="D46" s="332">
        <v>80.358999999999995</v>
      </c>
      <c r="E46" s="332">
        <v>73.152000000000001</v>
      </c>
      <c r="F46" s="332">
        <v>0.10100000000000001</v>
      </c>
      <c r="G46" s="332">
        <v>7.9009999999999998</v>
      </c>
      <c r="H46" s="332">
        <v>8.31</v>
      </c>
      <c r="I46" s="332">
        <v>1.9E-2</v>
      </c>
      <c r="J46" s="328">
        <v>19.087</v>
      </c>
      <c r="K46" s="328">
        <v>17.866</v>
      </c>
      <c r="L46" s="367"/>
    </row>
    <row r="47" spans="1:12" ht="13.25" customHeight="1">
      <c r="A47" s="330" t="s">
        <v>348</v>
      </c>
      <c r="B47" s="331">
        <v>10541.1548</v>
      </c>
      <c r="C47" s="332">
        <v>97.741</v>
      </c>
      <c r="D47" s="332">
        <v>81.295000000000002</v>
      </c>
      <c r="E47" s="332">
        <v>73.328999999999994</v>
      </c>
      <c r="F47" s="332">
        <v>9.5000000000000001E-2</v>
      </c>
      <c r="G47" s="332">
        <v>8.2270000000000003</v>
      </c>
      <c r="H47" s="332">
        <v>8.1050000000000004</v>
      </c>
      <c r="I47" s="332">
        <v>1.7999999999999999E-2</v>
      </c>
      <c r="J47" s="328">
        <v>18.925999999999998</v>
      </c>
      <c r="K47" s="328">
        <v>18.536000000000001</v>
      </c>
      <c r="L47" s="367"/>
    </row>
    <row r="48" spans="1:12" ht="13.25" customHeight="1">
      <c r="A48" s="330" t="s">
        <v>352</v>
      </c>
      <c r="B48" s="331">
        <v>10706.5515</v>
      </c>
      <c r="C48" s="332">
        <v>92.772000000000006</v>
      </c>
      <c r="D48" s="332">
        <v>77.278000000000006</v>
      </c>
      <c r="E48" s="332">
        <v>72.626999999999995</v>
      </c>
      <c r="F48" s="332">
        <v>6.8000000000000005E-2</v>
      </c>
      <c r="G48" s="332">
        <v>9.5079999999999991</v>
      </c>
      <c r="H48" s="332">
        <v>7.3579999999999997</v>
      </c>
      <c r="I48" s="332">
        <v>1.4999999999999999E-2</v>
      </c>
      <c r="J48" s="328">
        <v>17.192</v>
      </c>
      <c r="K48" s="328">
        <v>18.597000000000001</v>
      </c>
      <c r="L48" s="367"/>
    </row>
    <row r="49" spans="1:12" ht="13.25" customHeight="1">
      <c r="A49" s="330">
        <v>2021</v>
      </c>
      <c r="B49" s="331">
        <v>10874.5434</v>
      </c>
      <c r="C49" s="332">
        <v>96.417000000000002</v>
      </c>
      <c r="D49" s="332">
        <v>78.763000000000005</v>
      </c>
      <c r="E49" s="332">
        <v>74.099000000000004</v>
      </c>
      <c r="F49" s="332">
        <v>7.3999999999999996E-2</v>
      </c>
      <c r="G49" s="332">
        <v>9.7769999999999992</v>
      </c>
      <c r="H49" s="332">
        <v>7.7869999999999999</v>
      </c>
      <c r="I49" s="332">
        <v>1.6E-2</v>
      </c>
      <c r="J49" s="328">
        <v>17.189</v>
      </c>
      <c r="K49" s="328">
        <v>19.216000000000001</v>
      </c>
      <c r="L49" s="367"/>
    </row>
    <row r="50" spans="1:12" ht="13.25" customHeight="1" thickBot="1">
      <c r="A50" s="926" t="s">
        <v>616</v>
      </c>
      <c r="B50" s="333">
        <v>11045.171199999999</v>
      </c>
      <c r="C50" s="334">
        <v>93.153999999999996</v>
      </c>
      <c r="D50" s="334">
        <v>75.188000000000002</v>
      </c>
      <c r="E50" s="334">
        <v>72.686000000000007</v>
      </c>
      <c r="F50" s="334">
        <v>0.08</v>
      </c>
      <c r="G50" s="334">
        <v>10.38</v>
      </c>
      <c r="H50" s="334">
        <v>7.4909999999999997</v>
      </c>
      <c r="I50" s="334">
        <v>1.4999999999999999E-2</v>
      </c>
      <c r="J50" s="329">
        <v>17.449000000000002</v>
      </c>
      <c r="K50" s="329">
        <v>19.891999999999999</v>
      </c>
      <c r="L50" s="367"/>
    </row>
    <row r="51" spans="1:12" ht="9" customHeight="1">
      <c r="A51" s="851" t="s">
        <v>365</v>
      </c>
      <c r="B51" s="854"/>
      <c r="C51" s="854"/>
      <c r="D51" s="851"/>
      <c r="E51" s="851" t="s">
        <v>366</v>
      </c>
      <c r="F51" s="854"/>
      <c r="G51" s="854"/>
      <c r="H51" s="851"/>
      <c r="I51" s="325"/>
      <c r="J51" s="325"/>
      <c r="K51" s="324"/>
    </row>
    <row r="52" spans="1:12" ht="9" customHeight="1">
      <c r="A52" s="778" t="s">
        <v>402</v>
      </c>
      <c r="B52" s="854"/>
      <c r="C52" s="854"/>
      <c r="D52" s="851"/>
      <c r="E52" s="856"/>
      <c r="F52" s="856"/>
      <c r="G52" s="856"/>
      <c r="H52" s="856"/>
      <c r="I52" s="511"/>
      <c r="J52" s="511"/>
      <c r="K52" s="511"/>
      <c r="L52" s="368"/>
    </row>
    <row r="53" spans="1:12" ht="9" customHeight="1">
      <c r="A53" s="841" t="s">
        <v>359</v>
      </c>
      <c r="B53" s="836"/>
      <c r="C53" s="854"/>
      <c r="D53" s="854"/>
      <c r="E53" s="854"/>
      <c r="F53" s="854"/>
      <c r="G53" s="854"/>
      <c r="H53" s="854"/>
      <c r="I53" s="324"/>
      <c r="J53" s="324"/>
      <c r="K53" s="324"/>
    </row>
    <row r="54" spans="1:12" ht="9" customHeight="1">
      <c r="A54" s="780" t="s">
        <v>358</v>
      </c>
      <c r="B54" s="836"/>
      <c r="C54" s="854"/>
      <c r="D54" s="854"/>
      <c r="E54" s="854"/>
      <c r="F54" s="854"/>
      <c r="G54" s="854"/>
      <c r="H54" s="854"/>
      <c r="I54" s="324"/>
      <c r="J54" s="324"/>
      <c r="K54" s="324"/>
    </row>
    <row r="55" spans="1:12" ht="10.25" customHeight="1">
      <c r="A55" s="305"/>
      <c r="B55" s="324"/>
      <c r="C55" s="324"/>
      <c r="D55" s="324"/>
      <c r="E55" s="324"/>
      <c r="F55" s="324"/>
      <c r="G55" s="324"/>
      <c r="H55" s="324"/>
      <c r="I55" s="324"/>
      <c r="J55" s="324"/>
      <c r="K55" s="324"/>
    </row>
    <row r="56" spans="1:12" ht="15" customHeight="1">
      <c r="A56" s="305"/>
      <c r="D56" s="513"/>
      <c r="E56" s="513"/>
      <c r="F56" s="513"/>
      <c r="G56" s="513"/>
      <c r="H56" s="513"/>
      <c r="I56" s="513"/>
      <c r="J56" s="513"/>
      <c r="K56" s="513"/>
    </row>
    <row r="57" spans="1:12" ht="15" customHeight="1">
      <c r="B57" s="368"/>
      <c r="I57" s="512"/>
    </row>
    <row r="58" spans="1:12" ht="15" customHeight="1">
      <c r="B58" s="368"/>
    </row>
    <row r="59" spans="1:12" ht="15" customHeight="1">
      <c r="B59" s="368"/>
    </row>
    <row r="60" spans="1:12" ht="15" customHeight="1">
      <c r="B60" s="368"/>
    </row>
    <row r="61" spans="1:12" ht="15" customHeight="1">
      <c r="B61" s="368"/>
    </row>
    <row r="62" spans="1:12" ht="15" customHeight="1">
      <c r="B62" s="368"/>
    </row>
    <row r="63" spans="1:12" ht="15" customHeight="1">
      <c r="B63" s="368"/>
    </row>
    <row r="64" spans="1:12" ht="15" customHeight="1">
      <c r="B64" s="368"/>
    </row>
    <row r="65" spans="2:2" ht="15" customHeight="1">
      <c r="B65" s="368"/>
    </row>
    <row r="66" spans="2:2" ht="15" customHeight="1">
      <c r="B66" s="368"/>
    </row>
    <row r="67" spans="2:2" ht="15" customHeight="1">
      <c r="B67" s="368"/>
    </row>
    <row r="68" spans="2:2" ht="15" customHeight="1">
      <c r="B68" s="368"/>
    </row>
  </sheetData>
  <mergeCells count="8">
    <mergeCell ref="K33:K34"/>
    <mergeCell ref="A33:A34"/>
    <mergeCell ref="D33:I33"/>
    <mergeCell ref="A6:A7"/>
    <mergeCell ref="I6:I7"/>
    <mergeCell ref="J6:J7"/>
    <mergeCell ref="C6:H6"/>
    <mergeCell ref="J33:J34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8" max="10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syncVertical="1" syncRef="A1" transitionEvaluation="1" codeName="Hoja97">
    <tabColor theme="9" tint="0.59999389629810485"/>
  </sheetPr>
  <dimension ref="A1:BZ48"/>
  <sheetViews>
    <sheetView showGridLines="0" zoomScaleNormal="100" workbookViewId="0">
      <selection activeCell="M15" sqref="M15"/>
    </sheetView>
  </sheetViews>
  <sheetFormatPr baseColWidth="10" defaultColWidth="9.796875" defaultRowHeight="15" customHeight="1"/>
  <cols>
    <col min="1" max="1" width="9.3984375" style="342" customWidth="1"/>
    <col min="2" max="8" width="10" style="342" customWidth="1"/>
    <col min="9" max="9" width="10.3984375" style="342" hidden="1" customWidth="1"/>
    <col min="10" max="255" width="9.796875" style="342"/>
    <col min="256" max="256" width="9" style="342" customWidth="1"/>
    <col min="257" max="257" width="11" style="342" customWidth="1"/>
    <col min="258" max="258" width="10.796875" style="342" customWidth="1"/>
    <col min="259" max="259" width="10" style="342" customWidth="1"/>
    <col min="260" max="260" width="11.3984375" style="342" customWidth="1"/>
    <col min="261" max="261" width="11.19921875" style="342" customWidth="1"/>
    <col min="262" max="262" width="12.19921875" style="342" customWidth="1"/>
    <col min="263" max="263" width="1.796875" style="342" customWidth="1"/>
    <col min="264" max="264" width="10.3984375" style="342" customWidth="1"/>
    <col min="265" max="265" width="0" style="342" hidden="1" customWidth="1"/>
    <col min="266" max="511" width="9.796875" style="342"/>
    <col min="512" max="512" width="9" style="342" customWidth="1"/>
    <col min="513" max="513" width="11" style="342" customWidth="1"/>
    <col min="514" max="514" width="10.796875" style="342" customWidth="1"/>
    <col min="515" max="515" width="10" style="342" customWidth="1"/>
    <col min="516" max="516" width="11.3984375" style="342" customWidth="1"/>
    <col min="517" max="517" width="11.19921875" style="342" customWidth="1"/>
    <col min="518" max="518" width="12.19921875" style="342" customWidth="1"/>
    <col min="519" max="519" width="1.796875" style="342" customWidth="1"/>
    <col min="520" max="520" width="10.3984375" style="342" customWidth="1"/>
    <col min="521" max="521" width="0" style="342" hidden="1" customWidth="1"/>
    <col min="522" max="767" width="9.796875" style="342"/>
    <col min="768" max="768" width="9" style="342" customWidth="1"/>
    <col min="769" max="769" width="11" style="342" customWidth="1"/>
    <col min="770" max="770" width="10.796875" style="342" customWidth="1"/>
    <col min="771" max="771" width="10" style="342" customWidth="1"/>
    <col min="772" max="772" width="11.3984375" style="342" customWidth="1"/>
    <col min="773" max="773" width="11.19921875" style="342" customWidth="1"/>
    <col min="774" max="774" width="12.19921875" style="342" customWidth="1"/>
    <col min="775" max="775" width="1.796875" style="342" customWidth="1"/>
    <col min="776" max="776" width="10.3984375" style="342" customWidth="1"/>
    <col min="777" max="777" width="0" style="342" hidden="1" customWidth="1"/>
    <col min="778" max="1023" width="9.796875" style="342"/>
    <col min="1024" max="1024" width="9" style="342" customWidth="1"/>
    <col min="1025" max="1025" width="11" style="342" customWidth="1"/>
    <col min="1026" max="1026" width="10.796875" style="342" customWidth="1"/>
    <col min="1027" max="1027" width="10" style="342" customWidth="1"/>
    <col min="1028" max="1028" width="11.3984375" style="342" customWidth="1"/>
    <col min="1029" max="1029" width="11.19921875" style="342" customWidth="1"/>
    <col min="1030" max="1030" width="12.19921875" style="342" customWidth="1"/>
    <col min="1031" max="1031" width="1.796875" style="342" customWidth="1"/>
    <col min="1032" max="1032" width="10.3984375" style="342" customWidth="1"/>
    <col min="1033" max="1033" width="0" style="342" hidden="1" customWidth="1"/>
    <col min="1034" max="1279" width="9.796875" style="342"/>
    <col min="1280" max="1280" width="9" style="342" customWidth="1"/>
    <col min="1281" max="1281" width="11" style="342" customWidth="1"/>
    <col min="1282" max="1282" width="10.796875" style="342" customWidth="1"/>
    <col min="1283" max="1283" width="10" style="342" customWidth="1"/>
    <col min="1284" max="1284" width="11.3984375" style="342" customWidth="1"/>
    <col min="1285" max="1285" width="11.19921875" style="342" customWidth="1"/>
    <col min="1286" max="1286" width="12.19921875" style="342" customWidth="1"/>
    <col min="1287" max="1287" width="1.796875" style="342" customWidth="1"/>
    <col min="1288" max="1288" width="10.3984375" style="342" customWidth="1"/>
    <col min="1289" max="1289" width="0" style="342" hidden="1" customWidth="1"/>
    <col min="1290" max="1535" width="9.796875" style="342"/>
    <col min="1536" max="1536" width="9" style="342" customWidth="1"/>
    <col min="1537" max="1537" width="11" style="342" customWidth="1"/>
    <col min="1538" max="1538" width="10.796875" style="342" customWidth="1"/>
    <col min="1539" max="1539" width="10" style="342" customWidth="1"/>
    <col min="1540" max="1540" width="11.3984375" style="342" customWidth="1"/>
    <col min="1541" max="1541" width="11.19921875" style="342" customWidth="1"/>
    <col min="1542" max="1542" width="12.19921875" style="342" customWidth="1"/>
    <col min="1543" max="1543" width="1.796875" style="342" customWidth="1"/>
    <col min="1544" max="1544" width="10.3984375" style="342" customWidth="1"/>
    <col min="1545" max="1545" width="0" style="342" hidden="1" customWidth="1"/>
    <col min="1546" max="1791" width="9.796875" style="342"/>
    <col min="1792" max="1792" width="9" style="342" customWidth="1"/>
    <col min="1793" max="1793" width="11" style="342" customWidth="1"/>
    <col min="1794" max="1794" width="10.796875" style="342" customWidth="1"/>
    <col min="1795" max="1795" width="10" style="342" customWidth="1"/>
    <col min="1796" max="1796" width="11.3984375" style="342" customWidth="1"/>
    <col min="1797" max="1797" width="11.19921875" style="342" customWidth="1"/>
    <col min="1798" max="1798" width="12.19921875" style="342" customWidth="1"/>
    <col min="1799" max="1799" width="1.796875" style="342" customWidth="1"/>
    <col min="1800" max="1800" width="10.3984375" style="342" customWidth="1"/>
    <col min="1801" max="1801" width="0" style="342" hidden="1" customWidth="1"/>
    <col min="1802" max="2047" width="9.796875" style="342"/>
    <col min="2048" max="2048" width="9" style="342" customWidth="1"/>
    <col min="2049" max="2049" width="11" style="342" customWidth="1"/>
    <col min="2050" max="2050" width="10.796875" style="342" customWidth="1"/>
    <col min="2051" max="2051" width="10" style="342" customWidth="1"/>
    <col min="2052" max="2052" width="11.3984375" style="342" customWidth="1"/>
    <col min="2053" max="2053" width="11.19921875" style="342" customWidth="1"/>
    <col min="2054" max="2054" width="12.19921875" style="342" customWidth="1"/>
    <col min="2055" max="2055" width="1.796875" style="342" customWidth="1"/>
    <col min="2056" max="2056" width="10.3984375" style="342" customWidth="1"/>
    <col min="2057" max="2057" width="0" style="342" hidden="1" customWidth="1"/>
    <col min="2058" max="2303" width="9.796875" style="342"/>
    <col min="2304" max="2304" width="9" style="342" customWidth="1"/>
    <col min="2305" max="2305" width="11" style="342" customWidth="1"/>
    <col min="2306" max="2306" width="10.796875" style="342" customWidth="1"/>
    <col min="2307" max="2307" width="10" style="342" customWidth="1"/>
    <col min="2308" max="2308" width="11.3984375" style="342" customWidth="1"/>
    <col min="2309" max="2309" width="11.19921875" style="342" customWidth="1"/>
    <col min="2310" max="2310" width="12.19921875" style="342" customWidth="1"/>
    <col min="2311" max="2311" width="1.796875" style="342" customWidth="1"/>
    <col min="2312" max="2312" width="10.3984375" style="342" customWidth="1"/>
    <col min="2313" max="2313" width="0" style="342" hidden="1" customWidth="1"/>
    <col min="2314" max="2559" width="9.796875" style="342"/>
    <col min="2560" max="2560" width="9" style="342" customWidth="1"/>
    <col min="2561" max="2561" width="11" style="342" customWidth="1"/>
    <col min="2562" max="2562" width="10.796875" style="342" customWidth="1"/>
    <col min="2563" max="2563" width="10" style="342" customWidth="1"/>
    <col min="2564" max="2564" width="11.3984375" style="342" customWidth="1"/>
    <col min="2565" max="2565" width="11.19921875" style="342" customWidth="1"/>
    <col min="2566" max="2566" width="12.19921875" style="342" customWidth="1"/>
    <col min="2567" max="2567" width="1.796875" style="342" customWidth="1"/>
    <col min="2568" max="2568" width="10.3984375" style="342" customWidth="1"/>
    <col min="2569" max="2569" width="0" style="342" hidden="1" customWidth="1"/>
    <col min="2570" max="2815" width="9.796875" style="342"/>
    <col min="2816" max="2816" width="9" style="342" customWidth="1"/>
    <col min="2817" max="2817" width="11" style="342" customWidth="1"/>
    <col min="2818" max="2818" width="10.796875" style="342" customWidth="1"/>
    <col min="2819" max="2819" width="10" style="342" customWidth="1"/>
    <col min="2820" max="2820" width="11.3984375" style="342" customWidth="1"/>
    <col min="2821" max="2821" width="11.19921875" style="342" customWidth="1"/>
    <col min="2822" max="2822" width="12.19921875" style="342" customWidth="1"/>
    <col min="2823" max="2823" width="1.796875" style="342" customWidth="1"/>
    <col min="2824" max="2824" width="10.3984375" style="342" customWidth="1"/>
    <col min="2825" max="2825" width="0" style="342" hidden="1" customWidth="1"/>
    <col min="2826" max="3071" width="9.796875" style="342"/>
    <col min="3072" max="3072" width="9" style="342" customWidth="1"/>
    <col min="3073" max="3073" width="11" style="342" customWidth="1"/>
    <col min="3074" max="3074" width="10.796875" style="342" customWidth="1"/>
    <col min="3075" max="3075" width="10" style="342" customWidth="1"/>
    <col min="3076" max="3076" width="11.3984375" style="342" customWidth="1"/>
    <col min="3077" max="3077" width="11.19921875" style="342" customWidth="1"/>
    <col min="3078" max="3078" width="12.19921875" style="342" customWidth="1"/>
    <col min="3079" max="3079" width="1.796875" style="342" customWidth="1"/>
    <col min="3080" max="3080" width="10.3984375" style="342" customWidth="1"/>
    <col min="3081" max="3081" width="0" style="342" hidden="1" customWidth="1"/>
    <col min="3082" max="3327" width="9.796875" style="342"/>
    <col min="3328" max="3328" width="9" style="342" customWidth="1"/>
    <col min="3329" max="3329" width="11" style="342" customWidth="1"/>
    <col min="3330" max="3330" width="10.796875" style="342" customWidth="1"/>
    <col min="3331" max="3331" width="10" style="342" customWidth="1"/>
    <col min="3332" max="3332" width="11.3984375" style="342" customWidth="1"/>
    <col min="3333" max="3333" width="11.19921875" style="342" customWidth="1"/>
    <col min="3334" max="3334" width="12.19921875" style="342" customWidth="1"/>
    <col min="3335" max="3335" width="1.796875" style="342" customWidth="1"/>
    <col min="3336" max="3336" width="10.3984375" style="342" customWidth="1"/>
    <col min="3337" max="3337" width="0" style="342" hidden="1" customWidth="1"/>
    <col min="3338" max="3583" width="9.796875" style="342"/>
    <col min="3584" max="3584" width="9" style="342" customWidth="1"/>
    <col min="3585" max="3585" width="11" style="342" customWidth="1"/>
    <col min="3586" max="3586" width="10.796875" style="342" customWidth="1"/>
    <col min="3587" max="3587" width="10" style="342" customWidth="1"/>
    <col min="3588" max="3588" width="11.3984375" style="342" customWidth="1"/>
    <col min="3589" max="3589" width="11.19921875" style="342" customWidth="1"/>
    <col min="3590" max="3590" width="12.19921875" style="342" customWidth="1"/>
    <col min="3591" max="3591" width="1.796875" style="342" customWidth="1"/>
    <col min="3592" max="3592" width="10.3984375" style="342" customWidth="1"/>
    <col min="3593" max="3593" width="0" style="342" hidden="1" customWidth="1"/>
    <col min="3594" max="3839" width="9.796875" style="342"/>
    <col min="3840" max="3840" width="9" style="342" customWidth="1"/>
    <col min="3841" max="3841" width="11" style="342" customWidth="1"/>
    <col min="3842" max="3842" width="10.796875" style="342" customWidth="1"/>
    <col min="3843" max="3843" width="10" style="342" customWidth="1"/>
    <col min="3844" max="3844" width="11.3984375" style="342" customWidth="1"/>
    <col min="3845" max="3845" width="11.19921875" style="342" customWidth="1"/>
    <col min="3846" max="3846" width="12.19921875" style="342" customWidth="1"/>
    <col min="3847" max="3847" width="1.796875" style="342" customWidth="1"/>
    <col min="3848" max="3848" width="10.3984375" style="342" customWidth="1"/>
    <col min="3849" max="3849" width="0" style="342" hidden="1" customWidth="1"/>
    <col min="3850" max="4095" width="9.796875" style="342"/>
    <col min="4096" max="4096" width="9" style="342" customWidth="1"/>
    <col min="4097" max="4097" width="11" style="342" customWidth="1"/>
    <col min="4098" max="4098" width="10.796875" style="342" customWidth="1"/>
    <col min="4099" max="4099" width="10" style="342" customWidth="1"/>
    <col min="4100" max="4100" width="11.3984375" style="342" customWidth="1"/>
    <col min="4101" max="4101" width="11.19921875" style="342" customWidth="1"/>
    <col min="4102" max="4102" width="12.19921875" style="342" customWidth="1"/>
    <col min="4103" max="4103" width="1.796875" style="342" customWidth="1"/>
    <col min="4104" max="4104" width="10.3984375" style="342" customWidth="1"/>
    <col min="4105" max="4105" width="0" style="342" hidden="1" customWidth="1"/>
    <col min="4106" max="4351" width="9.796875" style="342"/>
    <col min="4352" max="4352" width="9" style="342" customWidth="1"/>
    <col min="4353" max="4353" width="11" style="342" customWidth="1"/>
    <col min="4354" max="4354" width="10.796875" style="342" customWidth="1"/>
    <col min="4355" max="4355" width="10" style="342" customWidth="1"/>
    <col min="4356" max="4356" width="11.3984375" style="342" customWidth="1"/>
    <col min="4357" max="4357" width="11.19921875" style="342" customWidth="1"/>
    <col min="4358" max="4358" width="12.19921875" style="342" customWidth="1"/>
    <col min="4359" max="4359" width="1.796875" style="342" customWidth="1"/>
    <col min="4360" max="4360" width="10.3984375" style="342" customWidth="1"/>
    <col min="4361" max="4361" width="0" style="342" hidden="1" customWidth="1"/>
    <col min="4362" max="4607" width="9.796875" style="342"/>
    <col min="4608" max="4608" width="9" style="342" customWidth="1"/>
    <col min="4609" max="4609" width="11" style="342" customWidth="1"/>
    <col min="4610" max="4610" width="10.796875" style="342" customWidth="1"/>
    <col min="4611" max="4611" width="10" style="342" customWidth="1"/>
    <col min="4612" max="4612" width="11.3984375" style="342" customWidth="1"/>
    <col min="4613" max="4613" width="11.19921875" style="342" customWidth="1"/>
    <col min="4614" max="4614" width="12.19921875" style="342" customWidth="1"/>
    <col min="4615" max="4615" width="1.796875" style="342" customWidth="1"/>
    <col min="4616" max="4616" width="10.3984375" style="342" customWidth="1"/>
    <col min="4617" max="4617" width="0" style="342" hidden="1" customWidth="1"/>
    <col min="4618" max="4863" width="9.796875" style="342"/>
    <col min="4864" max="4864" width="9" style="342" customWidth="1"/>
    <col min="4865" max="4865" width="11" style="342" customWidth="1"/>
    <col min="4866" max="4866" width="10.796875" style="342" customWidth="1"/>
    <col min="4867" max="4867" width="10" style="342" customWidth="1"/>
    <col min="4868" max="4868" width="11.3984375" style="342" customWidth="1"/>
    <col min="4869" max="4869" width="11.19921875" style="342" customWidth="1"/>
    <col min="4870" max="4870" width="12.19921875" style="342" customWidth="1"/>
    <col min="4871" max="4871" width="1.796875" style="342" customWidth="1"/>
    <col min="4872" max="4872" width="10.3984375" style="342" customWidth="1"/>
    <col min="4873" max="4873" width="0" style="342" hidden="1" customWidth="1"/>
    <col min="4874" max="5119" width="9.796875" style="342"/>
    <col min="5120" max="5120" width="9" style="342" customWidth="1"/>
    <col min="5121" max="5121" width="11" style="342" customWidth="1"/>
    <col min="5122" max="5122" width="10.796875" style="342" customWidth="1"/>
    <col min="5123" max="5123" width="10" style="342" customWidth="1"/>
    <col min="5124" max="5124" width="11.3984375" style="342" customWidth="1"/>
    <col min="5125" max="5125" width="11.19921875" style="342" customWidth="1"/>
    <col min="5126" max="5126" width="12.19921875" style="342" customWidth="1"/>
    <col min="5127" max="5127" width="1.796875" style="342" customWidth="1"/>
    <col min="5128" max="5128" width="10.3984375" style="342" customWidth="1"/>
    <col min="5129" max="5129" width="0" style="342" hidden="1" customWidth="1"/>
    <col min="5130" max="5375" width="9.796875" style="342"/>
    <col min="5376" max="5376" width="9" style="342" customWidth="1"/>
    <col min="5377" max="5377" width="11" style="342" customWidth="1"/>
    <col min="5378" max="5378" width="10.796875" style="342" customWidth="1"/>
    <col min="5379" max="5379" width="10" style="342" customWidth="1"/>
    <col min="5380" max="5380" width="11.3984375" style="342" customWidth="1"/>
    <col min="5381" max="5381" width="11.19921875" style="342" customWidth="1"/>
    <col min="5382" max="5382" width="12.19921875" style="342" customWidth="1"/>
    <col min="5383" max="5383" width="1.796875" style="342" customWidth="1"/>
    <col min="5384" max="5384" width="10.3984375" style="342" customWidth="1"/>
    <col min="5385" max="5385" width="0" style="342" hidden="1" customWidth="1"/>
    <col min="5386" max="5631" width="9.796875" style="342"/>
    <col min="5632" max="5632" width="9" style="342" customWidth="1"/>
    <col min="5633" max="5633" width="11" style="342" customWidth="1"/>
    <col min="5634" max="5634" width="10.796875" style="342" customWidth="1"/>
    <col min="5635" max="5635" width="10" style="342" customWidth="1"/>
    <col min="5636" max="5636" width="11.3984375" style="342" customWidth="1"/>
    <col min="5637" max="5637" width="11.19921875" style="342" customWidth="1"/>
    <col min="5638" max="5638" width="12.19921875" style="342" customWidth="1"/>
    <col min="5639" max="5639" width="1.796875" style="342" customWidth="1"/>
    <col min="5640" max="5640" width="10.3984375" style="342" customWidth="1"/>
    <col min="5641" max="5641" width="0" style="342" hidden="1" customWidth="1"/>
    <col min="5642" max="5887" width="9.796875" style="342"/>
    <col min="5888" max="5888" width="9" style="342" customWidth="1"/>
    <col min="5889" max="5889" width="11" style="342" customWidth="1"/>
    <col min="5890" max="5890" width="10.796875" style="342" customWidth="1"/>
    <col min="5891" max="5891" width="10" style="342" customWidth="1"/>
    <col min="5892" max="5892" width="11.3984375" style="342" customWidth="1"/>
    <col min="5893" max="5893" width="11.19921875" style="342" customWidth="1"/>
    <col min="5894" max="5894" width="12.19921875" style="342" customWidth="1"/>
    <col min="5895" max="5895" width="1.796875" style="342" customWidth="1"/>
    <col min="5896" max="5896" width="10.3984375" style="342" customWidth="1"/>
    <col min="5897" max="5897" width="0" style="342" hidden="1" customWidth="1"/>
    <col min="5898" max="6143" width="9.796875" style="342"/>
    <col min="6144" max="6144" width="9" style="342" customWidth="1"/>
    <col min="6145" max="6145" width="11" style="342" customWidth="1"/>
    <col min="6146" max="6146" width="10.796875" style="342" customWidth="1"/>
    <col min="6147" max="6147" width="10" style="342" customWidth="1"/>
    <col min="6148" max="6148" width="11.3984375" style="342" customWidth="1"/>
    <col min="6149" max="6149" width="11.19921875" style="342" customWidth="1"/>
    <col min="6150" max="6150" width="12.19921875" style="342" customWidth="1"/>
    <col min="6151" max="6151" width="1.796875" style="342" customWidth="1"/>
    <col min="6152" max="6152" width="10.3984375" style="342" customWidth="1"/>
    <col min="6153" max="6153" width="0" style="342" hidden="1" customWidth="1"/>
    <col min="6154" max="6399" width="9.796875" style="342"/>
    <col min="6400" max="6400" width="9" style="342" customWidth="1"/>
    <col min="6401" max="6401" width="11" style="342" customWidth="1"/>
    <col min="6402" max="6402" width="10.796875" style="342" customWidth="1"/>
    <col min="6403" max="6403" width="10" style="342" customWidth="1"/>
    <col min="6404" max="6404" width="11.3984375" style="342" customWidth="1"/>
    <col min="6405" max="6405" width="11.19921875" style="342" customWidth="1"/>
    <col min="6406" max="6406" width="12.19921875" style="342" customWidth="1"/>
    <col min="6407" max="6407" width="1.796875" style="342" customWidth="1"/>
    <col min="6408" max="6408" width="10.3984375" style="342" customWidth="1"/>
    <col min="6409" max="6409" width="0" style="342" hidden="1" customWidth="1"/>
    <col min="6410" max="6655" width="9.796875" style="342"/>
    <col min="6656" max="6656" width="9" style="342" customWidth="1"/>
    <col min="6657" max="6657" width="11" style="342" customWidth="1"/>
    <col min="6658" max="6658" width="10.796875" style="342" customWidth="1"/>
    <col min="6659" max="6659" width="10" style="342" customWidth="1"/>
    <col min="6660" max="6660" width="11.3984375" style="342" customWidth="1"/>
    <col min="6661" max="6661" width="11.19921875" style="342" customWidth="1"/>
    <col min="6662" max="6662" width="12.19921875" style="342" customWidth="1"/>
    <col min="6663" max="6663" width="1.796875" style="342" customWidth="1"/>
    <col min="6664" max="6664" width="10.3984375" style="342" customWidth="1"/>
    <col min="6665" max="6665" width="0" style="342" hidden="1" customWidth="1"/>
    <col min="6666" max="6911" width="9.796875" style="342"/>
    <col min="6912" max="6912" width="9" style="342" customWidth="1"/>
    <col min="6913" max="6913" width="11" style="342" customWidth="1"/>
    <col min="6914" max="6914" width="10.796875" style="342" customWidth="1"/>
    <col min="6915" max="6915" width="10" style="342" customWidth="1"/>
    <col min="6916" max="6916" width="11.3984375" style="342" customWidth="1"/>
    <col min="6917" max="6917" width="11.19921875" style="342" customWidth="1"/>
    <col min="6918" max="6918" width="12.19921875" style="342" customWidth="1"/>
    <col min="6919" max="6919" width="1.796875" style="342" customWidth="1"/>
    <col min="6920" max="6920" width="10.3984375" style="342" customWidth="1"/>
    <col min="6921" max="6921" width="0" style="342" hidden="1" customWidth="1"/>
    <col min="6922" max="7167" width="9.796875" style="342"/>
    <col min="7168" max="7168" width="9" style="342" customWidth="1"/>
    <col min="7169" max="7169" width="11" style="342" customWidth="1"/>
    <col min="7170" max="7170" width="10.796875" style="342" customWidth="1"/>
    <col min="7171" max="7171" width="10" style="342" customWidth="1"/>
    <col min="7172" max="7172" width="11.3984375" style="342" customWidth="1"/>
    <col min="7173" max="7173" width="11.19921875" style="342" customWidth="1"/>
    <col min="7174" max="7174" width="12.19921875" style="342" customWidth="1"/>
    <col min="7175" max="7175" width="1.796875" style="342" customWidth="1"/>
    <col min="7176" max="7176" width="10.3984375" style="342" customWidth="1"/>
    <col min="7177" max="7177" width="0" style="342" hidden="1" customWidth="1"/>
    <col min="7178" max="7423" width="9.796875" style="342"/>
    <col min="7424" max="7424" width="9" style="342" customWidth="1"/>
    <col min="7425" max="7425" width="11" style="342" customWidth="1"/>
    <col min="7426" max="7426" width="10.796875" style="342" customWidth="1"/>
    <col min="7427" max="7427" width="10" style="342" customWidth="1"/>
    <col min="7428" max="7428" width="11.3984375" style="342" customWidth="1"/>
    <col min="7429" max="7429" width="11.19921875" style="342" customWidth="1"/>
    <col min="7430" max="7430" width="12.19921875" style="342" customWidth="1"/>
    <col min="7431" max="7431" width="1.796875" style="342" customWidth="1"/>
    <col min="7432" max="7432" width="10.3984375" style="342" customWidth="1"/>
    <col min="7433" max="7433" width="0" style="342" hidden="1" customWidth="1"/>
    <col min="7434" max="7679" width="9.796875" style="342"/>
    <col min="7680" max="7680" width="9" style="342" customWidth="1"/>
    <col min="7681" max="7681" width="11" style="342" customWidth="1"/>
    <col min="7682" max="7682" width="10.796875" style="342" customWidth="1"/>
    <col min="7683" max="7683" width="10" style="342" customWidth="1"/>
    <col min="7684" max="7684" width="11.3984375" style="342" customWidth="1"/>
    <col min="7685" max="7685" width="11.19921875" style="342" customWidth="1"/>
    <col min="7686" max="7686" width="12.19921875" style="342" customWidth="1"/>
    <col min="7687" max="7687" width="1.796875" style="342" customWidth="1"/>
    <col min="7688" max="7688" width="10.3984375" style="342" customWidth="1"/>
    <col min="7689" max="7689" width="0" style="342" hidden="1" customWidth="1"/>
    <col min="7690" max="7935" width="9.796875" style="342"/>
    <col min="7936" max="7936" width="9" style="342" customWidth="1"/>
    <col min="7937" max="7937" width="11" style="342" customWidth="1"/>
    <col min="7938" max="7938" width="10.796875" style="342" customWidth="1"/>
    <col min="7939" max="7939" width="10" style="342" customWidth="1"/>
    <col min="7940" max="7940" width="11.3984375" style="342" customWidth="1"/>
    <col min="7941" max="7941" width="11.19921875" style="342" customWidth="1"/>
    <col min="7942" max="7942" width="12.19921875" style="342" customWidth="1"/>
    <col min="7943" max="7943" width="1.796875" style="342" customWidth="1"/>
    <col min="7944" max="7944" width="10.3984375" style="342" customWidth="1"/>
    <col min="7945" max="7945" width="0" style="342" hidden="1" customWidth="1"/>
    <col min="7946" max="8191" width="9.796875" style="342"/>
    <col min="8192" max="8192" width="9" style="342" customWidth="1"/>
    <col min="8193" max="8193" width="11" style="342" customWidth="1"/>
    <col min="8194" max="8194" width="10.796875" style="342" customWidth="1"/>
    <col min="8195" max="8195" width="10" style="342" customWidth="1"/>
    <col min="8196" max="8196" width="11.3984375" style="342" customWidth="1"/>
    <col min="8197" max="8197" width="11.19921875" style="342" customWidth="1"/>
    <col min="8198" max="8198" width="12.19921875" style="342" customWidth="1"/>
    <col min="8199" max="8199" width="1.796875" style="342" customWidth="1"/>
    <col min="8200" max="8200" width="10.3984375" style="342" customWidth="1"/>
    <col min="8201" max="8201" width="0" style="342" hidden="1" customWidth="1"/>
    <col min="8202" max="8447" width="9.796875" style="342"/>
    <col min="8448" max="8448" width="9" style="342" customWidth="1"/>
    <col min="8449" max="8449" width="11" style="342" customWidth="1"/>
    <col min="8450" max="8450" width="10.796875" style="342" customWidth="1"/>
    <col min="8451" max="8451" width="10" style="342" customWidth="1"/>
    <col min="8452" max="8452" width="11.3984375" style="342" customWidth="1"/>
    <col min="8453" max="8453" width="11.19921875" style="342" customWidth="1"/>
    <col min="8454" max="8454" width="12.19921875" style="342" customWidth="1"/>
    <col min="8455" max="8455" width="1.796875" style="342" customWidth="1"/>
    <col min="8456" max="8456" width="10.3984375" style="342" customWidth="1"/>
    <col min="8457" max="8457" width="0" style="342" hidden="1" customWidth="1"/>
    <col min="8458" max="8703" width="9.796875" style="342"/>
    <col min="8704" max="8704" width="9" style="342" customWidth="1"/>
    <col min="8705" max="8705" width="11" style="342" customWidth="1"/>
    <col min="8706" max="8706" width="10.796875" style="342" customWidth="1"/>
    <col min="8707" max="8707" width="10" style="342" customWidth="1"/>
    <col min="8708" max="8708" width="11.3984375" style="342" customWidth="1"/>
    <col min="8709" max="8709" width="11.19921875" style="342" customWidth="1"/>
    <col min="8710" max="8710" width="12.19921875" style="342" customWidth="1"/>
    <col min="8711" max="8711" width="1.796875" style="342" customWidth="1"/>
    <col min="8712" max="8712" width="10.3984375" style="342" customWidth="1"/>
    <col min="8713" max="8713" width="0" style="342" hidden="1" customWidth="1"/>
    <col min="8714" max="8959" width="9.796875" style="342"/>
    <col min="8960" max="8960" width="9" style="342" customWidth="1"/>
    <col min="8961" max="8961" width="11" style="342" customWidth="1"/>
    <col min="8962" max="8962" width="10.796875" style="342" customWidth="1"/>
    <col min="8963" max="8963" width="10" style="342" customWidth="1"/>
    <col min="8964" max="8964" width="11.3984375" style="342" customWidth="1"/>
    <col min="8965" max="8965" width="11.19921875" style="342" customWidth="1"/>
    <col min="8966" max="8966" width="12.19921875" style="342" customWidth="1"/>
    <col min="8967" max="8967" width="1.796875" style="342" customWidth="1"/>
    <col min="8968" max="8968" width="10.3984375" style="342" customWidth="1"/>
    <col min="8969" max="8969" width="0" style="342" hidden="1" customWidth="1"/>
    <col min="8970" max="9215" width="9.796875" style="342"/>
    <col min="9216" max="9216" width="9" style="342" customWidth="1"/>
    <col min="9217" max="9217" width="11" style="342" customWidth="1"/>
    <col min="9218" max="9218" width="10.796875" style="342" customWidth="1"/>
    <col min="9219" max="9219" width="10" style="342" customWidth="1"/>
    <col min="9220" max="9220" width="11.3984375" style="342" customWidth="1"/>
    <col min="9221" max="9221" width="11.19921875" style="342" customWidth="1"/>
    <col min="9222" max="9222" width="12.19921875" style="342" customWidth="1"/>
    <col min="9223" max="9223" width="1.796875" style="342" customWidth="1"/>
    <col min="9224" max="9224" width="10.3984375" style="342" customWidth="1"/>
    <col min="9225" max="9225" width="0" style="342" hidden="1" customWidth="1"/>
    <col min="9226" max="9471" width="9.796875" style="342"/>
    <col min="9472" max="9472" width="9" style="342" customWidth="1"/>
    <col min="9473" max="9473" width="11" style="342" customWidth="1"/>
    <col min="9474" max="9474" width="10.796875" style="342" customWidth="1"/>
    <col min="9475" max="9475" width="10" style="342" customWidth="1"/>
    <col min="9476" max="9476" width="11.3984375" style="342" customWidth="1"/>
    <col min="9477" max="9477" width="11.19921875" style="342" customWidth="1"/>
    <col min="9478" max="9478" width="12.19921875" style="342" customWidth="1"/>
    <col min="9479" max="9479" width="1.796875" style="342" customWidth="1"/>
    <col min="9480" max="9480" width="10.3984375" style="342" customWidth="1"/>
    <col min="9481" max="9481" width="0" style="342" hidden="1" customWidth="1"/>
    <col min="9482" max="9727" width="9.796875" style="342"/>
    <col min="9728" max="9728" width="9" style="342" customWidth="1"/>
    <col min="9729" max="9729" width="11" style="342" customWidth="1"/>
    <col min="9730" max="9730" width="10.796875" style="342" customWidth="1"/>
    <col min="9731" max="9731" width="10" style="342" customWidth="1"/>
    <col min="9732" max="9732" width="11.3984375" style="342" customWidth="1"/>
    <col min="9733" max="9733" width="11.19921875" style="342" customWidth="1"/>
    <col min="9734" max="9734" width="12.19921875" style="342" customWidth="1"/>
    <col min="9735" max="9735" width="1.796875" style="342" customWidth="1"/>
    <col min="9736" max="9736" width="10.3984375" style="342" customWidth="1"/>
    <col min="9737" max="9737" width="0" style="342" hidden="1" customWidth="1"/>
    <col min="9738" max="9983" width="9.796875" style="342"/>
    <col min="9984" max="9984" width="9" style="342" customWidth="1"/>
    <col min="9985" max="9985" width="11" style="342" customWidth="1"/>
    <col min="9986" max="9986" width="10.796875" style="342" customWidth="1"/>
    <col min="9987" max="9987" width="10" style="342" customWidth="1"/>
    <col min="9988" max="9988" width="11.3984375" style="342" customWidth="1"/>
    <col min="9989" max="9989" width="11.19921875" style="342" customWidth="1"/>
    <col min="9990" max="9990" width="12.19921875" style="342" customWidth="1"/>
    <col min="9991" max="9991" width="1.796875" style="342" customWidth="1"/>
    <col min="9992" max="9992" width="10.3984375" style="342" customWidth="1"/>
    <col min="9993" max="9993" width="0" style="342" hidden="1" customWidth="1"/>
    <col min="9994" max="10239" width="9.796875" style="342"/>
    <col min="10240" max="10240" width="9" style="342" customWidth="1"/>
    <col min="10241" max="10241" width="11" style="342" customWidth="1"/>
    <col min="10242" max="10242" width="10.796875" style="342" customWidth="1"/>
    <col min="10243" max="10243" width="10" style="342" customWidth="1"/>
    <col min="10244" max="10244" width="11.3984375" style="342" customWidth="1"/>
    <col min="10245" max="10245" width="11.19921875" style="342" customWidth="1"/>
    <col min="10246" max="10246" width="12.19921875" style="342" customWidth="1"/>
    <col min="10247" max="10247" width="1.796875" style="342" customWidth="1"/>
    <col min="10248" max="10248" width="10.3984375" style="342" customWidth="1"/>
    <col min="10249" max="10249" width="0" style="342" hidden="1" customWidth="1"/>
    <col min="10250" max="10495" width="9.796875" style="342"/>
    <col min="10496" max="10496" width="9" style="342" customWidth="1"/>
    <col min="10497" max="10497" width="11" style="342" customWidth="1"/>
    <col min="10498" max="10498" width="10.796875" style="342" customWidth="1"/>
    <col min="10499" max="10499" width="10" style="342" customWidth="1"/>
    <col min="10500" max="10500" width="11.3984375" style="342" customWidth="1"/>
    <col min="10501" max="10501" width="11.19921875" style="342" customWidth="1"/>
    <col min="10502" max="10502" width="12.19921875" style="342" customWidth="1"/>
    <col min="10503" max="10503" width="1.796875" style="342" customWidth="1"/>
    <col min="10504" max="10504" width="10.3984375" style="342" customWidth="1"/>
    <col min="10505" max="10505" width="0" style="342" hidden="1" customWidth="1"/>
    <col min="10506" max="10751" width="9.796875" style="342"/>
    <col min="10752" max="10752" width="9" style="342" customWidth="1"/>
    <col min="10753" max="10753" width="11" style="342" customWidth="1"/>
    <col min="10754" max="10754" width="10.796875" style="342" customWidth="1"/>
    <col min="10755" max="10755" width="10" style="342" customWidth="1"/>
    <col min="10756" max="10756" width="11.3984375" style="342" customWidth="1"/>
    <col min="10757" max="10757" width="11.19921875" style="342" customWidth="1"/>
    <col min="10758" max="10758" width="12.19921875" style="342" customWidth="1"/>
    <col min="10759" max="10759" width="1.796875" style="342" customWidth="1"/>
    <col min="10760" max="10760" width="10.3984375" style="342" customWidth="1"/>
    <col min="10761" max="10761" width="0" style="342" hidden="1" customWidth="1"/>
    <col min="10762" max="11007" width="9.796875" style="342"/>
    <col min="11008" max="11008" width="9" style="342" customWidth="1"/>
    <col min="11009" max="11009" width="11" style="342" customWidth="1"/>
    <col min="11010" max="11010" width="10.796875" style="342" customWidth="1"/>
    <col min="11011" max="11011" width="10" style="342" customWidth="1"/>
    <col min="11012" max="11012" width="11.3984375" style="342" customWidth="1"/>
    <col min="11013" max="11013" width="11.19921875" style="342" customWidth="1"/>
    <col min="11014" max="11014" width="12.19921875" style="342" customWidth="1"/>
    <col min="11015" max="11015" width="1.796875" style="342" customWidth="1"/>
    <col min="11016" max="11016" width="10.3984375" style="342" customWidth="1"/>
    <col min="11017" max="11017" width="0" style="342" hidden="1" customWidth="1"/>
    <col min="11018" max="11263" width="9.796875" style="342"/>
    <col min="11264" max="11264" width="9" style="342" customWidth="1"/>
    <col min="11265" max="11265" width="11" style="342" customWidth="1"/>
    <col min="11266" max="11266" width="10.796875" style="342" customWidth="1"/>
    <col min="11267" max="11267" width="10" style="342" customWidth="1"/>
    <col min="11268" max="11268" width="11.3984375" style="342" customWidth="1"/>
    <col min="11269" max="11269" width="11.19921875" style="342" customWidth="1"/>
    <col min="11270" max="11270" width="12.19921875" style="342" customWidth="1"/>
    <col min="11271" max="11271" width="1.796875" style="342" customWidth="1"/>
    <col min="11272" max="11272" width="10.3984375" style="342" customWidth="1"/>
    <col min="11273" max="11273" width="0" style="342" hidden="1" customWidth="1"/>
    <col min="11274" max="11519" width="9.796875" style="342"/>
    <col min="11520" max="11520" width="9" style="342" customWidth="1"/>
    <col min="11521" max="11521" width="11" style="342" customWidth="1"/>
    <col min="11522" max="11522" width="10.796875" style="342" customWidth="1"/>
    <col min="11523" max="11523" width="10" style="342" customWidth="1"/>
    <col min="11524" max="11524" width="11.3984375" style="342" customWidth="1"/>
    <col min="11525" max="11525" width="11.19921875" style="342" customWidth="1"/>
    <col min="11526" max="11526" width="12.19921875" style="342" customWidth="1"/>
    <col min="11527" max="11527" width="1.796875" style="342" customWidth="1"/>
    <col min="11528" max="11528" width="10.3984375" style="342" customWidth="1"/>
    <col min="11529" max="11529" width="0" style="342" hidden="1" customWidth="1"/>
    <col min="11530" max="11775" width="9.796875" style="342"/>
    <col min="11776" max="11776" width="9" style="342" customWidth="1"/>
    <col min="11777" max="11777" width="11" style="342" customWidth="1"/>
    <col min="11778" max="11778" width="10.796875" style="342" customWidth="1"/>
    <col min="11779" max="11779" width="10" style="342" customWidth="1"/>
    <col min="11780" max="11780" width="11.3984375" style="342" customWidth="1"/>
    <col min="11781" max="11781" width="11.19921875" style="342" customWidth="1"/>
    <col min="11782" max="11782" width="12.19921875" style="342" customWidth="1"/>
    <col min="11783" max="11783" width="1.796875" style="342" customWidth="1"/>
    <col min="11784" max="11784" width="10.3984375" style="342" customWidth="1"/>
    <col min="11785" max="11785" width="0" style="342" hidden="1" customWidth="1"/>
    <col min="11786" max="12031" width="9.796875" style="342"/>
    <col min="12032" max="12032" width="9" style="342" customWidth="1"/>
    <col min="12033" max="12033" width="11" style="342" customWidth="1"/>
    <col min="12034" max="12034" width="10.796875" style="342" customWidth="1"/>
    <col min="12035" max="12035" width="10" style="342" customWidth="1"/>
    <col min="12036" max="12036" width="11.3984375" style="342" customWidth="1"/>
    <col min="12037" max="12037" width="11.19921875" style="342" customWidth="1"/>
    <col min="12038" max="12038" width="12.19921875" style="342" customWidth="1"/>
    <col min="12039" max="12039" width="1.796875" style="342" customWidth="1"/>
    <col min="12040" max="12040" width="10.3984375" style="342" customWidth="1"/>
    <col min="12041" max="12041" width="0" style="342" hidden="1" customWidth="1"/>
    <col min="12042" max="12287" width="9.796875" style="342"/>
    <col min="12288" max="12288" width="9" style="342" customWidth="1"/>
    <col min="12289" max="12289" width="11" style="342" customWidth="1"/>
    <col min="12290" max="12290" width="10.796875" style="342" customWidth="1"/>
    <col min="12291" max="12291" width="10" style="342" customWidth="1"/>
    <col min="12292" max="12292" width="11.3984375" style="342" customWidth="1"/>
    <col min="12293" max="12293" width="11.19921875" style="342" customWidth="1"/>
    <col min="12294" max="12294" width="12.19921875" style="342" customWidth="1"/>
    <col min="12295" max="12295" width="1.796875" style="342" customWidth="1"/>
    <col min="12296" max="12296" width="10.3984375" style="342" customWidth="1"/>
    <col min="12297" max="12297" width="0" style="342" hidden="1" customWidth="1"/>
    <col min="12298" max="12543" width="9.796875" style="342"/>
    <col min="12544" max="12544" width="9" style="342" customWidth="1"/>
    <col min="12545" max="12545" width="11" style="342" customWidth="1"/>
    <col min="12546" max="12546" width="10.796875" style="342" customWidth="1"/>
    <col min="12547" max="12547" width="10" style="342" customWidth="1"/>
    <col min="12548" max="12548" width="11.3984375" style="342" customWidth="1"/>
    <col min="12549" max="12549" width="11.19921875" style="342" customWidth="1"/>
    <col min="12550" max="12550" width="12.19921875" style="342" customWidth="1"/>
    <col min="12551" max="12551" width="1.796875" style="342" customWidth="1"/>
    <col min="12552" max="12552" width="10.3984375" style="342" customWidth="1"/>
    <col min="12553" max="12553" width="0" style="342" hidden="1" customWidth="1"/>
    <col min="12554" max="12799" width="9.796875" style="342"/>
    <col min="12800" max="12800" width="9" style="342" customWidth="1"/>
    <col min="12801" max="12801" width="11" style="342" customWidth="1"/>
    <col min="12802" max="12802" width="10.796875" style="342" customWidth="1"/>
    <col min="12803" max="12803" width="10" style="342" customWidth="1"/>
    <col min="12804" max="12804" width="11.3984375" style="342" customWidth="1"/>
    <col min="12805" max="12805" width="11.19921875" style="342" customWidth="1"/>
    <col min="12806" max="12806" width="12.19921875" style="342" customWidth="1"/>
    <col min="12807" max="12807" width="1.796875" style="342" customWidth="1"/>
    <col min="12808" max="12808" width="10.3984375" style="342" customWidth="1"/>
    <col min="12809" max="12809" width="0" style="342" hidden="1" customWidth="1"/>
    <col min="12810" max="13055" width="9.796875" style="342"/>
    <col min="13056" max="13056" width="9" style="342" customWidth="1"/>
    <col min="13057" max="13057" width="11" style="342" customWidth="1"/>
    <col min="13058" max="13058" width="10.796875" style="342" customWidth="1"/>
    <col min="13059" max="13059" width="10" style="342" customWidth="1"/>
    <col min="13060" max="13060" width="11.3984375" style="342" customWidth="1"/>
    <col min="13061" max="13061" width="11.19921875" style="342" customWidth="1"/>
    <col min="13062" max="13062" width="12.19921875" style="342" customWidth="1"/>
    <col min="13063" max="13063" width="1.796875" style="342" customWidth="1"/>
    <col min="13064" max="13064" width="10.3984375" style="342" customWidth="1"/>
    <col min="13065" max="13065" width="0" style="342" hidden="1" customWidth="1"/>
    <col min="13066" max="13311" width="9.796875" style="342"/>
    <col min="13312" max="13312" width="9" style="342" customWidth="1"/>
    <col min="13313" max="13313" width="11" style="342" customWidth="1"/>
    <col min="13314" max="13314" width="10.796875" style="342" customWidth="1"/>
    <col min="13315" max="13315" width="10" style="342" customWidth="1"/>
    <col min="13316" max="13316" width="11.3984375" style="342" customWidth="1"/>
    <col min="13317" max="13317" width="11.19921875" style="342" customWidth="1"/>
    <col min="13318" max="13318" width="12.19921875" style="342" customWidth="1"/>
    <col min="13319" max="13319" width="1.796875" style="342" customWidth="1"/>
    <col min="13320" max="13320" width="10.3984375" style="342" customWidth="1"/>
    <col min="13321" max="13321" width="0" style="342" hidden="1" customWidth="1"/>
    <col min="13322" max="13567" width="9.796875" style="342"/>
    <col min="13568" max="13568" width="9" style="342" customWidth="1"/>
    <col min="13569" max="13569" width="11" style="342" customWidth="1"/>
    <col min="13570" max="13570" width="10.796875" style="342" customWidth="1"/>
    <col min="13571" max="13571" width="10" style="342" customWidth="1"/>
    <col min="13572" max="13572" width="11.3984375" style="342" customWidth="1"/>
    <col min="13573" max="13573" width="11.19921875" style="342" customWidth="1"/>
    <col min="13574" max="13574" width="12.19921875" style="342" customWidth="1"/>
    <col min="13575" max="13575" width="1.796875" style="342" customWidth="1"/>
    <col min="13576" max="13576" width="10.3984375" style="342" customWidth="1"/>
    <col min="13577" max="13577" width="0" style="342" hidden="1" customWidth="1"/>
    <col min="13578" max="13823" width="9.796875" style="342"/>
    <col min="13824" max="13824" width="9" style="342" customWidth="1"/>
    <col min="13825" max="13825" width="11" style="342" customWidth="1"/>
    <col min="13826" max="13826" width="10.796875" style="342" customWidth="1"/>
    <col min="13827" max="13827" width="10" style="342" customWidth="1"/>
    <col min="13828" max="13828" width="11.3984375" style="342" customWidth="1"/>
    <col min="13829" max="13829" width="11.19921875" style="342" customWidth="1"/>
    <col min="13830" max="13830" width="12.19921875" style="342" customWidth="1"/>
    <col min="13831" max="13831" width="1.796875" style="342" customWidth="1"/>
    <col min="13832" max="13832" width="10.3984375" style="342" customWidth="1"/>
    <col min="13833" max="13833" width="0" style="342" hidden="1" customWidth="1"/>
    <col min="13834" max="14079" width="9.796875" style="342"/>
    <col min="14080" max="14080" width="9" style="342" customWidth="1"/>
    <col min="14081" max="14081" width="11" style="342" customWidth="1"/>
    <col min="14082" max="14082" width="10.796875" style="342" customWidth="1"/>
    <col min="14083" max="14083" width="10" style="342" customWidth="1"/>
    <col min="14084" max="14084" width="11.3984375" style="342" customWidth="1"/>
    <col min="14085" max="14085" width="11.19921875" style="342" customWidth="1"/>
    <col min="14086" max="14086" width="12.19921875" style="342" customWidth="1"/>
    <col min="14087" max="14087" width="1.796875" style="342" customWidth="1"/>
    <col min="14088" max="14088" width="10.3984375" style="342" customWidth="1"/>
    <col min="14089" max="14089" width="0" style="342" hidden="1" customWidth="1"/>
    <col min="14090" max="14335" width="9.796875" style="342"/>
    <col min="14336" max="14336" width="9" style="342" customWidth="1"/>
    <col min="14337" max="14337" width="11" style="342" customWidth="1"/>
    <col min="14338" max="14338" width="10.796875" style="342" customWidth="1"/>
    <col min="14339" max="14339" width="10" style="342" customWidth="1"/>
    <col min="14340" max="14340" width="11.3984375" style="342" customWidth="1"/>
    <col min="14341" max="14341" width="11.19921875" style="342" customWidth="1"/>
    <col min="14342" max="14342" width="12.19921875" style="342" customWidth="1"/>
    <col min="14343" max="14343" width="1.796875" style="342" customWidth="1"/>
    <col min="14344" max="14344" width="10.3984375" style="342" customWidth="1"/>
    <col min="14345" max="14345" width="0" style="342" hidden="1" customWidth="1"/>
    <col min="14346" max="14591" width="9.796875" style="342"/>
    <col min="14592" max="14592" width="9" style="342" customWidth="1"/>
    <col min="14593" max="14593" width="11" style="342" customWidth="1"/>
    <col min="14594" max="14594" width="10.796875" style="342" customWidth="1"/>
    <col min="14595" max="14595" width="10" style="342" customWidth="1"/>
    <col min="14596" max="14596" width="11.3984375" style="342" customWidth="1"/>
    <col min="14597" max="14597" width="11.19921875" style="342" customWidth="1"/>
    <col min="14598" max="14598" width="12.19921875" style="342" customWidth="1"/>
    <col min="14599" max="14599" width="1.796875" style="342" customWidth="1"/>
    <col min="14600" max="14600" width="10.3984375" style="342" customWidth="1"/>
    <col min="14601" max="14601" width="0" style="342" hidden="1" customWidth="1"/>
    <col min="14602" max="14847" width="9.796875" style="342"/>
    <col min="14848" max="14848" width="9" style="342" customWidth="1"/>
    <col min="14849" max="14849" width="11" style="342" customWidth="1"/>
    <col min="14850" max="14850" width="10.796875" style="342" customWidth="1"/>
    <col min="14851" max="14851" width="10" style="342" customWidth="1"/>
    <col min="14852" max="14852" width="11.3984375" style="342" customWidth="1"/>
    <col min="14853" max="14853" width="11.19921875" style="342" customWidth="1"/>
    <col min="14854" max="14854" width="12.19921875" style="342" customWidth="1"/>
    <col min="14855" max="14855" width="1.796875" style="342" customWidth="1"/>
    <col min="14856" max="14856" width="10.3984375" style="342" customWidth="1"/>
    <col min="14857" max="14857" width="0" style="342" hidden="1" customWidth="1"/>
    <col min="14858" max="15103" width="9.796875" style="342"/>
    <col min="15104" max="15104" width="9" style="342" customWidth="1"/>
    <col min="15105" max="15105" width="11" style="342" customWidth="1"/>
    <col min="15106" max="15106" width="10.796875" style="342" customWidth="1"/>
    <col min="15107" max="15107" width="10" style="342" customWidth="1"/>
    <col min="15108" max="15108" width="11.3984375" style="342" customWidth="1"/>
    <col min="15109" max="15109" width="11.19921875" style="342" customWidth="1"/>
    <col min="15110" max="15110" width="12.19921875" style="342" customWidth="1"/>
    <col min="15111" max="15111" width="1.796875" style="342" customWidth="1"/>
    <col min="15112" max="15112" width="10.3984375" style="342" customWidth="1"/>
    <col min="15113" max="15113" width="0" style="342" hidden="1" customWidth="1"/>
    <col min="15114" max="15359" width="9.796875" style="342"/>
    <col min="15360" max="15360" width="9" style="342" customWidth="1"/>
    <col min="15361" max="15361" width="11" style="342" customWidth="1"/>
    <col min="15362" max="15362" width="10.796875" style="342" customWidth="1"/>
    <col min="15363" max="15363" width="10" style="342" customWidth="1"/>
    <col min="15364" max="15364" width="11.3984375" style="342" customWidth="1"/>
    <col min="15365" max="15365" width="11.19921875" style="342" customWidth="1"/>
    <col min="15366" max="15366" width="12.19921875" style="342" customWidth="1"/>
    <col min="15367" max="15367" width="1.796875" style="342" customWidth="1"/>
    <col min="15368" max="15368" width="10.3984375" style="342" customWidth="1"/>
    <col min="15369" max="15369" width="0" style="342" hidden="1" customWidth="1"/>
    <col min="15370" max="15615" width="9.796875" style="342"/>
    <col min="15616" max="15616" width="9" style="342" customWidth="1"/>
    <col min="15617" max="15617" width="11" style="342" customWidth="1"/>
    <col min="15618" max="15618" width="10.796875" style="342" customWidth="1"/>
    <col min="15619" max="15619" width="10" style="342" customWidth="1"/>
    <col min="15620" max="15620" width="11.3984375" style="342" customWidth="1"/>
    <col min="15621" max="15621" width="11.19921875" style="342" customWidth="1"/>
    <col min="15622" max="15622" width="12.19921875" style="342" customWidth="1"/>
    <col min="15623" max="15623" width="1.796875" style="342" customWidth="1"/>
    <col min="15624" max="15624" width="10.3984375" style="342" customWidth="1"/>
    <col min="15625" max="15625" width="0" style="342" hidden="1" customWidth="1"/>
    <col min="15626" max="15871" width="9.796875" style="342"/>
    <col min="15872" max="15872" width="9" style="342" customWidth="1"/>
    <col min="15873" max="15873" width="11" style="342" customWidth="1"/>
    <col min="15874" max="15874" width="10.796875" style="342" customWidth="1"/>
    <col min="15875" max="15875" width="10" style="342" customWidth="1"/>
    <col min="15876" max="15876" width="11.3984375" style="342" customWidth="1"/>
    <col min="15877" max="15877" width="11.19921875" style="342" customWidth="1"/>
    <col min="15878" max="15878" width="12.19921875" style="342" customWidth="1"/>
    <col min="15879" max="15879" width="1.796875" style="342" customWidth="1"/>
    <col min="15880" max="15880" width="10.3984375" style="342" customWidth="1"/>
    <col min="15881" max="15881" width="0" style="342" hidden="1" customWidth="1"/>
    <col min="15882" max="16127" width="9.796875" style="342"/>
    <col min="16128" max="16128" width="9" style="342" customWidth="1"/>
    <col min="16129" max="16129" width="11" style="342" customWidth="1"/>
    <col min="16130" max="16130" width="10.796875" style="342" customWidth="1"/>
    <col min="16131" max="16131" width="10" style="342" customWidth="1"/>
    <col min="16132" max="16132" width="11.3984375" style="342" customWidth="1"/>
    <col min="16133" max="16133" width="11.19921875" style="342" customWidth="1"/>
    <col min="16134" max="16134" width="12.19921875" style="342" customWidth="1"/>
    <col min="16135" max="16135" width="1.796875" style="342" customWidth="1"/>
    <col min="16136" max="16136" width="10.3984375" style="342" customWidth="1"/>
    <col min="16137" max="16137" width="0" style="342" hidden="1" customWidth="1"/>
    <col min="16138" max="16384" width="9.796875" style="342"/>
  </cols>
  <sheetData>
    <row r="1" spans="1:78" ht="15" customHeight="1">
      <c r="E1" s="335"/>
    </row>
    <row r="3" spans="1:78" ht="15" customHeight="1">
      <c r="A3" s="314" t="s">
        <v>567</v>
      </c>
      <c r="B3" s="343"/>
      <c r="C3" s="343"/>
      <c r="D3" s="343"/>
      <c r="E3" s="343"/>
      <c r="F3" s="343"/>
      <c r="G3" s="343"/>
      <c r="H3" s="343"/>
      <c r="I3" s="343"/>
      <c r="BQ3" s="984" t="s">
        <v>113</v>
      </c>
      <c r="BR3" s="984"/>
      <c r="BS3" s="984"/>
      <c r="BT3" s="984"/>
      <c r="BU3" s="984"/>
      <c r="BV3" s="984"/>
      <c r="BW3" s="984"/>
      <c r="BX3" s="984"/>
      <c r="BY3" s="984"/>
      <c r="BZ3" s="984"/>
    </row>
    <row r="4" spans="1:78" ht="15" customHeight="1">
      <c r="A4" s="317" t="s">
        <v>287</v>
      </c>
      <c r="I4" s="330"/>
      <c r="BQ4" s="344"/>
      <c r="BR4" s="344"/>
      <c r="BS4" s="344"/>
      <c r="BT4" s="344"/>
      <c r="BU4" s="344"/>
      <c r="BV4" s="344"/>
      <c r="BW4" s="344"/>
      <c r="BX4" s="344"/>
      <c r="BY4" s="344"/>
      <c r="BZ4" s="344"/>
    </row>
    <row r="5" spans="1:78" ht="4.25" customHeight="1" thickBot="1">
      <c r="A5" s="986"/>
      <c r="B5" s="986"/>
      <c r="C5" s="986"/>
      <c r="D5" s="986"/>
      <c r="E5" s="986"/>
      <c r="F5" s="986"/>
      <c r="G5" s="986"/>
      <c r="H5" s="986"/>
      <c r="I5" s="986"/>
      <c r="BQ5" s="985" t="s">
        <v>275</v>
      </c>
      <c r="BR5" s="985"/>
      <c r="BS5" s="985"/>
      <c r="BT5" s="985"/>
      <c r="BU5" s="985"/>
      <c r="BV5" s="985"/>
      <c r="BW5" s="985"/>
      <c r="BX5" s="985"/>
      <c r="BY5" s="985"/>
      <c r="BZ5" s="985"/>
    </row>
    <row r="6" spans="1:78" ht="13.25" customHeight="1">
      <c r="A6" s="978" t="s">
        <v>110</v>
      </c>
      <c r="B6" s="693"/>
      <c r="C6" s="693"/>
      <c r="D6" s="693"/>
      <c r="E6" s="694" t="s">
        <v>114</v>
      </c>
      <c r="F6" s="693"/>
      <c r="G6" s="693"/>
      <c r="H6" s="978" t="s">
        <v>280</v>
      </c>
      <c r="I6" s="335"/>
      <c r="BQ6" s="335" t="s">
        <v>110</v>
      </c>
      <c r="BR6" s="345"/>
      <c r="BS6" s="345"/>
      <c r="BT6" s="345"/>
      <c r="BU6" s="346" t="s">
        <v>114</v>
      </c>
      <c r="BV6" s="345"/>
      <c r="BW6" s="345"/>
      <c r="BY6" s="335" t="s">
        <v>115</v>
      </c>
      <c r="BZ6" s="335"/>
    </row>
    <row r="7" spans="1:78" ht="13.25" customHeight="1">
      <c r="A7" s="979"/>
      <c r="B7" s="691" t="s">
        <v>281</v>
      </c>
      <c r="C7" s="691" t="s">
        <v>282</v>
      </c>
      <c r="D7" s="691" t="s">
        <v>283</v>
      </c>
      <c r="E7" s="691" t="s">
        <v>284</v>
      </c>
      <c r="F7" s="691" t="s">
        <v>285</v>
      </c>
      <c r="G7" s="691" t="s">
        <v>8</v>
      </c>
      <c r="H7" s="979"/>
      <c r="I7" s="312" t="s">
        <v>16</v>
      </c>
      <c r="BQ7" s="345"/>
      <c r="BR7" s="313" t="s">
        <v>19</v>
      </c>
      <c r="BS7" s="313" t="s">
        <v>117</v>
      </c>
      <c r="BT7" s="312" t="s">
        <v>14</v>
      </c>
      <c r="BU7" s="313" t="s">
        <v>6</v>
      </c>
      <c r="BV7" s="312" t="s">
        <v>15</v>
      </c>
      <c r="BW7" s="313" t="s">
        <v>8</v>
      </c>
      <c r="BX7" s="313"/>
      <c r="BY7" s="312" t="s">
        <v>116</v>
      </c>
      <c r="BZ7" s="312" t="s">
        <v>16</v>
      </c>
    </row>
    <row r="8" spans="1:78" ht="15" customHeight="1">
      <c r="A8" s="695" t="s">
        <v>54</v>
      </c>
      <c r="B8" s="702">
        <f t="shared" ref="B8:G8" si="0">SUM(B9:B20)</f>
        <v>830462.22</v>
      </c>
      <c r="C8" s="702">
        <f t="shared" si="0"/>
        <v>802829.6</v>
      </c>
      <c r="D8" s="703">
        <f t="shared" si="0"/>
        <v>884.56</v>
      </c>
      <c r="E8" s="702">
        <f t="shared" si="0"/>
        <v>114650.95999999999</v>
      </c>
      <c r="F8" s="702">
        <f t="shared" si="0"/>
        <v>82733.97</v>
      </c>
      <c r="G8" s="703">
        <f t="shared" si="0"/>
        <v>178.94</v>
      </c>
      <c r="H8" s="702">
        <f>SUM(H9:H20)</f>
        <v>192723.53000000003</v>
      </c>
      <c r="I8" s="348">
        <f>SUM(I9:I20)</f>
        <v>181601</v>
      </c>
      <c r="BQ8" s="347" t="s">
        <v>54</v>
      </c>
      <c r="BR8" s="348">
        <f t="shared" ref="BR8:BW8" si="1">SUM(BR9:BR20)</f>
        <v>617417</v>
      </c>
      <c r="BS8" s="348">
        <f t="shared" si="1"/>
        <v>0</v>
      </c>
      <c r="BT8" s="348">
        <f t="shared" si="1"/>
        <v>31999.5</v>
      </c>
      <c r="BU8" s="348">
        <f t="shared" si="1"/>
        <v>84973.919999999984</v>
      </c>
      <c r="BV8" s="348">
        <f t="shared" si="1"/>
        <v>145475</v>
      </c>
      <c r="BW8" s="348">
        <f t="shared" si="1"/>
        <v>6217.7999999999993</v>
      </c>
      <c r="BX8" s="348"/>
      <c r="BY8" s="348">
        <f>SUM(BY9:BY20)</f>
        <v>325300</v>
      </c>
      <c r="BZ8" s="348">
        <f>SUM(BZ9:BZ20)</f>
        <v>181601</v>
      </c>
    </row>
    <row r="9" spans="1:78" ht="13.25" customHeight="1">
      <c r="A9" s="335" t="s">
        <v>55</v>
      </c>
      <c r="B9" s="491">
        <v>71358.94</v>
      </c>
      <c r="C9" s="491">
        <v>67528.19</v>
      </c>
      <c r="D9" s="381">
        <v>68.36</v>
      </c>
      <c r="E9" s="491">
        <v>7616.44</v>
      </c>
      <c r="F9" s="491">
        <v>6709.76</v>
      </c>
      <c r="G9" s="381">
        <v>10.33</v>
      </c>
      <c r="H9" s="491">
        <v>20507.23</v>
      </c>
      <c r="I9" s="327">
        <v>13971</v>
      </c>
      <c r="BQ9" s="335" t="s">
        <v>78</v>
      </c>
      <c r="BR9" s="327">
        <v>45967</v>
      </c>
      <c r="BS9" s="327"/>
      <c r="BT9" s="327">
        <v>2297.5</v>
      </c>
      <c r="BU9" s="327">
        <v>6299.45</v>
      </c>
      <c r="BV9" s="327">
        <v>10942</v>
      </c>
      <c r="BW9" s="327">
        <v>490</v>
      </c>
      <c r="BX9" s="327"/>
      <c r="BY9" s="327">
        <v>36000</v>
      </c>
      <c r="BZ9" s="327">
        <v>13971</v>
      </c>
    </row>
    <row r="10" spans="1:78" ht="13.25" customHeight="1">
      <c r="A10" s="335" t="s">
        <v>56</v>
      </c>
      <c r="B10" s="491">
        <v>67622.36</v>
      </c>
      <c r="C10" s="491">
        <v>63976.68</v>
      </c>
      <c r="D10" s="381">
        <v>67.150000000000006</v>
      </c>
      <c r="E10" s="491">
        <v>8576</v>
      </c>
      <c r="F10" s="491">
        <v>6535.42</v>
      </c>
      <c r="G10" s="381">
        <v>11.52</v>
      </c>
      <c r="H10" s="491">
        <v>17481.84</v>
      </c>
      <c r="I10" s="327">
        <v>13892</v>
      </c>
      <c r="BQ10" s="335" t="s">
        <v>79</v>
      </c>
      <c r="BR10" s="327">
        <v>48922</v>
      </c>
      <c r="BS10" s="327"/>
      <c r="BT10" s="327">
        <v>2329</v>
      </c>
      <c r="BU10" s="327">
        <v>6890.01</v>
      </c>
      <c r="BV10" s="327">
        <v>11392</v>
      </c>
      <c r="BW10" s="327">
        <v>500</v>
      </c>
      <c r="BX10" s="327"/>
      <c r="BY10" s="327">
        <v>28200</v>
      </c>
      <c r="BZ10" s="327">
        <v>13892</v>
      </c>
    </row>
    <row r="11" spans="1:78" ht="13.25" customHeight="1">
      <c r="A11" s="335" t="s">
        <v>57</v>
      </c>
      <c r="B11" s="491">
        <v>68135.31</v>
      </c>
      <c r="C11" s="491">
        <v>64690.22</v>
      </c>
      <c r="D11" s="381">
        <v>60.68</v>
      </c>
      <c r="E11" s="491">
        <v>9695.2999999999993</v>
      </c>
      <c r="F11" s="491">
        <v>7133.49</v>
      </c>
      <c r="G11" s="381">
        <v>6.31</v>
      </c>
      <c r="H11" s="491">
        <v>18312.41</v>
      </c>
      <c r="I11" s="327">
        <v>13866</v>
      </c>
      <c r="BQ11" s="335" t="s">
        <v>80</v>
      </c>
      <c r="BR11" s="327">
        <v>50546</v>
      </c>
      <c r="BS11" s="327"/>
      <c r="BT11" s="327">
        <v>2550</v>
      </c>
      <c r="BU11" s="327">
        <v>6877.14</v>
      </c>
      <c r="BV11" s="327">
        <v>11670</v>
      </c>
      <c r="BW11" s="327">
        <v>539</v>
      </c>
      <c r="BX11" s="327"/>
      <c r="BY11" s="327">
        <v>29600</v>
      </c>
      <c r="BZ11" s="327">
        <v>13866</v>
      </c>
    </row>
    <row r="12" spans="1:78" ht="13.25" customHeight="1">
      <c r="A12" s="335" t="s">
        <v>58</v>
      </c>
      <c r="B12" s="491">
        <v>67588.98</v>
      </c>
      <c r="C12" s="491">
        <v>65566.98</v>
      </c>
      <c r="D12" s="381">
        <v>73.39</v>
      </c>
      <c r="E12" s="491">
        <v>9983.7199999999993</v>
      </c>
      <c r="F12" s="491">
        <v>6885.31</v>
      </c>
      <c r="G12" s="381">
        <v>17.22</v>
      </c>
      <c r="H12" s="491">
        <v>14967.05</v>
      </c>
      <c r="I12" s="327">
        <v>15832</v>
      </c>
      <c r="BQ12" s="335" t="s">
        <v>81</v>
      </c>
      <c r="BR12" s="327">
        <v>49120</v>
      </c>
      <c r="BS12" s="327"/>
      <c r="BT12" s="327">
        <v>3012</v>
      </c>
      <c r="BU12" s="327">
        <v>7264.02</v>
      </c>
      <c r="BV12" s="327">
        <v>12385</v>
      </c>
      <c r="BW12" s="327">
        <v>520</v>
      </c>
      <c r="BX12" s="327"/>
      <c r="BY12" s="327">
        <v>23800</v>
      </c>
      <c r="BZ12" s="327">
        <v>15832</v>
      </c>
    </row>
    <row r="13" spans="1:78" ht="13.25" customHeight="1">
      <c r="A13" s="335" t="s">
        <v>59</v>
      </c>
      <c r="B13" s="491">
        <v>69705.850000000006</v>
      </c>
      <c r="C13" s="491">
        <v>68524.710000000006</v>
      </c>
      <c r="D13" s="381">
        <v>70.959999999999994</v>
      </c>
      <c r="E13" s="491">
        <v>10589.01</v>
      </c>
      <c r="F13" s="491">
        <v>7008.93</v>
      </c>
      <c r="G13" s="381">
        <v>16.18</v>
      </c>
      <c r="H13" s="491">
        <v>14968.95</v>
      </c>
      <c r="I13" s="327">
        <v>15061</v>
      </c>
      <c r="BQ13" s="335" t="s">
        <v>82</v>
      </c>
      <c r="BR13" s="327">
        <v>52577</v>
      </c>
      <c r="BS13" s="327"/>
      <c r="BT13" s="327">
        <v>3181</v>
      </c>
      <c r="BU13" s="327">
        <v>7132</v>
      </c>
      <c r="BV13" s="327">
        <v>12536</v>
      </c>
      <c r="BW13" s="327">
        <v>515</v>
      </c>
      <c r="BX13" s="327"/>
      <c r="BY13" s="327">
        <v>27800</v>
      </c>
      <c r="BZ13" s="327">
        <v>15061</v>
      </c>
    </row>
    <row r="14" spans="1:78" ht="13.25" customHeight="1">
      <c r="A14" s="335" t="s">
        <v>60</v>
      </c>
      <c r="B14" s="491">
        <v>65216.98</v>
      </c>
      <c r="C14" s="491">
        <v>63532.77</v>
      </c>
      <c r="D14" s="381">
        <v>82.99</v>
      </c>
      <c r="E14" s="491">
        <v>9330.19</v>
      </c>
      <c r="F14" s="491">
        <v>5811.51</v>
      </c>
      <c r="G14" s="381">
        <v>20.9</v>
      </c>
      <c r="H14" s="491">
        <v>13497.4</v>
      </c>
      <c r="I14" s="327">
        <v>15631</v>
      </c>
      <c r="BQ14" s="335" t="s">
        <v>83</v>
      </c>
      <c r="BR14" s="327">
        <v>52595</v>
      </c>
      <c r="BS14" s="327"/>
      <c r="BT14" s="327">
        <v>3247</v>
      </c>
      <c r="BU14" s="327">
        <v>7283</v>
      </c>
      <c r="BV14" s="327">
        <v>12799</v>
      </c>
      <c r="BW14" s="327">
        <v>531</v>
      </c>
      <c r="BX14" s="327"/>
      <c r="BY14" s="327">
        <v>26100</v>
      </c>
      <c r="BZ14" s="327">
        <v>15631</v>
      </c>
    </row>
    <row r="15" spans="1:78" ht="13.25" customHeight="1">
      <c r="A15" s="335" t="s">
        <v>61</v>
      </c>
      <c r="B15" s="491">
        <v>67532.009999999995</v>
      </c>
      <c r="C15" s="491">
        <v>65557.87</v>
      </c>
      <c r="D15" s="381">
        <v>85.63</v>
      </c>
      <c r="E15" s="491">
        <v>11203.94</v>
      </c>
      <c r="F15" s="491">
        <v>6987.66</v>
      </c>
      <c r="G15" s="381">
        <v>16.8</v>
      </c>
      <c r="H15" s="491">
        <v>17430.45</v>
      </c>
      <c r="I15" s="327">
        <v>15460</v>
      </c>
      <c r="BQ15" s="335" t="s">
        <v>84</v>
      </c>
      <c r="BR15" s="327">
        <v>50656</v>
      </c>
      <c r="BS15" s="327"/>
      <c r="BT15" s="327">
        <v>3037</v>
      </c>
      <c r="BU15" s="327">
        <v>7173.07</v>
      </c>
      <c r="BV15" s="327">
        <v>12739</v>
      </c>
      <c r="BW15" s="327">
        <v>517</v>
      </c>
      <c r="BX15" s="327"/>
      <c r="BY15" s="327">
        <v>25600</v>
      </c>
      <c r="BZ15" s="327">
        <v>15460</v>
      </c>
    </row>
    <row r="16" spans="1:78" ht="13.25" customHeight="1">
      <c r="A16" s="335" t="s">
        <v>62</v>
      </c>
      <c r="B16" s="491">
        <v>65145.69</v>
      </c>
      <c r="C16" s="491">
        <v>63725.34</v>
      </c>
      <c r="D16" s="381">
        <v>82.54</v>
      </c>
      <c r="E16" s="491">
        <v>9940.91</v>
      </c>
      <c r="F16" s="491">
        <v>7849.62</v>
      </c>
      <c r="G16" s="381">
        <v>17.11</v>
      </c>
      <c r="H16" s="491">
        <v>14128.82</v>
      </c>
      <c r="I16" s="327">
        <v>15509</v>
      </c>
      <c r="BQ16" s="335" t="s">
        <v>85</v>
      </c>
      <c r="BR16" s="327">
        <v>52402</v>
      </c>
      <c r="BS16" s="327"/>
      <c r="BT16" s="327">
        <v>2799</v>
      </c>
      <c r="BU16" s="327">
        <v>7036</v>
      </c>
      <c r="BV16" s="327">
        <v>12539</v>
      </c>
      <c r="BW16" s="327">
        <v>531</v>
      </c>
      <c r="BX16" s="327"/>
      <c r="BY16" s="327">
        <v>26500</v>
      </c>
      <c r="BZ16" s="327">
        <v>15509</v>
      </c>
    </row>
    <row r="17" spans="1:78" ht="13.25" customHeight="1">
      <c r="A17" s="335" t="s">
        <v>63</v>
      </c>
      <c r="B17" s="491">
        <v>67274.28</v>
      </c>
      <c r="C17" s="491">
        <v>65677.61</v>
      </c>
      <c r="D17" s="381">
        <v>80.33</v>
      </c>
      <c r="E17" s="491">
        <v>9703.09</v>
      </c>
      <c r="F17" s="491">
        <v>7144.22</v>
      </c>
      <c r="G17" s="381">
        <v>15.1</v>
      </c>
      <c r="H17" s="491">
        <v>12088.45</v>
      </c>
      <c r="I17" s="327">
        <v>15501</v>
      </c>
      <c r="BQ17" s="335" t="s">
        <v>86</v>
      </c>
      <c r="BR17" s="327">
        <v>53163</v>
      </c>
      <c r="BS17" s="327"/>
      <c r="BT17" s="327">
        <v>2618</v>
      </c>
      <c r="BU17" s="327">
        <v>7105.38</v>
      </c>
      <c r="BV17" s="327">
        <v>12041.5</v>
      </c>
      <c r="BW17" s="327">
        <v>519</v>
      </c>
      <c r="BX17" s="327"/>
      <c r="BY17" s="327">
        <v>25800</v>
      </c>
      <c r="BZ17" s="327">
        <v>15501</v>
      </c>
    </row>
    <row r="18" spans="1:78" ht="13.25" customHeight="1">
      <c r="A18" s="335" t="s">
        <v>64</v>
      </c>
      <c r="B18" s="491">
        <v>72635.64</v>
      </c>
      <c r="C18" s="491">
        <v>70691.22</v>
      </c>
      <c r="D18" s="381">
        <v>71.069999999999993</v>
      </c>
      <c r="E18" s="491">
        <v>9333.9599999999991</v>
      </c>
      <c r="F18" s="491">
        <v>6878.75</v>
      </c>
      <c r="G18" s="381">
        <v>16.59</v>
      </c>
      <c r="H18" s="491">
        <v>15254.37</v>
      </c>
      <c r="I18" s="327">
        <v>15767</v>
      </c>
      <c r="BQ18" s="335" t="s">
        <v>87</v>
      </c>
      <c r="BR18" s="327">
        <v>51559</v>
      </c>
      <c r="BS18" s="327"/>
      <c r="BT18" s="327">
        <v>2325</v>
      </c>
      <c r="BU18" s="327">
        <v>6985.01</v>
      </c>
      <c r="BV18" s="327">
        <v>12554.5</v>
      </c>
      <c r="BW18" s="327">
        <v>493</v>
      </c>
      <c r="BX18" s="327"/>
      <c r="BY18" s="327">
        <v>23800</v>
      </c>
      <c r="BZ18" s="327">
        <v>15767</v>
      </c>
    </row>
    <row r="19" spans="1:78" ht="13.25" customHeight="1">
      <c r="A19" s="335" t="s">
        <v>65</v>
      </c>
      <c r="B19" s="491">
        <v>73622.94</v>
      </c>
      <c r="C19" s="491">
        <v>71229.62</v>
      </c>
      <c r="D19" s="381">
        <v>75.739999999999995</v>
      </c>
      <c r="E19" s="491">
        <v>9158.4</v>
      </c>
      <c r="F19" s="491">
        <v>6835.98</v>
      </c>
      <c r="G19" s="381">
        <v>17.21</v>
      </c>
      <c r="H19" s="491">
        <v>16656.11</v>
      </c>
      <c r="I19" s="327">
        <v>15834</v>
      </c>
      <c r="BQ19" s="335" t="s">
        <v>88</v>
      </c>
      <c r="BR19" s="327">
        <v>52680</v>
      </c>
      <c r="BS19" s="327"/>
      <c r="BT19" s="327">
        <v>2301</v>
      </c>
      <c r="BU19" s="327">
        <v>7307.39</v>
      </c>
      <c r="BV19" s="327">
        <v>11820.5</v>
      </c>
      <c r="BW19" s="327">
        <v>529.4</v>
      </c>
      <c r="BX19" s="327"/>
      <c r="BY19" s="327">
        <v>23800</v>
      </c>
      <c r="BZ19" s="327">
        <v>15834</v>
      </c>
    </row>
    <row r="20" spans="1:78" ht="13.25" customHeight="1" thickBot="1">
      <c r="A20" s="350" t="s">
        <v>66</v>
      </c>
      <c r="B20" s="492">
        <v>74623.240000000005</v>
      </c>
      <c r="C20" s="492">
        <v>72128.39</v>
      </c>
      <c r="D20" s="382">
        <v>65.72</v>
      </c>
      <c r="E20" s="492">
        <v>9520</v>
      </c>
      <c r="F20" s="492">
        <v>6953.32</v>
      </c>
      <c r="G20" s="382">
        <v>13.67</v>
      </c>
      <c r="H20" s="492">
        <v>17430.45</v>
      </c>
      <c r="I20" s="351">
        <v>15277</v>
      </c>
      <c r="BQ20" s="350" t="s">
        <v>89</v>
      </c>
      <c r="BR20" s="351">
        <v>57230</v>
      </c>
      <c r="BS20" s="351"/>
      <c r="BT20" s="351">
        <v>2303</v>
      </c>
      <c r="BU20" s="351">
        <v>7621.45</v>
      </c>
      <c r="BV20" s="351">
        <v>12056.5</v>
      </c>
      <c r="BW20" s="351">
        <v>533.4</v>
      </c>
      <c r="BX20" s="351"/>
      <c r="BY20" s="351">
        <v>28300</v>
      </c>
      <c r="BZ20" s="351">
        <v>15277</v>
      </c>
    </row>
    <row r="21" spans="1:78" ht="9" customHeight="1">
      <c r="A21" s="851" t="s">
        <v>365</v>
      </c>
      <c r="B21" s="852"/>
      <c r="C21" s="853" t="s">
        <v>367</v>
      </c>
      <c r="D21" s="852"/>
      <c r="E21" s="853"/>
      <c r="F21" s="852"/>
      <c r="G21" s="853"/>
      <c r="H21" s="377"/>
      <c r="I21" s="324"/>
      <c r="J21" s="324"/>
      <c r="BQ21" s="352" t="s">
        <v>118</v>
      </c>
      <c r="BT21" s="352" t="s">
        <v>276</v>
      </c>
      <c r="BW21" s="352" t="s">
        <v>119</v>
      </c>
      <c r="BY21" s="337"/>
    </row>
    <row r="22" spans="1:78" ht="9" customHeight="1">
      <c r="A22" s="778" t="s">
        <v>402</v>
      </c>
      <c r="B22" s="854"/>
      <c r="C22" s="854"/>
      <c r="D22" s="853"/>
      <c r="E22" s="854"/>
      <c r="F22" s="854"/>
      <c r="G22" s="854"/>
      <c r="H22" s="378"/>
      <c r="I22" s="324"/>
      <c r="J22" s="324"/>
      <c r="BQ22" s="326"/>
      <c r="BY22" s="337"/>
    </row>
    <row r="23" spans="1:78" ht="9" customHeight="1">
      <c r="A23" s="841" t="s">
        <v>359</v>
      </c>
      <c r="B23" s="836"/>
      <c r="C23" s="854"/>
      <c r="D23" s="854"/>
      <c r="E23" s="854"/>
      <c r="F23" s="854"/>
      <c r="G23" s="854"/>
      <c r="H23" s="378"/>
      <c r="I23" s="324"/>
      <c r="J23" s="324"/>
      <c r="BQ23" s="326"/>
      <c r="BY23" s="337"/>
    </row>
    <row r="24" spans="1:78" ht="9" customHeight="1">
      <c r="A24" s="780" t="s">
        <v>358</v>
      </c>
      <c r="B24" s="836"/>
      <c r="C24" s="854"/>
      <c r="D24" s="854"/>
      <c r="E24" s="854"/>
      <c r="F24" s="854"/>
      <c r="G24" s="854"/>
      <c r="H24" s="378"/>
      <c r="I24" s="324"/>
      <c r="J24" s="324"/>
      <c r="BQ24" s="326"/>
      <c r="BY24" s="337"/>
    </row>
    <row r="25" spans="1:78" ht="15" customHeight="1">
      <c r="A25" s="326"/>
      <c r="H25" s="337"/>
      <c r="BQ25" s="326"/>
      <c r="BY25" s="337"/>
    </row>
    <row r="26" spans="1:78" ht="15" customHeight="1">
      <c r="A26" s="314" t="s">
        <v>566</v>
      </c>
      <c r="B26" s="379"/>
      <c r="C26" s="343"/>
      <c r="D26" s="343"/>
      <c r="E26" s="343"/>
      <c r="F26" s="343"/>
      <c r="G26" s="343"/>
      <c r="H26" s="343"/>
      <c r="I26" s="343"/>
      <c r="BQ26" s="984" t="s">
        <v>277</v>
      </c>
      <c r="BR26" s="984"/>
      <c r="BS26" s="984"/>
      <c r="BT26" s="984"/>
      <c r="BU26" s="984"/>
      <c r="BV26" s="984"/>
      <c r="BW26" s="984"/>
      <c r="BX26" s="984"/>
      <c r="BY26" s="984"/>
      <c r="BZ26" s="984"/>
    </row>
    <row r="27" spans="1:78" ht="15" customHeight="1">
      <c r="A27" s="317" t="s">
        <v>289</v>
      </c>
      <c r="B27" s="380"/>
      <c r="I27" s="330"/>
      <c r="BQ27" s="344"/>
      <c r="BR27" s="344"/>
      <c r="BS27" s="344"/>
      <c r="BT27" s="344"/>
      <c r="BU27" s="344"/>
      <c r="BV27" s="344"/>
      <c r="BW27" s="344"/>
      <c r="BX27" s="344"/>
      <c r="BY27" s="344"/>
      <c r="BZ27" s="344"/>
    </row>
    <row r="28" spans="1:78" ht="4.25" customHeight="1" thickBot="1">
      <c r="A28" s="986"/>
      <c r="B28" s="986"/>
      <c r="C28" s="986"/>
      <c r="D28" s="986"/>
      <c r="E28" s="986"/>
      <c r="F28" s="986"/>
      <c r="G28" s="986"/>
      <c r="H28" s="986"/>
      <c r="I28" s="986"/>
      <c r="BQ28" s="985" t="s">
        <v>275</v>
      </c>
      <c r="BR28" s="985"/>
      <c r="BS28" s="985"/>
      <c r="BT28" s="985"/>
      <c r="BU28" s="985"/>
      <c r="BV28" s="985"/>
      <c r="BW28" s="985"/>
      <c r="BX28" s="985"/>
      <c r="BY28" s="985"/>
      <c r="BZ28" s="985"/>
    </row>
    <row r="29" spans="1:78" ht="13.25" customHeight="1">
      <c r="A29" s="978" t="s">
        <v>110</v>
      </c>
      <c r="B29" s="699"/>
      <c r="C29" s="699"/>
      <c r="D29" s="699"/>
      <c r="E29" s="700" t="s">
        <v>114</v>
      </c>
      <c r="F29" s="699"/>
      <c r="G29" s="699"/>
      <c r="H29" s="978" t="s">
        <v>280</v>
      </c>
      <c r="I29" s="335"/>
      <c r="BQ29" s="335" t="s">
        <v>110</v>
      </c>
      <c r="BR29" s="345"/>
      <c r="BS29" s="345"/>
      <c r="BT29" s="345"/>
      <c r="BU29" s="346" t="s">
        <v>114</v>
      </c>
      <c r="BV29" s="345"/>
      <c r="BW29" s="345"/>
      <c r="BY29" s="335" t="s">
        <v>115</v>
      </c>
      <c r="BZ29" s="335"/>
    </row>
    <row r="30" spans="1:78" ht="13.25" customHeight="1">
      <c r="A30" s="979"/>
      <c r="B30" s="701" t="s">
        <v>281</v>
      </c>
      <c r="C30" s="701" t="s">
        <v>282</v>
      </c>
      <c r="D30" s="701" t="s">
        <v>283</v>
      </c>
      <c r="E30" s="701" t="s">
        <v>284</v>
      </c>
      <c r="F30" s="701" t="s">
        <v>285</v>
      </c>
      <c r="G30" s="701" t="s">
        <v>8</v>
      </c>
      <c r="H30" s="979"/>
      <c r="I30" s="312" t="s">
        <v>16</v>
      </c>
      <c r="BQ30" s="345"/>
      <c r="BR30" s="313" t="s">
        <v>19</v>
      </c>
      <c r="BS30" s="313" t="s">
        <v>117</v>
      </c>
      <c r="BT30" s="312" t="s">
        <v>14</v>
      </c>
      <c r="BU30" s="313" t="s">
        <v>6</v>
      </c>
      <c r="BV30" s="312" t="s">
        <v>15</v>
      </c>
      <c r="BW30" s="313" t="s">
        <v>8</v>
      </c>
      <c r="BX30" s="313"/>
      <c r="BY30" s="312" t="s">
        <v>116</v>
      </c>
      <c r="BZ30" s="312" t="s">
        <v>16</v>
      </c>
    </row>
    <row r="31" spans="1:78" ht="15" customHeight="1">
      <c r="A31" s="695" t="s">
        <v>54</v>
      </c>
      <c r="B31" s="702">
        <f t="shared" ref="B31:G31" si="2">SUM(B32:B43)</f>
        <v>850798.2</v>
      </c>
      <c r="C31" s="702">
        <f t="shared" si="2"/>
        <v>805787.72000000009</v>
      </c>
      <c r="D31" s="703">
        <f t="shared" si="2"/>
        <v>807.23000000000013</v>
      </c>
      <c r="E31" s="702">
        <f t="shared" si="2"/>
        <v>101796.25000000001</v>
      </c>
      <c r="F31" s="702">
        <f t="shared" si="2"/>
        <v>78781.73000000001</v>
      </c>
      <c r="G31" s="703">
        <f t="shared" si="2"/>
        <v>169.08</v>
      </c>
      <c r="H31" s="702">
        <f>SUM(H32:H43)</f>
        <v>184068.99000000002</v>
      </c>
      <c r="I31" s="349">
        <f>SUM(I32:I43)</f>
        <v>152241.59999999998</v>
      </c>
      <c r="BQ31" s="347" t="s">
        <v>54</v>
      </c>
      <c r="BR31" s="349">
        <f t="shared" ref="BR31:BW31" si="3">SUM(BR32:BR43)</f>
        <v>578248</v>
      </c>
      <c r="BS31" s="349">
        <f t="shared" si="3"/>
        <v>380402</v>
      </c>
      <c r="BT31" s="349">
        <f t="shared" si="3"/>
        <v>32068</v>
      </c>
      <c r="BU31" s="349">
        <f t="shared" si="3"/>
        <v>94959.5</v>
      </c>
      <c r="BV31" s="349">
        <f t="shared" si="3"/>
        <v>139885</v>
      </c>
      <c r="BW31" s="349">
        <f t="shared" si="3"/>
        <v>6467</v>
      </c>
      <c r="BX31" s="349"/>
      <c r="BY31" s="349">
        <f>SUM(BY32:BY43)</f>
        <v>374700</v>
      </c>
      <c r="BZ31" s="349">
        <f>SUM(BZ32:BZ43)</f>
        <v>152241.59999999998</v>
      </c>
    </row>
    <row r="32" spans="1:78" ht="13.25" customHeight="1">
      <c r="A32" s="335" t="s">
        <v>55</v>
      </c>
      <c r="B32" s="491">
        <v>69813.56</v>
      </c>
      <c r="C32" s="491">
        <v>63939.27</v>
      </c>
      <c r="D32" s="381">
        <v>57.25</v>
      </c>
      <c r="E32" s="491">
        <v>7011.3</v>
      </c>
      <c r="F32" s="491">
        <v>7142.33</v>
      </c>
      <c r="G32" s="381">
        <v>10.91</v>
      </c>
      <c r="H32" s="491">
        <v>19586.32</v>
      </c>
      <c r="I32" s="327">
        <v>11459</v>
      </c>
      <c r="BQ32" s="335" t="s">
        <v>78</v>
      </c>
      <c r="BR32" s="327">
        <v>45102</v>
      </c>
      <c r="BS32" s="327">
        <v>30844</v>
      </c>
      <c r="BT32" s="327">
        <v>2229</v>
      </c>
      <c r="BU32" s="327">
        <v>7225</v>
      </c>
      <c r="BV32" s="327">
        <v>10586</v>
      </c>
      <c r="BW32" s="327">
        <v>524</v>
      </c>
      <c r="BX32" s="327"/>
      <c r="BY32" s="327">
        <v>41900</v>
      </c>
      <c r="BZ32" s="327">
        <v>11459</v>
      </c>
    </row>
    <row r="33" spans="1:78" ht="13.25" customHeight="1">
      <c r="A33" s="335" t="s">
        <v>56</v>
      </c>
      <c r="B33" s="491">
        <v>67827.53</v>
      </c>
      <c r="C33" s="491">
        <v>61465.86</v>
      </c>
      <c r="D33" s="381">
        <v>53.2</v>
      </c>
      <c r="E33" s="491">
        <v>7130.06</v>
      </c>
      <c r="F33" s="491">
        <v>6623.15</v>
      </c>
      <c r="G33" s="381">
        <v>3</v>
      </c>
      <c r="H33" s="491">
        <v>16696.79</v>
      </c>
      <c r="I33" s="327">
        <v>15954</v>
      </c>
      <c r="BQ33" s="335" t="s">
        <v>79</v>
      </c>
      <c r="BR33" s="327">
        <v>46879</v>
      </c>
      <c r="BS33" s="327">
        <v>29083</v>
      </c>
      <c r="BT33" s="327">
        <v>2347</v>
      </c>
      <c r="BU33" s="327">
        <v>7309</v>
      </c>
      <c r="BV33" s="327">
        <v>11169</v>
      </c>
      <c r="BW33" s="327">
        <v>568</v>
      </c>
      <c r="BX33" s="327"/>
      <c r="BY33" s="327">
        <v>35300</v>
      </c>
      <c r="BZ33" s="327">
        <v>15954</v>
      </c>
    </row>
    <row r="34" spans="1:78" ht="13.25" customHeight="1">
      <c r="A34" s="335" t="s">
        <v>57</v>
      </c>
      <c r="B34" s="491">
        <v>71798.64</v>
      </c>
      <c r="C34" s="491">
        <v>68394.3</v>
      </c>
      <c r="D34" s="381">
        <v>50.31</v>
      </c>
      <c r="E34" s="491">
        <v>6845.48</v>
      </c>
      <c r="F34" s="491">
        <v>6437.71</v>
      </c>
      <c r="G34" s="381">
        <v>4</v>
      </c>
      <c r="H34" s="491">
        <v>17490.060000000001</v>
      </c>
      <c r="I34" s="327">
        <v>12217</v>
      </c>
      <c r="BQ34" s="335" t="s">
        <v>80</v>
      </c>
      <c r="BR34" s="327">
        <v>48278</v>
      </c>
      <c r="BS34" s="327">
        <v>28603</v>
      </c>
      <c r="BT34" s="327">
        <v>2513</v>
      </c>
      <c r="BU34" s="327">
        <v>7501</v>
      </c>
      <c r="BV34" s="327">
        <v>11410</v>
      </c>
      <c r="BW34" s="327">
        <v>572</v>
      </c>
      <c r="BX34" s="327"/>
      <c r="BY34" s="327">
        <v>32500</v>
      </c>
      <c r="BZ34" s="327">
        <v>12217</v>
      </c>
    </row>
    <row r="35" spans="1:78" ht="13.25" customHeight="1">
      <c r="A35" s="335" t="s">
        <v>58</v>
      </c>
      <c r="B35" s="491">
        <v>68720.05</v>
      </c>
      <c r="C35" s="491">
        <v>70960.5</v>
      </c>
      <c r="D35" s="381">
        <v>62.53</v>
      </c>
      <c r="E35" s="491">
        <v>6543.88</v>
      </c>
      <c r="F35" s="491">
        <v>5639.17</v>
      </c>
      <c r="G35" s="381">
        <v>13.69</v>
      </c>
      <c r="H35" s="491">
        <v>14294.93</v>
      </c>
      <c r="I35" s="327">
        <v>12738</v>
      </c>
      <c r="BQ35" s="335" t="s">
        <v>81</v>
      </c>
      <c r="BR35" s="327">
        <v>47609</v>
      </c>
      <c r="BS35" s="327">
        <v>27196</v>
      </c>
      <c r="BT35" s="327">
        <v>2914</v>
      </c>
      <c r="BU35" s="327">
        <v>7592</v>
      </c>
      <c r="BV35" s="327">
        <v>11593</v>
      </c>
      <c r="BW35" s="327">
        <v>576</v>
      </c>
      <c r="BX35" s="327"/>
      <c r="BY35" s="327">
        <v>30600</v>
      </c>
      <c r="BZ35" s="327">
        <v>12738</v>
      </c>
    </row>
    <row r="36" spans="1:78" ht="13.25" customHeight="1">
      <c r="A36" s="335" t="s">
        <v>59</v>
      </c>
      <c r="B36" s="491">
        <v>68307.31</v>
      </c>
      <c r="C36" s="491">
        <v>66723.64</v>
      </c>
      <c r="D36" s="381">
        <v>72.62</v>
      </c>
      <c r="E36" s="491">
        <v>7746.94</v>
      </c>
      <c r="F36" s="491">
        <v>5984.63</v>
      </c>
      <c r="G36" s="381">
        <v>17.350000000000001</v>
      </c>
      <c r="H36" s="491">
        <v>14296.75</v>
      </c>
      <c r="I36" s="327">
        <v>12579</v>
      </c>
      <c r="BQ36" s="335" t="s">
        <v>82</v>
      </c>
      <c r="BR36" s="327">
        <v>46240</v>
      </c>
      <c r="BS36" s="327">
        <v>31239</v>
      </c>
      <c r="BT36" s="327">
        <v>3018</v>
      </c>
      <c r="BU36" s="327">
        <v>7816</v>
      </c>
      <c r="BV36" s="327">
        <v>12063</v>
      </c>
      <c r="BW36" s="327">
        <v>565</v>
      </c>
      <c r="BX36" s="327"/>
      <c r="BY36" s="327">
        <v>29100</v>
      </c>
      <c r="BZ36" s="327">
        <v>12579</v>
      </c>
    </row>
    <row r="37" spans="1:78" ht="13.25" customHeight="1">
      <c r="A37" s="335" t="s">
        <v>60</v>
      </c>
      <c r="B37" s="491">
        <v>65251.12</v>
      </c>
      <c r="C37" s="491">
        <v>66132.06</v>
      </c>
      <c r="D37" s="381">
        <v>73.25</v>
      </c>
      <c r="E37" s="491">
        <v>9431.26</v>
      </c>
      <c r="F37" s="491">
        <v>6045.11</v>
      </c>
      <c r="G37" s="381">
        <v>15.96</v>
      </c>
      <c r="H37" s="491">
        <v>12891.28</v>
      </c>
      <c r="I37" s="327">
        <v>12545</v>
      </c>
      <c r="BQ37" s="335" t="s">
        <v>83</v>
      </c>
      <c r="BR37" s="327">
        <v>47405</v>
      </c>
      <c r="BS37" s="327">
        <v>29856</v>
      </c>
      <c r="BT37" s="327">
        <v>3328</v>
      </c>
      <c r="BU37" s="327">
        <v>8014</v>
      </c>
      <c r="BV37" s="327">
        <v>12094</v>
      </c>
      <c r="BW37" s="327">
        <v>548</v>
      </c>
      <c r="BX37" s="327"/>
      <c r="BY37" s="327">
        <v>25900</v>
      </c>
      <c r="BZ37" s="327">
        <v>12545</v>
      </c>
    </row>
    <row r="38" spans="1:78" ht="13.25" customHeight="1">
      <c r="A38" s="335" t="s">
        <v>61</v>
      </c>
      <c r="B38" s="491">
        <v>71975.69</v>
      </c>
      <c r="C38" s="491">
        <v>68004.91</v>
      </c>
      <c r="D38" s="381">
        <v>72.53</v>
      </c>
      <c r="E38" s="491">
        <v>10310.950000000001</v>
      </c>
      <c r="F38" s="491">
        <v>7366.14</v>
      </c>
      <c r="G38" s="381">
        <v>12.18</v>
      </c>
      <c r="H38" s="491">
        <v>16647.71</v>
      </c>
      <c r="I38" s="327">
        <v>12467</v>
      </c>
      <c r="BQ38" s="335" t="s">
        <v>84</v>
      </c>
      <c r="BR38" s="327">
        <v>48535</v>
      </c>
      <c r="BS38" s="327">
        <v>31568</v>
      </c>
      <c r="BT38" s="327">
        <v>3287</v>
      </c>
      <c r="BU38" s="327">
        <v>8529</v>
      </c>
      <c r="BV38" s="327">
        <v>12033</v>
      </c>
      <c r="BW38" s="327">
        <v>517.5</v>
      </c>
      <c r="BX38" s="327"/>
      <c r="BY38" s="327">
        <v>30900</v>
      </c>
      <c r="BZ38" s="327">
        <v>12467</v>
      </c>
    </row>
    <row r="39" spans="1:78" ht="13.25" customHeight="1">
      <c r="A39" s="335" t="s">
        <v>62</v>
      </c>
      <c r="B39" s="491">
        <v>71055.899999999994</v>
      </c>
      <c r="C39" s="491">
        <v>65656.100000000006</v>
      </c>
      <c r="D39" s="381">
        <v>70.7</v>
      </c>
      <c r="E39" s="491">
        <v>9136.6200000000008</v>
      </c>
      <c r="F39" s="491">
        <v>6716.68</v>
      </c>
      <c r="G39" s="381">
        <v>13.27</v>
      </c>
      <c r="H39" s="491">
        <v>13494.35</v>
      </c>
      <c r="I39" s="327">
        <v>12871</v>
      </c>
      <c r="BQ39" s="335" t="s">
        <v>85</v>
      </c>
      <c r="BR39" s="327">
        <v>49440</v>
      </c>
      <c r="BS39" s="327">
        <v>32897</v>
      </c>
      <c r="BT39" s="327">
        <v>2908</v>
      </c>
      <c r="BU39" s="327">
        <v>8113</v>
      </c>
      <c r="BV39" s="327">
        <v>12051</v>
      </c>
      <c r="BW39" s="327">
        <v>513.5</v>
      </c>
      <c r="BX39" s="327"/>
      <c r="BY39" s="327">
        <v>25900</v>
      </c>
      <c r="BZ39" s="327">
        <v>12871</v>
      </c>
    </row>
    <row r="40" spans="1:78" ht="13.25" customHeight="1">
      <c r="A40" s="335" t="s">
        <v>63</v>
      </c>
      <c r="B40" s="491">
        <v>72737.009999999995</v>
      </c>
      <c r="C40" s="491">
        <v>67794.05</v>
      </c>
      <c r="D40" s="381">
        <v>73.319999999999993</v>
      </c>
      <c r="E40" s="491">
        <v>9389.0300000000007</v>
      </c>
      <c r="F40" s="491">
        <v>6728.91</v>
      </c>
      <c r="G40" s="381">
        <v>16</v>
      </c>
      <c r="H40" s="491">
        <v>11545.6</v>
      </c>
      <c r="I40" s="327">
        <v>12209.4</v>
      </c>
      <c r="BQ40" s="335" t="s">
        <v>86</v>
      </c>
      <c r="BR40" s="327">
        <v>47468</v>
      </c>
      <c r="BS40" s="327">
        <v>34714</v>
      </c>
      <c r="BT40" s="327">
        <v>2681</v>
      </c>
      <c r="BU40" s="327">
        <v>7897</v>
      </c>
      <c r="BV40" s="327">
        <v>11479</v>
      </c>
      <c r="BW40" s="327">
        <v>500.5</v>
      </c>
      <c r="BX40" s="327"/>
      <c r="BY40" s="327">
        <v>25000</v>
      </c>
      <c r="BZ40" s="327">
        <v>12209.4</v>
      </c>
    </row>
    <row r="41" spans="1:78" ht="13.25" customHeight="1">
      <c r="A41" s="335" t="s">
        <v>64</v>
      </c>
      <c r="B41" s="491">
        <v>73132.59</v>
      </c>
      <c r="C41" s="491">
        <v>64997.03</v>
      </c>
      <c r="D41" s="381">
        <v>75.69</v>
      </c>
      <c r="E41" s="491">
        <v>9652.94</v>
      </c>
      <c r="F41" s="491">
        <v>6714.87</v>
      </c>
      <c r="G41" s="381">
        <v>18.55</v>
      </c>
      <c r="H41" s="491">
        <v>14569.35</v>
      </c>
      <c r="I41" s="327">
        <v>12396.4</v>
      </c>
      <c r="BQ41" s="335" t="s">
        <v>87</v>
      </c>
      <c r="BR41" s="327">
        <v>48550</v>
      </c>
      <c r="BS41" s="327">
        <v>34277</v>
      </c>
      <c r="BT41" s="327">
        <v>2349</v>
      </c>
      <c r="BU41" s="327">
        <v>7983</v>
      </c>
      <c r="BV41" s="327">
        <v>11607</v>
      </c>
      <c r="BW41" s="327">
        <v>498.5</v>
      </c>
      <c r="BX41" s="327"/>
      <c r="BY41" s="327">
        <v>27200</v>
      </c>
      <c r="BZ41" s="327">
        <v>12396.4</v>
      </c>
    </row>
    <row r="42" spans="1:78" ht="13.25" customHeight="1">
      <c r="A42" s="335" t="s">
        <v>65</v>
      </c>
      <c r="B42" s="491">
        <v>73754.17</v>
      </c>
      <c r="C42" s="491">
        <v>68542.289999999994</v>
      </c>
      <c r="D42" s="381">
        <v>67.36</v>
      </c>
      <c r="E42" s="491">
        <v>8204.9500000000007</v>
      </c>
      <c r="F42" s="491">
        <v>6647.84</v>
      </c>
      <c r="G42" s="381">
        <v>26.08</v>
      </c>
      <c r="H42" s="491">
        <v>15908.14</v>
      </c>
      <c r="I42" s="327">
        <v>12726.4</v>
      </c>
      <c r="BQ42" s="335" t="s">
        <v>88</v>
      </c>
      <c r="BR42" s="327">
        <v>47516.5</v>
      </c>
      <c r="BS42" s="327">
        <v>32600</v>
      </c>
      <c r="BT42" s="327">
        <v>2222.5</v>
      </c>
      <c r="BU42" s="327">
        <v>8324.5</v>
      </c>
      <c r="BV42" s="327">
        <v>11978</v>
      </c>
      <c r="BW42" s="327">
        <v>529.5</v>
      </c>
      <c r="BX42" s="327"/>
      <c r="BY42" s="327">
        <v>31100</v>
      </c>
      <c r="BZ42" s="327">
        <v>12726.4</v>
      </c>
    </row>
    <row r="43" spans="1:78" ht="13.25" customHeight="1" thickBot="1">
      <c r="A43" s="350" t="s">
        <v>66</v>
      </c>
      <c r="B43" s="492">
        <v>76424.63</v>
      </c>
      <c r="C43" s="492">
        <v>73177.710000000006</v>
      </c>
      <c r="D43" s="382">
        <v>78.47</v>
      </c>
      <c r="E43" s="492">
        <v>10392.84</v>
      </c>
      <c r="F43" s="492">
        <v>6735.19</v>
      </c>
      <c r="G43" s="382">
        <v>18.09</v>
      </c>
      <c r="H43" s="492">
        <v>16647.71</v>
      </c>
      <c r="I43" s="351">
        <v>12079.4</v>
      </c>
      <c r="BQ43" s="350" t="s">
        <v>89</v>
      </c>
      <c r="BR43" s="351">
        <v>55225.5</v>
      </c>
      <c r="BS43" s="351">
        <v>37525</v>
      </c>
      <c r="BT43" s="351">
        <v>2271.5</v>
      </c>
      <c r="BU43" s="351">
        <v>8656</v>
      </c>
      <c r="BV43" s="351">
        <v>11822</v>
      </c>
      <c r="BW43" s="351">
        <v>554.5</v>
      </c>
      <c r="BX43" s="351"/>
      <c r="BY43" s="351">
        <v>39300</v>
      </c>
      <c r="BZ43" s="351">
        <v>12079.4</v>
      </c>
    </row>
    <row r="44" spans="1:78" ht="9" customHeight="1">
      <c r="A44" s="851" t="s">
        <v>365</v>
      </c>
      <c r="B44" s="852"/>
      <c r="C44" s="853" t="s">
        <v>367</v>
      </c>
      <c r="D44" s="852"/>
      <c r="F44" s="377"/>
      <c r="G44" s="323"/>
      <c r="H44" s="377"/>
      <c r="I44" s="377"/>
      <c r="J44" s="324"/>
      <c r="BQ44" s="335"/>
      <c r="BR44" s="327"/>
      <c r="BS44" s="327"/>
      <c r="BT44" s="327"/>
      <c r="BU44" s="327"/>
      <c r="BV44" s="327"/>
      <c r="BW44" s="327"/>
      <c r="BX44" s="327"/>
      <c r="BY44" s="327"/>
      <c r="BZ44" s="327"/>
    </row>
    <row r="45" spans="1:78" ht="9" customHeight="1">
      <c r="A45" s="841" t="s">
        <v>359</v>
      </c>
      <c r="B45" s="836"/>
      <c r="C45" s="854"/>
      <c r="D45" s="854"/>
      <c r="E45" s="854"/>
      <c r="F45" s="324"/>
      <c r="G45" s="324"/>
      <c r="H45" s="378"/>
      <c r="I45" s="324"/>
      <c r="J45" s="324"/>
      <c r="BQ45" s="326"/>
      <c r="BY45" s="337"/>
    </row>
    <row r="46" spans="1:78" ht="9" customHeight="1">
      <c r="A46" s="780" t="s">
        <v>358</v>
      </c>
      <c r="B46" s="836"/>
      <c r="C46" s="854"/>
      <c r="D46" s="854"/>
      <c r="E46" s="854"/>
      <c r="F46" s="324"/>
      <c r="G46" s="324"/>
      <c r="H46" s="378"/>
      <c r="I46" s="324"/>
      <c r="J46" s="324"/>
      <c r="BY46" s="337"/>
    </row>
    <row r="47" spans="1:78" ht="15" customHeight="1">
      <c r="A47" s="303"/>
      <c r="H47" s="337"/>
      <c r="BY47" s="337"/>
    </row>
    <row r="48" spans="1:78" ht="15" customHeight="1">
      <c r="A48" s="305"/>
    </row>
  </sheetData>
  <mergeCells count="10">
    <mergeCell ref="A29:A30"/>
    <mergeCell ref="H29:H30"/>
    <mergeCell ref="A28:I28"/>
    <mergeCell ref="BQ28:BZ28"/>
    <mergeCell ref="BQ3:BZ3"/>
    <mergeCell ref="A5:I5"/>
    <mergeCell ref="BQ5:BZ5"/>
    <mergeCell ref="BQ26:BZ26"/>
    <mergeCell ref="A6:A7"/>
    <mergeCell ref="H6:H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9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syncVertical="1" syncRef="A1" transitionEvaluation="1" codeName="Hoja98">
    <tabColor theme="9" tint="0.59999389629810485"/>
  </sheetPr>
  <dimension ref="A3:Y60"/>
  <sheetViews>
    <sheetView showGridLines="0" zoomScaleNormal="100" workbookViewId="0">
      <selection activeCell="J1" sqref="J1"/>
    </sheetView>
  </sheetViews>
  <sheetFormatPr baseColWidth="10" defaultColWidth="8.3984375" defaultRowHeight="15" customHeight="1"/>
  <cols>
    <col min="1" max="1" width="6.3984375" style="353" customWidth="1"/>
    <col min="2" max="2" width="8" style="353" customWidth="1"/>
    <col min="3" max="3" width="9" style="353" customWidth="1"/>
    <col min="4" max="4" width="0.796875" style="353" customWidth="1"/>
    <col min="5" max="5" width="9" style="353" customWidth="1"/>
    <col min="6" max="6" width="8.19921875" style="353" bestFit="1" customWidth="1"/>
    <col min="7" max="7" width="7" style="353" bestFit="1" customWidth="1"/>
    <col min="8" max="8" width="8.19921875" style="353" bestFit="1" customWidth="1"/>
    <col min="9" max="9" width="1.19921875" style="353" customWidth="1"/>
    <col min="10" max="10" width="8" style="353" customWidth="1"/>
    <col min="11" max="12" width="7" style="353" bestFit="1" customWidth="1"/>
    <col min="13" max="13" width="6.19921875" style="353" bestFit="1" customWidth="1"/>
    <col min="14" max="14" width="6.3984375" style="353" bestFit="1" customWidth="1"/>
    <col min="15" max="15" width="6" style="353" customWidth="1"/>
    <col min="16" max="17" width="8" style="353" customWidth="1"/>
    <col min="18" max="261" width="8.3984375" style="353"/>
    <col min="262" max="262" width="8.19921875" style="353" customWidth="1"/>
    <col min="263" max="263" width="9.19921875" style="353" customWidth="1"/>
    <col min="264" max="264" width="8.3984375" style="353"/>
    <col min="265" max="265" width="2" style="353" customWidth="1"/>
    <col min="266" max="266" width="6.796875" style="353" customWidth="1"/>
    <col min="267" max="267" width="9.3984375" style="353" customWidth="1"/>
    <col min="268" max="268" width="8.19921875" style="353" customWidth="1"/>
    <col min="269" max="269" width="8" style="353" customWidth="1"/>
    <col min="270" max="270" width="9" style="353" customWidth="1"/>
    <col min="271" max="271" width="8.796875" style="353" customWidth="1"/>
    <col min="272" max="517" width="8.3984375" style="353"/>
    <col min="518" max="518" width="8.19921875" style="353" customWidth="1"/>
    <col min="519" max="519" width="9.19921875" style="353" customWidth="1"/>
    <col min="520" max="520" width="8.3984375" style="353"/>
    <col min="521" max="521" width="2" style="353" customWidth="1"/>
    <col min="522" max="522" width="6.796875" style="353" customWidth="1"/>
    <col min="523" max="523" width="9.3984375" style="353" customWidth="1"/>
    <col min="524" max="524" width="8.19921875" style="353" customWidth="1"/>
    <col min="525" max="525" width="8" style="353" customWidth="1"/>
    <col min="526" max="526" width="9" style="353" customWidth="1"/>
    <col min="527" max="527" width="8.796875" style="353" customWidth="1"/>
    <col min="528" max="773" width="8.3984375" style="353"/>
    <col min="774" max="774" width="8.19921875" style="353" customWidth="1"/>
    <col min="775" max="775" width="9.19921875" style="353" customWidth="1"/>
    <col min="776" max="776" width="8.3984375" style="353"/>
    <col min="777" max="777" width="2" style="353" customWidth="1"/>
    <col min="778" max="778" width="6.796875" style="353" customWidth="1"/>
    <col min="779" max="779" width="9.3984375" style="353" customWidth="1"/>
    <col min="780" max="780" width="8.19921875" style="353" customWidth="1"/>
    <col min="781" max="781" width="8" style="353" customWidth="1"/>
    <col min="782" max="782" width="9" style="353" customWidth="1"/>
    <col min="783" max="783" width="8.796875" style="353" customWidth="1"/>
    <col min="784" max="1029" width="8.3984375" style="353"/>
    <col min="1030" max="1030" width="8.19921875" style="353" customWidth="1"/>
    <col min="1031" max="1031" width="9.19921875" style="353" customWidth="1"/>
    <col min="1032" max="1032" width="8.3984375" style="353"/>
    <col min="1033" max="1033" width="2" style="353" customWidth="1"/>
    <col min="1034" max="1034" width="6.796875" style="353" customWidth="1"/>
    <col min="1035" max="1035" width="9.3984375" style="353" customWidth="1"/>
    <col min="1036" max="1036" width="8.19921875" style="353" customWidth="1"/>
    <col min="1037" max="1037" width="8" style="353" customWidth="1"/>
    <col min="1038" max="1038" width="9" style="353" customWidth="1"/>
    <col min="1039" max="1039" width="8.796875" style="353" customWidth="1"/>
    <col min="1040" max="1285" width="8.3984375" style="353"/>
    <col min="1286" max="1286" width="8.19921875" style="353" customWidth="1"/>
    <col min="1287" max="1287" width="9.19921875" style="353" customWidth="1"/>
    <col min="1288" max="1288" width="8.3984375" style="353"/>
    <col min="1289" max="1289" width="2" style="353" customWidth="1"/>
    <col min="1290" max="1290" width="6.796875" style="353" customWidth="1"/>
    <col min="1291" max="1291" width="9.3984375" style="353" customWidth="1"/>
    <col min="1292" max="1292" width="8.19921875" style="353" customWidth="1"/>
    <col min="1293" max="1293" width="8" style="353" customWidth="1"/>
    <col min="1294" max="1294" width="9" style="353" customWidth="1"/>
    <col min="1295" max="1295" width="8.796875" style="353" customWidth="1"/>
    <col min="1296" max="1541" width="8.3984375" style="353"/>
    <col min="1542" max="1542" width="8.19921875" style="353" customWidth="1"/>
    <col min="1543" max="1543" width="9.19921875" style="353" customWidth="1"/>
    <col min="1544" max="1544" width="8.3984375" style="353"/>
    <col min="1545" max="1545" width="2" style="353" customWidth="1"/>
    <col min="1546" max="1546" width="6.796875" style="353" customWidth="1"/>
    <col min="1547" max="1547" width="9.3984375" style="353" customWidth="1"/>
    <col min="1548" max="1548" width="8.19921875" style="353" customWidth="1"/>
    <col min="1549" max="1549" width="8" style="353" customWidth="1"/>
    <col min="1550" max="1550" width="9" style="353" customWidth="1"/>
    <col min="1551" max="1551" width="8.796875" style="353" customWidth="1"/>
    <col min="1552" max="1797" width="8.3984375" style="353"/>
    <col min="1798" max="1798" width="8.19921875" style="353" customWidth="1"/>
    <col min="1799" max="1799" width="9.19921875" style="353" customWidth="1"/>
    <col min="1800" max="1800" width="8.3984375" style="353"/>
    <col min="1801" max="1801" width="2" style="353" customWidth="1"/>
    <col min="1802" max="1802" width="6.796875" style="353" customWidth="1"/>
    <col min="1803" max="1803" width="9.3984375" style="353" customWidth="1"/>
    <col min="1804" max="1804" width="8.19921875" style="353" customWidth="1"/>
    <col min="1805" max="1805" width="8" style="353" customWidth="1"/>
    <col min="1806" max="1806" width="9" style="353" customWidth="1"/>
    <col min="1807" max="1807" width="8.796875" style="353" customWidth="1"/>
    <col min="1808" max="2053" width="8.3984375" style="353"/>
    <col min="2054" max="2054" width="8.19921875" style="353" customWidth="1"/>
    <col min="2055" max="2055" width="9.19921875" style="353" customWidth="1"/>
    <col min="2056" max="2056" width="8.3984375" style="353"/>
    <col min="2057" max="2057" width="2" style="353" customWidth="1"/>
    <col min="2058" max="2058" width="6.796875" style="353" customWidth="1"/>
    <col min="2059" max="2059" width="9.3984375" style="353" customWidth="1"/>
    <col min="2060" max="2060" width="8.19921875" style="353" customWidth="1"/>
    <col min="2061" max="2061" width="8" style="353" customWidth="1"/>
    <col min="2062" max="2062" width="9" style="353" customWidth="1"/>
    <col min="2063" max="2063" width="8.796875" style="353" customWidth="1"/>
    <col min="2064" max="2309" width="8.3984375" style="353"/>
    <col min="2310" max="2310" width="8.19921875" style="353" customWidth="1"/>
    <col min="2311" max="2311" width="9.19921875" style="353" customWidth="1"/>
    <col min="2312" max="2312" width="8.3984375" style="353"/>
    <col min="2313" max="2313" width="2" style="353" customWidth="1"/>
    <col min="2314" max="2314" width="6.796875" style="353" customWidth="1"/>
    <col min="2315" max="2315" width="9.3984375" style="353" customWidth="1"/>
    <col min="2316" max="2316" width="8.19921875" style="353" customWidth="1"/>
    <col min="2317" max="2317" width="8" style="353" customWidth="1"/>
    <col min="2318" max="2318" width="9" style="353" customWidth="1"/>
    <col min="2319" max="2319" width="8.796875" style="353" customWidth="1"/>
    <col min="2320" max="2565" width="8.3984375" style="353"/>
    <col min="2566" max="2566" width="8.19921875" style="353" customWidth="1"/>
    <col min="2567" max="2567" width="9.19921875" style="353" customWidth="1"/>
    <col min="2568" max="2568" width="8.3984375" style="353"/>
    <col min="2569" max="2569" width="2" style="353" customWidth="1"/>
    <col min="2570" max="2570" width="6.796875" style="353" customWidth="1"/>
    <col min="2571" max="2571" width="9.3984375" style="353" customWidth="1"/>
    <col min="2572" max="2572" width="8.19921875" style="353" customWidth="1"/>
    <col min="2573" max="2573" width="8" style="353" customWidth="1"/>
    <col min="2574" max="2574" width="9" style="353" customWidth="1"/>
    <col min="2575" max="2575" width="8.796875" style="353" customWidth="1"/>
    <col min="2576" max="2821" width="8.3984375" style="353"/>
    <col min="2822" max="2822" width="8.19921875" style="353" customWidth="1"/>
    <col min="2823" max="2823" width="9.19921875" style="353" customWidth="1"/>
    <col min="2824" max="2824" width="8.3984375" style="353"/>
    <col min="2825" max="2825" width="2" style="353" customWidth="1"/>
    <col min="2826" max="2826" width="6.796875" style="353" customWidth="1"/>
    <col min="2827" max="2827" width="9.3984375" style="353" customWidth="1"/>
    <col min="2828" max="2828" width="8.19921875" style="353" customWidth="1"/>
    <col min="2829" max="2829" width="8" style="353" customWidth="1"/>
    <col min="2830" max="2830" width="9" style="353" customWidth="1"/>
    <col min="2831" max="2831" width="8.796875" style="353" customWidth="1"/>
    <col min="2832" max="3077" width="8.3984375" style="353"/>
    <col min="3078" max="3078" width="8.19921875" style="353" customWidth="1"/>
    <col min="3079" max="3079" width="9.19921875" style="353" customWidth="1"/>
    <col min="3080" max="3080" width="8.3984375" style="353"/>
    <col min="3081" max="3081" width="2" style="353" customWidth="1"/>
    <col min="3082" max="3082" width="6.796875" style="353" customWidth="1"/>
    <col min="3083" max="3083" width="9.3984375" style="353" customWidth="1"/>
    <col min="3084" max="3084" width="8.19921875" style="353" customWidth="1"/>
    <col min="3085" max="3085" width="8" style="353" customWidth="1"/>
    <col min="3086" max="3086" width="9" style="353" customWidth="1"/>
    <col min="3087" max="3087" width="8.796875" style="353" customWidth="1"/>
    <col min="3088" max="3333" width="8.3984375" style="353"/>
    <col min="3334" max="3334" width="8.19921875" style="353" customWidth="1"/>
    <col min="3335" max="3335" width="9.19921875" style="353" customWidth="1"/>
    <col min="3336" max="3336" width="8.3984375" style="353"/>
    <col min="3337" max="3337" width="2" style="353" customWidth="1"/>
    <col min="3338" max="3338" width="6.796875" style="353" customWidth="1"/>
    <col min="3339" max="3339" width="9.3984375" style="353" customWidth="1"/>
    <col min="3340" max="3340" width="8.19921875" style="353" customWidth="1"/>
    <col min="3341" max="3341" width="8" style="353" customWidth="1"/>
    <col min="3342" max="3342" width="9" style="353" customWidth="1"/>
    <col min="3343" max="3343" width="8.796875" style="353" customWidth="1"/>
    <col min="3344" max="3589" width="8.3984375" style="353"/>
    <col min="3590" max="3590" width="8.19921875" style="353" customWidth="1"/>
    <col min="3591" max="3591" width="9.19921875" style="353" customWidth="1"/>
    <col min="3592" max="3592" width="8.3984375" style="353"/>
    <col min="3593" max="3593" width="2" style="353" customWidth="1"/>
    <col min="3594" max="3594" width="6.796875" style="353" customWidth="1"/>
    <col min="3595" max="3595" width="9.3984375" style="353" customWidth="1"/>
    <col min="3596" max="3596" width="8.19921875" style="353" customWidth="1"/>
    <col min="3597" max="3597" width="8" style="353" customWidth="1"/>
    <col min="3598" max="3598" width="9" style="353" customWidth="1"/>
    <col min="3599" max="3599" width="8.796875" style="353" customWidth="1"/>
    <col min="3600" max="3845" width="8.3984375" style="353"/>
    <col min="3846" max="3846" width="8.19921875" style="353" customWidth="1"/>
    <col min="3847" max="3847" width="9.19921875" style="353" customWidth="1"/>
    <col min="3848" max="3848" width="8.3984375" style="353"/>
    <col min="3849" max="3849" width="2" style="353" customWidth="1"/>
    <col min="3850" max="3850" width="6.796875" style="353" customWidth="1"/>
    <col min="3851" max="3851" width="9.3984375" style="353" customWidth="1"/>
    <col min="3852" max="3852" width="8.19921875" style="353" customWidth="1"/>
    <col min="3853" max="3853" width="8" style="353" customWidth="1"/>
    <col min="3854" max="3854" width="9" style="353" customWidth="1"/>
    <col min="3855" max="3855" width="8.796875" style="353" customWidth="1"/>
    <col min="3856" max="4101" width="8.3984375" style="353"/>
    <col min="4102" max="4102" width="8.19921875" style="353" customWidth="1"/>
    <col min="4103" max="4103" width="9.19921875" style="353" customWidth="1"/>
    <col min="4104" max="4104" width="8.3984375" style="353"/>
    <col min="4105" max="4105" width="2" style="353" customWidth="1"/>
    <col min="4106" max="4106" width="6.796875" style="353" customWidth="1"/>
    <col min="4107" max="4107" width="9.3984375" style="353" customWidth="1"/>
    <col min="4108" max="4108" width="8.19921875" style="353" customWidth="1"/>
    <col min="4109" max="4109" width="8" style="353" customWidth="1"/>
    <col min="4110" max="4110" width="9" style="353" customWidth="1"/>
    <col min="4111" max="4111" width="8.796875" style="353" customWidth="1"/>
    <col min="4112" max="4357" width="8.3984375" style="353"/>
    <col min="4358" max="4358" width="8.19921875" style="353" customWidth="1"/>
    <col min="4359" max="4359" width="9.19921875" style="353" customWidth="1"/>
    <col min="4360" max="4360" width="8.3984375" style="353"/>
    <col min="4361" max="4361" width="2" style="353" customWidth="1"/>
    <col min="4362" max="4362" width="6.796875" style="353" customWidth="1"/>
    <col min="4363" max="4363" width="9.3984375" style="353" customWidth="1"/>
    <col min="4364" max="4364" width="8.19921875" style="353" customWidth="1"/>
    <col min="4365" max="4365" width="8" style="353" customWidth="1"/>
    <col min="4366" max="4366" width="9" style="353" customWidth="1"/>
    <col min="4367" max="4367" width="8.796875" style="353" customWidth="1"/>
    <col min="4368" max="4613" width="8.3984375" style="353"/>
    <col min="4614" max="4614" width="8.19921875" style="353" customWidth="1"/>
    <col min="4615" max="4615" width="9.19921875" style="353" customWidth="1"/>
    <col min="4616" max="4616" width="8.3984375" style="353"/>
    <col min="4617" max="4617" width="2" style="353" customWidth="1"/>
    <col min="4618" max="4618" width="6.796875" style="353" customWidth="1"/>
    <col min="4619" max="4619" width="9.3984375" style="353" customWidth="1"/>
    <col min="4620" max="4620" width="8.19921875" style="353" customWidth="1"/>
    <col min="4621" max="4621" width="8" style="353" customWidth="1"/>
    <col min="4622" max="4622" width="9" style="353" customWidth="1"/>
    <col min="4623" max="4623" width="8.796875" style="353" customWidth="1"/>
    <col min="4624" max="4869" width="8.3984375" style="353"/>
    <col min="4870" max="4870" width="8.19921875" style="353" customWidth="1"/>
    <col min="4871" max="4871" width="9.19921875" style="353" customWidth="1"/>
    <col min="4872" max="4872" width="8.3984375" style="353"/>
    <col min="4873" max="4873" width="2" style="353" customWidth="1"/>
    <col min="4874" max="4874" width="6.796875" style="353" customWidth="1"/>
    <col min="4875" max="4875" width="9.3984375" style="353" customWidth="1"/>
    <col min="4876" max="4876" width="8.19921875" style="353" customWidth="1"/>
    <col min="4877" max="4877" width="8" style="353" customWidth="1"/>
    <col min="4878" max="4878" width="9" style="353" customWidth="1"/>
    <col min="4879" max="4879" width="8.796875" style="353" customWidth="1"/>
    <col min="4880" max="5125" width="8.3984375" style="353"/>
    <col min="5126" max="5126" width="8.19921875" style="353" customWidth="1"/>
    <col min="5127" max="5127" width="9.19921875" style="353" customWidth="1"/>
    <col min="5128" max="5128" width="8.3984375" style="353"/>
    <col min="5129" max="5129" width="2" style="353" customWidth="1"/>
    <col min="5130" max="5130" width="6.796875" style="353" customWidth="1"/>
    <col min="5131" max="5131" width="9.3984375" style="353" customWidth="1"/>
    <col min="5132" max="5132" width="8.19921875" style="353" customWidth="1"/>
    <col min="5133" max="5133" width="8" style="353" customWidth="1"/>
    <col min="5134" max="5134" width="9" style="353" customWidth="1"/>
    <col min="5135" max="5135" width="8.796875" style="353" customWidth="1"/>
    <col min="5136" max="5381" width="8.3984375" style="353"/>
    <col min="5382" max="5382" width="8.19921875" style="353" customWidth="1"/>
    <col min="5383" max="5383" width="9.19921875" style="353" customWidth="1"/>
    <col min="5384" max="5384" width="8.3984375" style="353"/>
    <col min="5385" max="5385" width="2" style="353" customWidth="1"/>
    <col min="5386" max="5386" width="6.796875" style="353" customWidth="1"/>
    <col min="5387" max="5387" width="9.3984375" style="353" customWidth="1"/>
    <col min="5388" max="5388" width="8.19921875" style="353" customWidth="1"/>
    <col min="5389" max="5389" width="8" style="353" customWidth="1"/>
    <col min="5390" max="5390" width="9" style="353" customWidth="1"/>
    <col min="5391" max="5391" width="8.796875" style="353" customWidth="1"/>
    <col min="5392" max="5637" width="8.3984375" style="353"/>
    <col min="5638" max="5638" width="8.19921875" style="353" customWidth="1"/>
    <col min="5639" max="5639" width="9.19921875" style="353" customWidth="1"/>
    <col min="5640" max="5640" width="8.3984375" style="353"/>
    <col min="5641" max="5641" width="2" style="353" customWidth="1"/>
    <col min="5642" max="5642" width="6.796875" style="353" customWidth="1"/>
    <col min="5643" max="5643" width="9.3984375" style="353" customWidth="1"/>
    <col min="5644" max="5644" width="8.19921875" style="353" customWidth="1"/>
    <col min="5645" max="5645" width="8" style="353" customWidth="1"/>
    <col min="5646" max="5646" width="9" style="353" customWidth="1"/>
    <col min="5647" max="5647" width="8.796875" style="353" customWidth="1"/>
    <col min="5648" max="5893" width="8.3984375" style="353"/>
    <col min="5894" max="5894" width="8.19921875" style="353" customWidth="1"/>
    <col min="5895" max="5895" width="9.19921875" style="353" customWidth="1"/>
    <col min="5896" max="5896" width="8.3984375" style="353"/>
    <col min="5897" max="5897" width="2" style="353" customWidth="1"/>
    <col min="5898" max="5898" width="6.796875" style="353" customWidth="1"/>
    <col min="5899" max="5899" width="9.3984375" style="353" customWidth="1"/>
    <col min="5900" max="5900" width="8.19921875" style="353" customWidth="1"/>
    <col min="5901" max="5901" width="8" style="353" customWidth="1"/>
    <col min="5902" max="5902" width="9" style="353" customWidth="1"/>
    <col min="5903" max="5903" width="8.796875" style="353" customWidth="1"/>
    <col min="5904" max="6149" width="8.3984375" style="353"/>
    <col min="6150" max="6150" width="8.19921875" style="353" customWidth="1"/>
    <col min="6151" max="6151" width="9.19921875" style="353" customWidth="1"/>
    <col min="6152" max="6152" width="8.3984375" style="353"/>
    <col min="6153" max="6153" width="2" style="353" customWidth="1"/>
    <col min="6154" max="6154" width="6.796875" style="353" customWidth="1"/>
    <col min="6155" max="6155" width="9.3984375" style="353" customWidth="1"/>
    <col min="6156" max="6156" width="8.19921875" style="353" customWidth="1"/>
    <col min="6157" max="6157" width="8" style="353" customWidth="1"/>
    <col min="6158" max="6158" width="9" style="353" customWidth="1"/>
    <col min="6159" max="6159" width="8.796875" style="353" customWidth="1"/>
    <col min="6160" max="6405" width="8.3984375" style="353"/>
    <col min="6406" max="6406" width="8.19921875" style="353" customWidth="1"/>
    <col min="6407" max="6407" width="9.19921875" style="353" customWidth="1"/>
    <col min="6408" max="6408" width="8.3984375" style="353"/>
    <col min="6409" max="6409" width="2" style="353" customWidth="1"/>
    <col min="6410" max="6410" width="6.796875" style="353" customWidth="1"/>
    <col min="6411" max="6411" width="9.3984375" style="353" customWidth="1"/>
    <col min="6412" max="6412" width="8.19921875" style="353" customWidth="1"/>
    <col min="6413" max="6413" width="8" style="353" customWidth="1"/>
    <col min="6414" max="6414" width="9" style="353" customWidth="1"/>
    <col min="6415" max="6415" width="8.796875" style="353" customWidth="1"/>
    <col min="6416" max="6661" width="8.3984375" style="353"/>
    <col min="6662" max="6662" width="8.19921875" style="353" customWidth="1"/>
    <col min="6663" max="6663" width="9.19921875" style="353" customWidth="1"/>
    <col min="6664" max="6664" width="8.3984375" style="353"/>
    <col min="6665" max="6665" width="2" style="353" customWidth="1"/>
    <col min="6666" max="6666" width="6.796875" style="353" customWidth="1"/>
    <col min="6667" max="6667" width="9.3984375" style="353" customWidth="1"/>
    <col min="6668" max="6668" width="8.19921875" style="353" customWidth="1"/>
    <col min="6669" max="6669" width="8" style="353" customWidth="1"/>
    <col min="6670" max="6670" width="9" style="353" customWidth="1"/>
    <col min="6671" max="6671" width="8.796875" style="353" customWidth="1"/>
    <col min="6672" max="6917" width="8.3984375" style="353"/>
    <col min="6918" max="6918" width="8.19921875" style="353" customWidth="1"/>
    <col min="6919" max="6919" width="9.19921875" style="353" customWidth="1"/>
    <col min="6920" max="6920" width="8.3984375" style="353"/>
    <col min="6921" max="6921" width="2" style="353" customWidth="1"/>
    <col min="6922" max="6922" width="6.796875" style="353" customWidth="1"/>
    <col min="6923" max="6923" width="9.3984375" style="353" customWidth="1"/>
    <col min="6924" max="6924" width="8.19921875" style="353" customWidth="1"/>
    <col min="6925" max="6925" width="8" style="353" customWidth="1"/>
    <col min="6926" max="6926" width="9" style="353" customWidth="1"/>
    <col min="6927" max="6927" width="8.796875" style="353" customWidth="1"/>
    <col min="6928" max="7173" width="8.3984375" style="353"/>
    <col min="7174" max="7174" width="8.19921875" style="353" customWidth="1"/>
    <col min="7175" max="7175" width="9.19921875" style="353" customWidth="1"/>
    <col min="7176" max="7176" width="8.3984375" style="353"/>
    <col min="7177" max="7177" width="2" style="353" customWidth="1"/>
    <col min="7178" max="7178" width="6.796875" style="353" customWidth="1"/>
    <col min="7179" max="7179" width="9.3984375" style="353" customWidth="1"/>
    <col min="7180" max="7180" width="8.19921875" style="353" customWidth="1"/>
    <col min="7181" max="7181" width="8" style="353" customWidth="1"/>
    <col min="7182" max="7182" width="9" style="353" customWidth="1"/>
    <col min="7183" max="7183" width="8.796875" style="353" customWidth="1"/>
    <col min="7184" max="7429" width="8.3984375" style="353"/>
    <col min="7430" max="7430" width="8.19921875" style="353" customWidth="1"/>
    <col min="7431" max="7431" width="9.19921875" style="353" customWidth="1"/>
    <col min="7432" max="7432" width="8.3984375" style="353"/>
    <col min="7433" max="7433" width="2" style="353" customWidth="1"/>
    <col min="7434" max="7434" width="6.796875" style="353" customWidth="1"/>
    <col min="7435" max="7435" width="9.3984375" style="353" customWidth="1"/>
    <col min="7436" max="7436" width="8.19921875" style="353" customWidth="1"/>
    <col min="7437" max="7437" width="8" style="353" customWidth="1"/>
    <col min="7438" max="7438" width="9" style="353" customWidth="1"/>
    <col min="7439" max="7439" width="8.796875" style="353" customWidth="1"/>
    <col min="7440" max="7685" width="8.3984375" style="353"/>
    <col min="7686" max="7686" width="8.19921875" style="353" customWidth="1"/>
    <col min="7687" max="7687" width="9.19921875" style="353" customWidth="1"/>
    <col min="7688" max="7688" width="8.3984375" style="353"/>
    <col min="7689" max="7689" width="2" style="353" customWidth="1"/>
    <col min="7690" max="7690" width="6.796875" style="353" customWidth="1"/>
    <col min="7691" max="7691" width="9.3984375" style="353" customWidth="1"/>
    <col min="7692" max="7692" width="8.19921875" style="353" customWidth="1"/>
    <col min="7693" max="7693" width="8" style="353" customWidth="1"/>
    <col min="7694" max="7694" width="9" style="353" customWidth="1"/>
    <col min="7695" max="7695" width="8.796875" style="353" customWidth="1"/>
    <col min="7696" max="7941" width="8.3984375" style="353"/>
    <col min="7942" max="7942" width="8.19921875" style="353" customWidth="1"/>
    <col min="7943" max="7943" width="9.19921875" style="353" customWidth="1"/>
    <col min="7944" max="7944" width="8.3984375" style="353"/>
    <col min="7945" max="7945" width="2" style="353" customWidth="1"/>
    <col min="7946" max="7946" width="6.796875" style="353" customWidth="1"/>
    <col min="7947" max="7947" width="9.3984375" style="353" customWidth="1"/>
    <col min="7948" max="7948" width="8.19921875" style="353" customWidth="1"/>
    <col min="7949" max="7949" width="8" style="353" customWidth="1"/>
    <col min="7950" max="7950" width="9" style="353" customWidth="1"/>
    <col min="7951" max="7951" width="8.796875" style="353" customWidth="1"/>
    <col min="7952" max="8197" width="8.3984375" style="353"/>
    <col min="8198" max="8198" width="8.19921875" style="353" customWidth="1"/>
    <col min="8199" max="8199" width="9.19921875" style="353" customWidth="1"/>
    <col min="8200" max="8200" width="8.3984375" style="353"/>
    <col min="8201" max="8201" width="2" style="353" customWidth="1"/>
    <col min="8202" max="8202" width="6.796875" style="353" customWidth="1"/>
    <col min="8203" max="8203" width="9.3984375" style="353" customWidth="1"/>
    <col min="8204" max="8204" width="8.19921875" style="353" customWidth="1"/>
    <col min="8205" max="8205" width="8" style="353" customWidth="1"/>
    <col min="8206" max="8206" width="9" style="353" customWidth="1"/>
    <col min="8207" max="8207" width="8.796875" style="353" customWidth="1"/>
    <col min="8208" max="8453" width="8.3984375" style="353"/>
    <col min="8454" max="8454" width="8.19921875" style="353" customWidth="1"/>
    <col min="8455" max="8455" width="9.19921875" style="353" customWidth="1"/>
    <col min="8456" max="8456" width="8.3984375" style="353"/>
    <col min="8457" max="8457" width="2" style="353" customWidth="1"/>
    <col min="8458" max="8458" width="6.796875" style="353" customWidth="1"/>
    <col min="8459" max="8459" width="9.3984375" style="353" customWidth="1"/>
    <col min="8460" max="8460" width="8.19921875" style="353" customWidth="1"/>
    <col min="8461" max="8461" width="8" style="353" customWidth="1"/>
    <col min="8462" max="8462" width="9" style="353" customWidth="1"/>
    <col min="8463" max="8463" width="8.796875" style="353" customWidth="1"/>
    <col min="8464" max="8709" width="8.3984375" style="353"/>
    <col min="8710" max="8710" width="8.19921875" style="353" customWidth="1"/>
    <col min="8711" max="8711" width="9.19921875" style="353" customWidth="1"/>
    <col min="8712" max="8712" width="8.3984375" style="353"/>
    <col min="8713" max="8713" width="2" style="353" customWidth="1"/>
    <col min="8714" max="8714" width="6.796875" style="353" customWidth="1"/>
    <col min="8715" max="8715" width="9.3984375" style="353" customWidth="1"/>
    <col min="8716" max="8716" width="8.19921875" style="353" customWidth="1"/>
    <col min="8717" max="8717" width="8" style="353" customWidth="1"/>
    <col min="8718" max="8718" width="9" style="353" customWidth="1"/>
    <col min="8719" max="8719" width="8.796875" style="353" customWidth="1"/>
    <col min="8720" max="8965" width="8.3984375" style="353"/>
    <col min="8966" max="8966" width="8.19921875" style="353" customWidth="1"/>
    <col min="8967" max="8967" width="9.19921875" style="353" customWidth="1"/>
    <col min="8968" max="8968" width="8.3984375" style="353"/>
    <col min="8969" max="8969" width="2" style="353" customWidth="1"/>
    <col min="8970" max="8970" width="6.796875" style="353" customWidth="1"/>
    <col min="8971" max="8971" width="9.3984375" style="353" customWidth="1"/>
    <col min="8972" max="8972" width="8.19921875" style="353" customWidth="1"/>
    <col min="8973" max="8973" width="8" style="353" customWidth="1"/>
    <col min="8974" max="8974" width="9" style="353" customWidth="1"/>
    <col min="8975" max="8975" width="8.796875" style="353" customWidth="1"/>
    <col min="8976" max="9221" width="8.3984375" style="353"/>
    <col min="9222" max="9222" width="8.19921875" style="353" customWidth="1"/>
    <col min="9223" max="9223" width="9.19921875" style="353" customWidth="1"/>
    <col min="9224" max="9224" width="8.3984375" style="353"/>
    <col min="9225" max="9225" width="2" style="353" customWidth="1"/>
    <col min="9226" max="9226" width="6.796875" style="353" customWidth="1"/>
    <col min="9227" max="9227" width="9.3984375" style="353" customWidth="1"/>
    <col min="9228" max="9228" width="8.19921875" style="353" customWidth="1"/>
    <col min="9229" max="9229" width="8" style="353" customWidth="1"/>
    <col min="9230" max="9230" width="9" style="353" customWidth="1"/>
    <col min="9231" max="9231" width="8.796875" style="353" customWidth="1"/>
    <col min="9232" max="9477" width="8.3984375" style="353"/>
    <col min="9478" max="9478" width="8.19921875" style="353" customWidth="1"/>
    <col min="9479" max="9479" width="9.19921875" style="353" customWidth="1"/>
    <col min="9480" max="9480" width="8.3984375" style="353"/>
    <col min="9481" max="9481" width="2" style="353" customWidth="1"/>
    <col min="9482" max="9482" width="6.796875" style="353" customWidth="1"/>
    <col min="9483" max="9483" width="9.3984375" style="353" customWidth="1"/>
    <col min="9484" max="9484" width="8.19921875" style="353" customWidth="1"/>
    <col min="9485" max="9485" width="8" style="353" customWidth="1"/>
    <col min="9486" max="9486" width="9" style="353" customWidth="1"/>
    <col min="9487" max="9487" width="8.796875" style="353" customWidth="1"/>
    <col min="9488" max="9733" width="8.3984375" style="353"/>
    <col min="9734" max="9734" width="8.19921875" style="353" customWidth="1"/>
    <col min="9735" max="9735" width="9.19921875" style="353" customWidth="1"/>
    <col min="9736" max="9736" width="8.3984375" style="353"/>
    <col min="9737" max="9737" width="2" style="353" customWidth="1"/>
    <col min="9738" max="9738" width="6.796875" style="353" customWidth="1"/>
    <col min="9739" max="9739" width="9.3984375" style="353" customWidth="1"/>
    <col min="9740" max="9740" width="8.19921875" style="353" customWidth="1"/>
    <col min="9741" max="9741" width="8" style="353" customWidth="1"/>
    <col min="9742" max="9742" width="9" style="353" customWidth="1"/>
    <col min="9743" max="9743" width="8.796875" style="353" customWidth="1"/>
    <col min="9744" max="9989" width="8.3984375" style="353"/>
    <col min="9990" max="9990" width="8.19921875" style="353" customWidth="1"/>
    <col min="9991" max="9991" width="9.19921875" style="353" customWidth="1"/>
    <col min="9992" max="9992" width="8.3984375" style="353"/>
    <col min="9993" max="9993" width="2" style="353" customWidth="1"/>
    <col min="9994" max="9994" width="6.796875" style="353" customWidth="1"/>
    <col min="9995" max="9995" width="9.3984375" style="353" customWidth="1"/>
    <col min="9996" max="9996" width="8.19921875" style="353" customWidth="1"/>
    <col min="9997" max="9997" width="8" style="353" customWidth="1"/>
    <col min="9998" max="9998" width="9" style="353" customWidth="1"/>
    <col min="9999" max="9999" width="8.796875" style="353" customWidth="1"/>
    <col min="10000" max="10245" width="8.3984375" style="353"/>
    <col min="10246" max="10246" width="8.19921875" style="353" customWidth="1"/>
    <col min="10247" max="10247" width="9.19921875" style="353" customWidth="1"/>
    <col min="10248" max="10248" width="8.3984375" style="353"/>
    <col min="10249" max="10249" width="2" style="353" customWidth="1"/>
    <col min="10250" max="10250" width="6.796875" style="353" customWidth="1"/>
    <col min="10251" max="10251" width="9.3984375" style="353" customWidth="1"/>
    <col min="10252" max="10252" width="8.19921875" style="353" customWidth="1"/>
    <col min="10253" max="10253" width="8" style="353" customWidth="1"/>
    <col min="10254" max="10254" width="9" style="353" customWidth="1"/>
    <col min="10255" max="10255" width="8.796875" style="353" customWidth="1"/>
    <col min="10256" max="10501" width="8.3984375" style="353"/>
    <col min="10502" max="10502" width="8.19921875" style="353" customWidth="1"/>
    <col min="10503" max="10503" width="9.19921875" style="353" customWidth="1"/>
    <col min="10504" max="10504" width="8.3984375" style="353"/>
    <col min="10505" max="10505" width="2" style="353" customWidth="1"/>
    <col min="10506" max="10506" width="6.796875" style="353" customWidth="1"/>
    <col min="10507" max="10507" width="9.3984375" style="353" customWidth="1"/>
    <col min="10508" max="10508" width="8.19921875" style="353" customWidth="1"/>
    <col min="10509" max="10509" width="8" style="353" customWidth="1"/>
    <col min="10510" max="10510" width="9" style="353" customWidth="1"/>
    <col min="10511" max="10511" width="8.796875" style="353" customWidth="1"/>
    <col min="10512" max="10757" width="8.3984375" style="353"/>
    <col min="10758" max="10758" width="8.19921875" style="353" customWidth="1"/>
    <col min="10759" max="10759" width="9.19921875" style="353" customWidth="1"/>
    <col min="10760" max="10760" width="8.3984375" style="353"/>
    <col min="10761" max="10761" width="2" style="353" customWidth="1"/>
    <col min="10762" max="10762" width="6.796875" style="353" customWidth="1"/>
    <col min="10763" max="10763" width="9.3984375" style="353" customWidth="1"/>
    <col min="10764" max="10764" width="8.19921875" style="353" customWidth="1"/>
    <col min="10765" max="10765" width="8" style="353" customWidth="1"/>
    <col min="10766" max="10766" width="9" style="353" customWidth="1"/>
    <col min="10767" max="10767" width="8.796875" style="353" customWidth="1"/>
    <col min="10768" max="11013" width="8.3984375" style="353"/>
    <col min="11014" max="11014" width="8.19921875" style="353" customWidth="1"/>
    <col min="11015" max="11015" width="9.19921875" style="353" customWidth="1"/>
    <col min="11016" max="11016" width="8.3984375" style="353"/>
    <col min="11017" max="11017" width="2" style="353" customWidth="1"/>
    <col min="11018" max="11018" width="6.796875" style="353" customWidth="1"/>
    <col min="11019" max="11019" width="9.3984375" style="353" customWidth="1"/>
    <col min="11020" max="11020" width="8.19921875" style="353" customWidth="1"/>
    <col min="11021" max="11021" width="8" style="353" customWidth="1"/>
    <col min="11022" max="11022" width="9" style="353" customWidth="1"/>
    <col min="11023" max="11023" width="8.796875" style="353" customWidth="1"/>
    <col min="11024" max="11269" width="8.3984375" style="353"/>
    <col min="11270" max="11270" width="8.19921875" style="353" customWidth="1"/>
    <col min="11271" max="11271" width="9.19921875" style="353" customWidth="1"/>
    <col min="11272" max="11272" width="8.3984375" style="353"/>
    <col min="11273" max="11273" width="2" style="353" customWidth="1"/>
    <col min="11274" max="11274" width="6.796875" style="353" customWidth="1"/>
    <col min="11275" max="11275" width="9.3984375" style="353" customWidth="1"/>
    <col min="11276" max="11276" width="8.19921875" style="353" customWidth="1"/>
    <col min="11277" max="11277" width="8" style="353" customWidth="1"/>
    <col min="11278" max="11278" width="9" style="353" customWidth="1"/>
    <col min="11279" max="11279" width="8.796875" style="353" customWidth="1"/>
    <col min="11280" max="11525" width="8.3984375" style="353"/>
    <col min="11526" max="11526" width="8.19921875" style="353" customWidth="1"/>
    <col min="11527" max="11527" width="9.19921875" style="353" customWidth="1"/>
    <col min="11528" max="11528" width="8.3984375" style="353"/>
    <col min="11529" max="11529" width="2" style="353" customWidth="1"/>
    <col min="11530" max="11530" width="6.796875" style="353" customWidth="1"/>
    <col min="11531" max="11531" width="9.3984375" style="353" customWidth="1"/>
    <col min="11532" max="11532" width="8.19921875" style="353" customWidth="1"/>
    <col min="11533" max="11533" width="8" style="353" customWidth="1"/>
    <col min="11534" max="11534" width="9" style="353" customWidth="1"/>
    <col min="11535" max="11535" width="8.796875" style="353" customWidth="1"/>
    <col min="11536" max="11781" width="8.3984375" style="353"/>
    <col min="11782" max="11782" width="8.19921875" style="353" customWidth="1"/>
    <col min="11783" max="11783" width="9.19921875" style="353" customWidth="1"/>
    <col min="11784" max="11784" width="8.3984375" style="353"/>
    <col min="11785" max="11785" width="2" style="353" customWidth="1"/>
    <col min="11786" max="11786" width="6.796875" style="353" customWidth="1"/>
    <col min="11787" max="11787" width="9.3984375" style="353" customWidth="1"/>
    <col min="11788" max="11788" width="8.19921875" style="353" customWidth="1"/>
    <col min="11789" max="11789" width="8" style="353" customWidth="1"/>
    <col min="11790" max="11790" width="9" style="353" customWidth="1"/>
    <col min="11791" max="11791" width="8.796875" style="353" customWidth="1"/>
    <col min="11792" max="12037" width="8.3984375" style="353"/>
    <col min="12038" max="12038" width="8.19921875" style="353" customWidth="1"/>
    <col min="12039" max="12039" width="9.19921875" style="353" customWidth="1"/>
    <col min="12040" max="12040" width="8.3984375" style="353"/>
    <col min="12041" max="12041" width="2" style="353" customWidth="1"/>
    <col min="12042" max="12042" width="6.796875" style="353" customWidth="1"/>
    <col min="12043" max="12043" width="9.3984375" style="353" customWidth="1"/>
    <col min="12044" max="12044" width="8.19921875" style="353" customWidth="1"/>
    <col min="12045" max="12045" width="8" style="353" customWidth="1"/>
    <col min="12046" max="12046" width="9" style="353" customWidth="1"/>
    <col min="12047" max="12047" width="8.796875" style="353" customWidth="1"/>
    <col min="12048" max="12293" width="8.3984375" style="353"/>
    <col min="12294" max="12294" width="8.19921875" style="353" customWidth="1"/>
    <col min="12295" max="12295" width="9.19921875" style="353" customWidth="1"/>
    <col min="12296" max="12296" width="8.3984375" style="353"/>
    <col min="12297" max="12297" width="2" style="353" customWidth="1"/>
    <col min="12298" max="12298" width="6.796875" style="353" customWidth="1"/>
    <col min="12299" max="12299" width="9.3984375" style="353" customWidth="1"/>
    <col min="12300" max="12300" width="8.19921875" style="353" customWidth="1"/>
    <col min="12301" max="12301" width="8" style="353" customWidth="1"/>
    <col min="12302" max="12302" width="9" style="353" customWidth="1"/>
    <col min="12303" max="12303" width="8.796875" style="353" customWidth="1"/>
    <col min="12304" max="12549" width="8.3984375" style="353"/>
    <col min="12550" max="12550" width="8.19921875" style="353" customWidth="1"/>
    <col min="12551" max="12551" width="9.19921875" style="353" customWidth="1"/>
    <col min="12552" max="12552" width="8.3984375" style="353"/>
    <col min="12553" max="12553" width="2" style="353" customWidth="1"/>
    <col min="12554" max="12554" width="6.796875" style="353" customWidth="1"/>
    <col min="12555" max="12555" width="9.3984375" style="353" customWidth="1"/>
    <col min="12556" max="12556" width="8.19921875" style="353" customWidth="1"/>
    <col min="12557" max="12557" width="8" style="353" customWidth="1"/>
    <col min="12558" max="12558" width="9" style="353" customWidth="1"/>
    <col min="12559" max="12559" width="8.796875" style="353" customWidth="1"/>
    <col min="12560" max="12805" width="8.3984375" style="353"/>
    <col min="12806" max="12806" width="8.19921875" style="353" customWidth="1"/>
    <col min="12807" max="12807" width="9.19921875" style="353" customWidth="1"/>
    <col min="12808" max="12808" width="8.3984375" style="353"/>
    <col min="12809" max="12809" width="2" style="353" customWidth="1"/>
    <col min="12810" max="12810" width="6.796875" style="353" customWidth="1"/>
    <col min="12811" max="12811" width="9.3984375" style="353" customWidth="1"/>
    <col min="12812" max="12812" width="8.19921875" style="353" customWidth="1"/>
    <col min="12813" max="12813" width="8" style="353" customWidth="1"/>
    <col min="12814" max="12814" width="9" style="353" customWidth="1"/>
    <col min="12815" max="12815" width="8.796875" style="353" customWidth="1"/>
    <col min="12816" max="13061" width="8.3984375" style="353"/>
    <col min="13062" max="13062" width="8.19921875" style="353" customWidth="1"/>
    <col min="13063" max="13063" width="9.19921875" style="353" customWidth="1"/>
    <col min="13064" max="13064" width="8.3984375" style="353"/>
    <col min="13065" max="13065" width="2" style="353" customWidth="1"/>
    <col min="13066" max="13066" width="6.796875" style="353" customWidth="1"/>
    <col min="13067" max="13067" width="9.3984375" style="353" customWidth="1"/>
    <col min="13068" max="13068" width="8.19921875" style="353" customWidth="1"/>
    <col min="13069" max="13069" width="8" style="353" customWidth="1"/>
    <col min="13070" max="13070" width="9" style="353" customWidth="1"/>
    <col min="13071" max="13071" width="8.796875" style="353" customWidth="1"/>
    <col min="13072" max="13317" width="8.3984375" style="353"/>
    <col min="13318" max="13318" width="8.19921875" style="353" customWidth="1"/>
    <col min="13319" max="13319" width="9.19921875" style="353" customWidth="1"/>
    <col min="13320" max="13320" width="8.3984375" style="353"/>
    <col min="13321" max="13321" width="2" style="353" customWidth="1"/>
    <col min="13322" max="13322" width="6.796875" style="353" customWidth="1"/>
    <col min="13323" max="13323" width="9.3984375" style="353" customWidth="1"/>
    <col min="13324" max="13324" width="8.19921875" style="353" customWidth="1"/>
    <col min="13325" max="13325" width="8" style="353" customWidth="1"/>
    <col min="13326" max="13326" width="9" style="353" customWidth="1"/>
    <col min="13327" max="13327" width="8.796875" style="353" customWidth="1"/>
    <col min="13328" max="13573" width="8.3984375" style="353"/>
    <col min="13574" max="13574" width="8.19921875" style="353" customWidth="1"/>
    <col min="13575" max="13575" width="9.19921875" style="353" customWidth="1"/>
    <col min="13576" max="13576" width="8.3984375" style="353"/>
    <col min="13577" max="13577" width="2" style="353" customWidth="1"/>
    <col min="13578" max="13578" width="6.796875" style="353" customWidth="1"/>
    <col min="13579" max="13579" width="9.3984375" style="353" customWidth="1"/>
    <col min="13580" max="13580" width="8.19921875" style="353" customWidth="1"/>
    <col min="13581" max="13581" width="8" style="353" customWidth="1"/>
    <col min="13582" max="13582" width="9" style="353" customWidth="1"/>
    <col min="13583" max="13583" width="8.796875" style="353" customWidth="1"/>
    <col min="13584" max="13829" width="8.3984375" style="353"/>
    <col min="13830" max="13830" width="8.19921875" style="353" customWidth="1"/>
    <col min="13831" max="13831" width="9.19921875" style="353" customWidth="1"/>
    <col min="13832" max="13832" width="8.3984375" style="353"/>
    <col min="13833" max="13833" width="2" style="353" customWidth="1"/>
    <col min="13834" max="13834" width="6.796875" style="353" customWidth="1"/>
    <col min="13835" max="13835" width="9.3984375" style="353" customWidth="1"/>
    <col min="13836" max="13836" width="8.19921875" style="353" customWidth="1"/>
    <col min="13837" max="13837" width="8" style="353" customWidth="1"/>
    <col min="13838" max="13838" width="9" style="353" customWidth="1"/>
    <col min="13839" max="13839" width="8.796875" style="353" customWidth="1"/>
    <col min="13840" max="14085" width="8.3984375" style="353"/>
    <col min="14086" max="14086" width="8.19921875" style="353" customWidth="1"/>
    <col min="14087" max="14087" width="9.19921875" style="353" customWidth="1"/>
    <col min="14088" max="14088" width="8.3984375" style="353"/>
    <col min="14089" max="14089" width="2" style="353" customWidth="1"/>
    <col min="14090" max="14090" width="6.796875" style="353" customWidth="1"/>
    <col min="14091" max="14091" width="9.3984375" style="353" customWidth="1"/>
    <col min="14092" max="14092" width="8.19921875" style="353" customWidth="1"/>
    <col min="14093" max="14093" width="8" style="353" customWidth="1"/>
    <col min="14094" max="14094" width="9" style="353" customWidth="1"/>
    <col min="14095" max="14095" width="8.796875" style="353" customWidth="1"/>
    <col min="14096" max="14341" width="8.3984375" style="353"/>
    <col min="14342" max="14342" width="8.19921875" style="353" customWidth="1"/>
    <col min="14343" max="14343" width="9.19921875" style="353" customWidth="1"/>
    <col min="14344" max="14344" width="8.3984375" style="353"/>
    <col min="14345" max="14345" width="2" style="353" customWidth="1"/>
    <col min="14346" max="14346" width="6.796875" style="353" customWidth="1"/>
    <col min="14347" max="14347" width="9.3984375" style="353" customWidth="1"/>
    <col min="14348" max="14348" width="8.19921875" style="353" customWidth="1"/>
    <col min="14349" max="14349" width="8" style="353" customWidth="1"/>
    <col min="14350" max="14350" width="9" style="353" customWidth="1"/>
    <col min="14351" max="14351" width="8.796875" style="353" customWidth="1"/>
    <col min="14352" max="14597" width="8.3984375" style="353"/>
    <col min="14598" max="14598" width="8.19921875" style="353" customWidth="1"/>
    <col min="14599" max="14599" width="9.19921875" style="353" customWidth="1"/>
    <col min="14600" max="14600" width="8.3984375" style="353"/>
    <col min="14601" max="14601" width="2" style="353" customWidth="1"/>
    <col min="14602" max="14602" width="6.796875" style="353" customWidth="1"/>
    <col min="14603" max="14603" width="9.3984375" style="353" customWidth="1"/>
    <col min="14604" max="14604" width="8.19921875" style="353" customWidth="1"/>
    <col min="14605" max="14605" width="8" style="353" customWidth="1"/>
    <col min="14606" max="14606" width="9" style="353" customWidth="1"/>
    <col min="14607" max="14607" width="8.796875" style="353" customWidth="1"/>
    <col min="14608" max="14853" width="8.3984375" style="353"/>
    <col min="14854" max="14854" width="8.19921875" style="353" customWidth="1"/>
    <col min="14855" max="14855" width="9.19921875" style="353" customWidth="1"/>
    <col min="14856" max="14856" width="8.3984375" style="353"/>
    <col min="14857" max="14857" width="2" style="353" customWidth="1"/>
    <col min="14858" max="14858" width="6.796875" style="353" customWidth="1"/>
    <col min="14859" max="14859" width="9.3984375" style="353" customWidth="1"/>
    <col min="14860" max="14860" width="8.19921875" style="353" customWidth="1"/>
    <col min="14861" max="14861" width="8" style="353" customWidth="1"/>
    <col min="14862" max="14862" width="9" style="353" customWidth="1"/>
    <col min="14863" max="14863" width="8.796875" style="353" customWidth="1"/>
    <col min="14864" max="15109" width="8.3984375" style="353"/>
    <col min="15110" max="15110" width="8.19921875" style="353" customWidth="1"/>
    <col min="15111" max="15111" width="9.19921875" style="353" customWidth="1"/>
    <col min="15112" max="15112" width="8.3984375" style="353"/>
    <col min="15113" max="15113" width="2" style="353" customWidth="1"/>
    <col min="15114" max="15114" width="6.796875" style="353" customWidth="1"/>
    <col min="15115" max="15115" width="9.3984375" style="353" customWidth="1"/>
    <col min="15116" max="15116" width="8.19921875" style="353" customWidth="1"/>
    <col min="15117" max="15117" width="8" style="353" customWidth="1"/>
    <col min="15118" max="15118" width="9" style="353" customWidth="1"/>
    <col min="15119" max="15119" width="8.796875" style="353" customWidth="1"/>
    <col min="15120" max="15365" width="8.3984375" style="353"/>
    <col min="15366" max="15366" width="8.19921875" style="353" customWidth="1"/>
    <col min="15367" max="15367" width="9.19921875" style="353" customWidth="1"/>
    <col min="15368" max="15368" width="8.3984375" style="353"/>
    <col min="15369" max="15369" width="2" style="353" customWidth="1"/>
    <col min="15370" max="15370" width="6.796875" style="353" customWidth="1"/>
    <col min="15371" max="15371" width="9.3984375" style="353" customWidth="1"/>
    <col min="15372" max="15372" width="8.19921875" style="353" customWidth="1"/>
    <col min="15373" max="15373" width="8" style="353" customWidth="1"/>
    <col min="15374" max="15374" width="9" style="353" customWidth="1"/>
    <col min="15375" max="15375" width="8.796875" style="353" customWidth="1"/>
    <col min="15376" max="15621" width="8.3984375" style="353"/>
    <col min="15622" max="15622" width="8.19921875" style="353" customWidth="1"/>
    <col min="15623" max="15623" width="9.19921875" style="353" customWidth="1"/>
    <col min="15624" max="15624" width="8.3984375" style="353"/>
    <col min="15625" max="15625" width="2" style="353" customWidth="1"/>
    <col min="15626" max="15626" width="6.796875" style="353" customWidth="1"/>
    <col min="15627" max="15627" width="9.3984375" style="353" customWidth="1"/>
    <col min="15628" max="15628" width="8.19921875" style="353" customWidth="1"/>
    <col min="15629" max="15629" width="8" style="353" customWidth="1"/>
    <col min="15630" max="15630" width="9" style="353" customWidth="1"/>
    <col min="15631" max="15631" width="8.796875" style="353" customWidth="1"/>
    <col min="15632" max="15877" width="8.3984375" style="353"/>
    <col min="15878" max="15878" width="8.19921875" style="353" customWidth="1"/>
    <col min="15879" max="15879" width="9.19921875" style="353" customWidth="1"/>
    <col min="15880" max="15880" width="8.3984375" style="353"/>
    <col min="15881" max="15881" width="2" style="353" customWidth="1"/>
    <col min="15882" max="15882" width="6.796875" style="353" customWidth="1"/>
    <col min="15883" max="15883" width="9.3984375" style="353" customWidth="1"/>
    <col min="15884" max="15884" width="8.19921875" style="353" customWidth="1"/>
    <col min="15885" max="15885" width="8" style="353" customWidth="1"/>
    <col min="15886" max="15886" width="9" style="353" customWidth="1"/>
    <col min="15887" max="15887" width="8.796875" style="353" customWidth="1"/>
    <col min="15888" max="16133" width="8.3984375" style="353"/>
    <col min="16134" max="16134" width="8.19921875" style="353" customWidth="1"/>
    <col min="16135" max="16135" width="9.19921875" style="353" customWidth="1"/>
    <col min="16136" max="16136" width="8.3984375" style="353"/>
    <col min="16137" max="16137" width="2" style="353" customWidth="1"/>
    <col min="16138" max="16138" width="6.796875" style="353" customWidth="1"/>
    <col min="16139" max="16139" width="9.3984375" style="353" customWidth="1"/>
    <col min="16140" max="16140" width="8.19921875" style="353" customWidth="1"/>
    <col min="16141" max="16141" width="8" style="353" customWidth="1"/>
    <col min="16142" max="16142" width="9" style="353" customWidth="1"/>
    <col min="16143" max="16143" width="8.796875" style="353" customWidth="1"/>
    <col min="16144" max="16384" width="8.3984375" style="353"/>
  </cols>
  <sheetData>
    <row r="3" spans="1:25" ht="15" customHeight="1">
      <c r="B3" s="387" t="s">
        <v>569</v>
      </c>
      <c r="C3" s="385"/>
      <c r="D3" s="385"/>
      <c r="E3" s="385"/>
      <c r="F3" s="385"/>
      <c r="G3" s="385"/>
      <c r="H3" s="385"/>
      <c r="I3" s="385"/>
      <c r="J3" s="385"/>
      <c r="K3" s="385"/>
    </row>
    <row r="4" spans="1:25" ht="15" customHeight="1">
      <c r="B4" s="386" t="s">
        <v>287</v>
      </c>
      <c r="C4" s="385"/>
      <c r="D4" s="385"/>
      <c r="E4" s="385"/>
      <c r="F4" s="385"/>
      <c r="G4" s="385"/>
      <c r="H4" s="385"/>
      <c r="I4" s="385"/>
      <c r="J4" s="385"/>
      <c r="K4" s="385"/>
    </row>
    <row r="5" spans="1:25" ht="4.25" customHeight="1" thickBot="1">
      <c r="A5" s="354"/>
      <c r="B5" s="355"/>
      <c r="C5" s="355"/>
      <c r="D5" s="355"/>
      <c r="E5" s="355"/>
      <c r="F5" s="355"/>
      <c r="G5" s="355"/>
      <c r="H5" s="355"/>
      <c r="I5" s="355"/>
      <c r="J5" s="354"/>
      <c r="K5" s="354"/>
      <c r="L5" s="354"/>
      <c r="M5" s="354"/>
      <c r="N5" s="354"/>
      <c r="O5" s="354"/>
    </row>
    <row r="6" spans="1:25" ht="14" customHeight="1">
      <c r="A6" s="354"/>
      <c r="B6" s="987" t="s">
        <v>111</v>
      </c>
      <c r="C6" s="987" t="s">
        <v>109</v>
      </c>
      <c r="D6" s="704"/>
      <c r="E6" s="991" t="s">
        <v>278</v>
      </c>
      <c r="F6" s="991"/>
      <c r="G6" s="991"/>
      <c r="H6" s="991"/>
      <c r="I6" s="705"/>
      <c r="J6" s="990" t="s">
        <v>290</v>
      </c>
      <c r="K6" s="990"/>
      <c r="L6" s="990"/>
      <c r="M6" s="990"/>
      <c r="N6" s="990"/>
      <c r="O6" s="990"/>
    </row>
    <row r="7" spans="1:25" ht="10.25" customHeight="1">
      <c r="A7" s="354"/>
      <c r="B7" s="988"/>
      <c r="C7" s="988"/>
      <c r="D7" s="706"/>
      <c r="E7" s="706"/>
      <c r="F7" s="706"/>
      <c r="G7" s="706"/>
      <c r="H7" s="706"/>
      <c r="I7" s="706"/>
      <c r="J7" s="706"/>
      <c r="K7" s="706" t="s">
        <v>121</v>
      </c>
      <c r="L7" s="706" t="s">
        <v>122</v>
      </c>
      <c r="M7" s="706"/>
      <c r="N7" s="706"/>
      <c r="O7" s="706"/>
    </row>
    <row r="8" spans="1:25" ht="10.25" customHeight="1">
      <c r="A8" s="356"/>
      <c r="B8" s="988"/>
      <c r="C8" s="988"/>
      <c r="D8" s="706"/>
      <c r="E8" s="706"/>
      <c r="F8" s="706" t="s">
        <v>120</v>
      </c>
      <c r="G8" s="706" t="s">
        <v>190</v>
      </c>
      <c r="H8" s="706" t="s">
        <v>190</v>
      </c>
      <c r="I8" s="706"/>
      <c r="J8" s="706"/>
      <c r="K8" s="706" t="s">
        <v>341</v>
      </c>
      <c r="L8" s="706" t="s">
        <v>345</v>
      </c>
      <c r="M8" s="706" t="s">
        <v>123</v>
      </c>
      <c r="N8" s="706" t="s">
        <v>120</v>
      </c>
      <c r="O8" s="706" t="s">
        <v>190</v>
      </c>
    </row>
    <row r="9" spans="1:25" ht="10.25" customHeight="1">
      <c r="A9" s="356"/>
      <c r="B9" s="988"/>
      <c r="C9" s="988"/>
      <c r="D9" s="706"/>
      <c r="E9" s="706" t="s">
        <v>109</v>
      </c>
      <c r="F9" s="706" t="s">
        <v>194</v>
      </c>
      <c r="G9" s="706" t="s">
        <v>337</v>
      </c>
      <c r="H9" s="706" t="s">
        <v>339</v>
      </c>
      <c r="I9" s="706"/>
      <c r="J9" s="706" t="s">
        <v>109</v>
      </c>
      <c r="K9" s="706" t="s">
        <v>342</v>
      </c>
      <c r="L9" s="706" t="s">
        <v>121</v>
      </c>
      <c r="M9" s="706" t="s">
        <v>124</v>
      </c>
      <c r="N9" s="706" t="s">
        <v>343</v>
      </c>
      <c r="O9" s="706" t="s">
        <v>339</v>
      </c>
    </row>
    <row r="10" spans="1:25" ht="10.25" customHeight="1">
      <c r="A10" s="354"/>
      <c r="B10" s="989"/>
      <c r="C10" s="989"/>
      <c r="D10" s="707"/>
      <c r="E10" s="708"/>
      <c r="F10" s="708"/>
      <c r="G10" s="707" t="s">
        <v>338</v>
      </c>
      <c r="H10" s="707" t="s">
        <v>340</v>
      </c>
      <c r="I10" s="708"/>
      <c r="J10" s="708"/>
      <c r="K10" s="709" t="s">
        <v>191</v>
      </c>
      <c r="L10" s="709" t="s">
        <v>192</v>
      </c>
      <c r="M10" s="709" t="s">
        <v>193</v>
      </c>
      <c r="N10" s="707" t="s">
        <v>344</v>
      </c>
      <c r="O10" s="707" t="s">
        <v>340</v>
      </c>
    </row>
    <row r="11" spans="1:25" ht="13.25" customHeight="1">
      <c r="A11" s="357"/>
      <c r="B11" s="450">
        <v>2007</v>
      </c>
      <c r="C11" s="713">
        <f>E11+J11</f>
        <v>1616354.4553722292</v>
      </c>
      <c r="D11" s="493"/>
      <c r="E11" s="713">
        <f>SUM(F11:H11)</f>
        <v>1455814.9253722292</v>
      </c>
      <c r="F11" s="388">
        <v>548992.92537222907</v>
      </c>
      <c r="G11" s="388">
        <v>67929</v>
      </c>
      <c r="H11" s="388">
        <v>838893.00000000012</v>
      </c>
      <c r="I11" s="388"/>
      <c r="J11" s="713">
        <f>SUM(K11:O11)</f>
        <v>160539.53</v>
      </c>
      <c r="K11" s="388">
        <v>77853.7</v>
      </c>
      <c r="L11" s="388">
        <v>61498</v>
      </c>
      <c r="M11" s="388">
        <v>13870.71</v>
      </c>
      <c r="N11" s="388">
        <v>7313.16</v>
      </c>
      <c r="O11" s="388">
        <v>3.96</v>
      </c>
      <c r="P11" s="358"/>
      <c r="Q11" s="358"/>
      <c r="R11" s="358"/>
      <c r="U11" s="388"/>
      <c r="V11" s="388"/>
      <c r="W11" s="388"/>
      <c r="X11" s="388"/>
      <c r="Y11" s="388"/>
    </row>
    <row r="12" spans="1:25" ht="13.25" customHeight="1">
      <c r="A12" s="357"/>
      <c r="B12" s="450">
        <v>2008</v>
      </c>
      <c r="C12" s="713">
        <f t="shared" ref="C12:C20" si="0">E12+J12</f>
        <v>1734485.7971279395</v>
      </c>
      <c r="D12" s="493"/>
      <c r="E12" s="713">
        <f t="shared" ref="E12:E20" si="1">SUM(F12:H12)</f>
        <v>1565528.2071279394</v>
      </c>
      <c r="F12" s="388">
        <v>614295.0248572774</v>
      </c>
      <c r="G12" s="388">
        <v>100479.98227066199</v>
      </c>
      <c r="H12" s="388">
        <v>850753.20000000007</v>
      </c>
      <c r="I12" s="388"/>
      <c r="J12" s="713">
        <f t="shared" ref="J12:J20" si="2">SUM(K12:O12)</f>
        <v>168957.59000000003</v>
      </c>
      <c r="K12" s="388">
        <v>83128.62</v>
      </c>
      <c r="L12" s="388">
        <v>47816</v>
      </c>
      <c r="M12" s="388">
        <v>29932.79</v>
      </c>
      <c r="N12" s="388">
        <v>8042.54</v>
      </c>
      <c r="O12" s="388">
        <v>37.64</v>
      </c>
      <c r="P12" s="358"/>
      <c r="Q12" s="358"/>
      <c r="R12" s="358"/>
      <c r="U12" s="388"/>
      <c r="V12" s="388"/>
      <c r="W12" s="388"/>
      <c r="X12" s="388"/>
      <c r="Y12" s="388"/>
    </row>
    <row r="13" spans="1:25" ht="13.25" customHeight="1">
      <c r="A13" s="357"/>
      <c r="B13" s="450">
        <v>2009</v>
      </c>
      <c r="C13" s="713">
        <f t="shared" si="0"/>
        <v>1828015.6218322685</v>
      </c>
      <c r="D13" s="493"/>
      <c r="E13" s="713">
        <f t="shared" si="1"/>
        <v>1652112.3218322685</v>
      </c>
      <c r="F13" s="388">
        <v>742737.92183226848</v>
      </c>
      <c r="G13" s="388">
        <v>110077</v>
      </c>
      <c r="H13" s="388">
        <v>799297.4</v>
      </c>
      <c r="I13" s="388"/>
      <c r="J13" s="713">
        <f t="shared" si="2"/>
        <v>175903.30000000002</v>
      </c>
      <c r="K13" s="388">
        <v>92891.02</v>
      </c>
      <c r="L13" s="388">
        <v>58104.5</v>
      </c>
      <c r="M13" s="388">
        <v>16755.32</v>
      </c>
      <c r="N13" s="388">
        <v>8152.46</v>
      </c>
      <c r="O13" s="388">
        <v>0</v>
      </c>
      <c r="P13" s="358"/>
      <c r="Q13" s="358"/>
      <c r="R13" s="358"/>
      <c r="U13" s="388"/>
      <c r="V13" s="388"/>
      <c r="W13" s="388"/>
      <c r="X13" s="388"/>
      <c r="Y13" s="388"/>
    </row>
    <row r="14" spans="1:25" ht="13.25" customHeight="1">
      <c r="A14" s="357"/>
      <c r="B14" s="450">
        <v>2010</v>
      </c>
      <c r="C14" s="713">
        <f t="shared" si="0"/>
        <v>1937365.8905932233</v>
      </c>
      <c r="D14" s="493"/>
      <c r="E14" s="713">
        <f t="shared" si="1"/>
        <v>1678372.0905932232</v>
      </c>
      <c r="F14" s="388">
        <v>649309.49059322313</v>
      </c>
      <c r="G14" s="388">
        <v>126924</v>
      </c>
      <c r="H14" s="388">
        <v>902138.60000000009</v>
      </c>
      <c r="I14" s="388"/>
      <c r="J14" s="713">
        <f t="shared" si="2"/>
        <v>258993.80000000002</v>
      </c>
      <c r="K14" s="388">
        <v>140077.39000000001</v>
      </c>
      <c r="L14" s="388">
        <v>84932.6</v>
      </c>
      <c r="M14" s="388">
        <v>22822.19</v>
      </c>
      <c r="N14" s="388">
        <v>11161.62</v>
      </c>
      <c r="O14" s="388">
        <v>0</v>
      </c>
      <c r="P14" s="358"/>
      <c r="Q14" s="358"/>
      <c r="R14" s="358"/>
      <c r="U14" s="388"/>
      <c r="V14" s="388"/>
      <c r="W14" s="388"/>
      <c r="X14" s="388"/>
      <c r="Y14" s="388"/>
    </row>
    <row r="15" spans="1:25" ht="13.25" customHeight="1">
      <c r="A15" s="357"/>
      <c r="B15" s="450">
        <v>2011</v>
      </c>
      <c r="C15" s="713">
        <f t="shared" si="0"/>
        <v>1992741.5962142714</v>
      </c>
      <c r="D15" s="493"/>
      <c r="E15" s="713">
        <f t="shared" si="1"/>
        <v>1755528.6562142714</v>
      </c>
      <c r="F15" s="388">
        <v>705017.11221427133</v>
      </c>
      <c r="G15" s="388">
        <v>126616</v>
      </c>
      <c r="H15" s="388">
        <v>923895.54400000011</v>
      </c>
      <c r="I15" s="388"/>
      <c r="J15" s="713">
        <f t="shared" si="2"/>
        <v>237212.94</v>
      </c>
      <c r="K15" s="388">
        <v>106709.1</v>
      </c>
      <c r="L15" s="388">
        <v>88374.1</v>
      </c>
      <c r="M15" s="388">
        <v>33657.660000000003</v>
      </c>
      <c r="N15" s="388">
        <v>8472.08</v>
      </c>
      <c r="O15" s="388">
        <v>0</v>
      </c>
      <c r="P15" s="358"/>
      <c r="Q15" s="358"/>
      <c r="R15" s="358"/>
      <c r="U15" s="388"/>
      <c r="V15" s="388"/>
      <c r="W15" s="388"/>
      <c r="X15" s="388"/>
      <c r="Y15" s="388"/>
    </row>
    <row r="16" spans="1:25" ht="13.25" customHeight="1">
      <c r="A16" s="357"/>
      <c r="B16" s="450">
        <v>2012</v>
      </c>
      <c r="C16" s="713">
        <f t="shared" si="0"/>
        <v>2267828.9213017663</v>
      </c>
      <c r="D16" s="493"/>
      <c r="E16" s="713">
        <f t="shared" si="1"/>
        <v>1790669.6513017665</v>
      </c>
      <c r="F16" s="388">
        <v>690076.6513017664</v>
      </c>
      <c r="G16" s="388">
        <v>130591</v>
      </c>
      <c r="H16" s="388">
        <v>970002.00000000012</v>
      </c>
      <c r="I16" s="388"/>
      <c r="J16" s="713">
        <f t="shared" si="2"/>
        <v>477159.27</v>
      </c>
      <c r="K16" s="388">
        <v>214696.71</v>
      </c>
      <c r="L16" s="388">
        <v>214467.9</v>
      </c>
      <c r="M16" s="388">
        <v>38195.879999999997</v>
      </c>
      <c r="N16" s="388">
        <v>9798.7800000000007</v>
      </c>
      <c r="O16" s="388">
        <v>0</v>
      </c>
      <c r="P16" s="358"/>
      <c r="Q16" s="358"/>
      <c r="R16" s="358"/>
      <c r="U16" s="388"/>
      <c r="V16" s="388"/>
      <c r="W16" s="388"/>
      <c r="X16" s="388"/>
      <c r="Y16" s="388"/>
    </row>
    <row r="17" spans="1:25" ht="13.25" customHeight="1">
      <c r="A17" s="357"/>
      <c r="B17" s="450">
        <v>2013</v>
      </c>
      <c r="C17" s="713">
        <f t="shared" si="0"/>
        <v>2128930.1037818054</v>
      </c>
      <c r="D17" s="493"/>
      <c r="E17" s="713">
        <f t="shared" si="1"/>
        <v>1807805.9137818054</v>
      </c>
      <c r="F17" s="388">
        <v>657694.11378180538</v>
      </c>
      <c r="G17" s="388">
        <v>133758</v>
      </c>
      <c r="H17" s="388">
        <v>1016353.8</v>
      </c>
      <c r="I17" s="388"/>
      <c r="J17" s="713">
        <f t="shared" si="2"/>
        <v>321124.19000000006</v>
      </c>
      <c r="K17" s="388">
        <v>138680.34</v>
      </c>
      <c r="L17" s="388">
        <v>136471.20000000001</v>
      </c>
      <c r="M17" s="388">
        <v>36205.769999999997</v>
      </c>
      <c r="N17" s="388">
        <v>9766.8799999999992</v>
      </c>
      <c r="O17" s="388">
        <v>0</v>
      </c>
      <c r="P17" s="358"/>
      <c r="Q17" s="358"/>
      <c r="R17" s="358"/>
      <c r="U17" s="388"/>
      <c r="V17" s="388"/>
      <c r="W17" s="388"/>
      <c r="X17" s="388"/>
      <c r="Y17" s="388"/>
    </row>
    <row r="18" spans="1:25" ht="13.25" customHeight="1">
      <c r="A18" s="357"/>
      <c r="B18" s="450">
        <v>2014</v>
      </c>
      <c r="C18" s="713">
        <f t="shared" si="0"/>
        <v>2292587.82628723</v>
      </c>
      <c r="D18" s="493"/>
      <c r="E18" s="713">
        <f t="shared" si="1"/>
        <v>1840225.9962872302</v>
      </c>
      <c r="F18" s="388">
        <v>672023.59628723003</v>
      </c>
      <c r="G18" s="388">
        <v>133758</v>
      </c>
      <c r="H18" s="388">
        <v>1034444.4000000001</v>
      </c>
      <c r="I18" s="388"/>
      <c r="J18" s="713">
        <f t="shared" si="2"/>
        <v>452361.83</v>
      </c>
      <c r="K18" s="388">
        <v>217804.09</v>
      </c>
      <c r="L18" s="388">
        <v>176705.8</v>
      </c>
      <c r="M18" s="388">
        <v>49875.199999999997</v>
      </c>
      <c r="N18" s="388">
        <v>7976.74</v>
      </c>
      <c r="O18" s="388">
        <v>0</v>
      </c>
      <c r="P18" s="358"/>
      <c r="Q18" s="358"/>
      <c r="R18" s="358"/>
      <c r="U18" s="388"/>
      <c r="V18" s="388"/>
      <c r="W18" s="388"/>
      <c r="X18" s="388"/>
      <c r="Y18" s="388"/>
    </row>
    <row r="19" spans="1:25" ht="13.25" customHeight="1">
      <c r="A19" s="357"/>
      <c r="B19" s="450">
        <v>2015</v>
      </c>
      <c r="C19" s="713">
        <f t="shared" si="0"/>
        <v>2297373.8856046489</v>
      </c>
      <c r="D19" s="493"/>
      <c r="E19" s="713">
        <f t="shared" si="1"/>
        <v>1903176.7256046487</v>
      </c>
      <c r="F19" s="388">
        <v>761492.19658307137</v>
      </c>
      <c r="G19" s="388">
        <v>143437.26490692</v>
      </c>
      <c r="H19" s="388">
        <v>998247.2641146573</v>
      </c>
      <c r="I19" s="388"/>
      <c r="J19" s="713">
        <f t="shared" si="2"/>
        <v>394197.16000000003</v>
      </c>
      <c r="K19" s="388">
        <v>166926.12</v>
      </c>
      <c r="L19" s="388">
        <v>163494.20000000001</v>
      </c>
      <c r="M19" s="388">
        <v>55966.080000000002</v>
      </c>
      <c r="N19" s="388">
        <v>7810.76</v>
      </c>
      <c r="O19" s="388">
        <v>0</v>
      </c>
      <c r="P19" s="358"/>
      <c r="Q19" s="358"/>
      <c r="R19" s="358"/>
      <c r="U19" s="388"/>
      <c r="V19" s="388"/>
      <c r="W19" s="388"/>
      <c r="X19" s="388"/>
      <c r="Y19" s="388"/>
    </row>
    <row r="20" spans="1:25" ht="13.25" customHeight="1">
      <c r="A20" s="357"/>
      <c r="B20" s="450">
        <v>2016</v>
      </c>
      <c r="C20" s="713">
        <f t="shared" si="0"/>
        <v>2385094.9111687611</v>
      </c>
      <c r="D20" s="493"/>
      <c r="E20" s="713">
        <f t="shared" si="1"/>
        <v>1954231.7411687609</v>
      </c>
      <c r="F20" s="388">
        <v>787491.48211196112</v>
      </c>
      <c r="G20" s="388">
        <v>159259.82905679996</v>
      </c>
      <c r="H20" s="388">
        <v>1007480.4299999998</v>
      </c>
      <c r="I20" s="388"/>
      <c r="J20" s="713">
        <f t="shared" si="2"/>
        <v>430863.17000000004</v>
      </c>
      <c r="K20" s="388">
        <v>183910.85</v>
      </c>
      <c r="L20" s="388">
        <v>188044.1</v>
      </c>
      <c r="M20" s="388">
        <v>49622.58</v>
      </c>
      <c r="N20" s="388">
        <v>9285.64</v>
      </c>
      <c r="O20" s="388">
        <v>0</v>
      </c>
      <c r="P20" s="358"/>
      <c r="Q20" s="358"/>
      <c r="R20" s="358"/>
      <c r="U20" s="388"/>
      <c r="V20" s="388"/>
      <c r="W20" s="388"/>
      <c r="X20" s="388"/>
      <c r="Y20" s="388"/>
    </row>
    <row r="21" spans="1:25" ht="13.25" customHeight="1">
      <c r="A21" s="357"/>
      <c r="B21" s="450">
        <v>2017</v>
      </c>
      <c r="C21" s="713">
        <v>2445401.6005432447</v>
      </c>
      <c r="D21" s="493"/>
      <c r="E21" s="713">
        <v>2013673.7182955265</v>
      </c>
      <c r="F21" s="388">
        <v>879838.29279272642</v>
      </c>
      <c r="G21" s="388">
        <v>168649.45870279998</v>
      </c>
      <c r="H21" s="388">
        <v>965185.96680000005</v>
      </c>
      <c r="I21" s="388"/>
      <c r="J21" s="713">
        <v>431727.88224771805</v>
      </c>
      <c r="K21" s="388">
        <v>185979.32</v>
      </c>
      <c r="L21" s="388">
        <v>179968</v>
      </c>
      <c r="M21" s="388">
        <v>58209.25</v>
      </c>
      <c r="N21" s="388">
        <v>7571.3</v>
      </c>
      <c r="O21" s="388">
        <v>0</v>
      </c>
      <c r="P21" s="358"/>
      <c r="Q21" s="358"/>
      <c r="R21" s="358"/>
      <c r="U21" s="388"/>
      <c r="V21" s="388"/>
      <c r="W21" s="388"/>
      <c r="X21" s="388"/>
      <c r="Y21" s="388"/>
    </row>
    <row r="22" spans="1:25" ht="13.25" customHeight="1">
      <c r="A22" s="357"/>
      <c r="B22" s="450" t="s">
        <v>197</v>
      </c>
      <c r="C22" s="713">
        <v>2613117.3787831371</v>
      </c>
      <c r="D22" s="493"/>
      <c r="E22" s="713">
        <v>2067142.5065071944</v>
      </c>
      <c r="F22" s="388">
        <v>902351.18868039432</v>
      </c>
      <c r="G22" s="388">
        <v>163706.68162679998</v>
      </c>
      <c r="H22" s="388">
        <v>1001084.6362000001</v>
      </c>
      <c r="I22" s="388"/>
      <c r="J22" s="713">
        <v>545974.8722759427</v>
      </c>
      <c r="K22" s="388">
        <v>237743.78</v>
      </c>
      <c r="L22" s="388">
        <v>218940</v>
      </c>
      <c r="M22" s="388">
        <v>77851.759999999995</v>
      </c>
      <c r="N22" s="388">
        <v>9937.17</v>
      </c>
      <c r="O22" s="388">
        <v>1502.17</v>
      </c>
      <c r="P22" s="358"/>
      <c r="Q22" s="358"/>
      <c r="R22" s="358"/>
      <c r="U22" s="388"/>
      <c r="V22" s="388"/>
      <c r="W22" s="388"/>
      <c r="X22" s="388"/>
      <c r="Y22" s="388"/>
    </row>
    <row r="23" spans="1:25" ht="13.25" customHeight="1">
      <c r="A23" s="357"/>
      <c r="B23" s="450" t="s">
        <v>348</v>
      </c>
      <c r="C23" s="713">
        <v>2543478.8730534455</v>
      </c>
      <c r="D23" s="493"/>
      <c r="E23" s="713">
        <v>2082142.5065071899</v>
      </c>
      <c r="F23" s="388">
        <v>915878.13173239003</v>
      </c>
      <c r="G23" s="388">
        <v>164731.26452679999</v>
      </c>
      <c r="H23" s="388">
        <v>1001533.110248</v>
      </c>
      <c r="I23" s="388"/>
      <c r="J23" s="713">
        <v>461336.36654625548</v>
      </c>
      <c r="K23" s="388">
        <v>188216.75</v>
      </c>
      <c r="L23" s="388">
        <v>215412.45</v>
      </c>
      <c r="M23" s="388">
        <v>45378.84</v>
      </c>
      <c r="N23" s="388">
        <v>9468.2800000000007</v>
      </c>
      <c r="O23" s="388">
        <v>2860.04</v>
      </c>
      <c r="P23" s="358"/>
      <c r="Q23" s="358"/>
      <c r="R23" s="358"/>
      <c r="U23" s="388"/>
      <c r="V23" s="388"/>
      <c r="W23" s="388"/>
      <c r="X23" s="388"/>
      <c r="Y23" s="388"/>
    </row>
    <row r="24" spans="1:25" ht="13.25" customHeight="1">
      <c r="A24" s="357"/>
      <c r="B24" s="450" t="s">
        <v>352</v>
      </c>
      <c r="C24" s="713">
        <v>2618152.7592673395</v>
      </c>
      <c r="D24" s="493"/>
      <c r="E24" s="713">
        <v>2104851.2000000002</v>
      </c>
      <c r="F24" s="388">
        <v>930500</v>
      </c>
      <c r="G24" s="388">
        <v>152306</v>
      </c>
      <c r="H24" s="388">
        <v>1022045.2000000001</v>
      </c>
      <c r="I24" s="388"/>
      <c r="J24" s="713">
        <v>513301.55926733918</v>
      </c>
      <c r="K24" s="388">
        <v>195646.05</v>
      </c>
      <c r="L24" s="388">
        <v>216110</v>
      </c>
      <c r="M24" s="388">
        <v>81185.320000000007</v>
      </c>
      <c r="N24" s="388">
        <v>12311</v>
      </c>
      <c r="O24" s="388">
        <v>8049.18</v>
      </c>
      <c r="P24" s="358"/>
      <c r="Q24" s="358"/>
      <c r="R24" s="358"/>
      <c r="U24" s="388"/>
      <c r="V24" s="388"/>
      <c r="W24" s="388"/>
      <c r="X24" s="388"/>
      <c r="Y24" s="388"/>
    </row>
    <row r="25" spans="1:25" ht="13.25" customHeight="1">
      <c r="A25" s="357"/>
      <c r="B25" s="450">
        <v>2021</v>
      </c>
      <c r="C25" s="713">
        <v>2707314.0275722267</v>
      </c>
      <c r="D25" s="493"/>
      <c r="E25" s="713">
        <v>2111947.5097544296</v>
      </c>
      <c r="F25" s="388">
        <v>951870.10975442955</v>
      </c>
      <c r="G25" s="388">
        <v>148469</v>
      </c>
      <c r="H25" s="388">
        <v>1011608.4000000001</v>
      </c>
      <c r="I25" s="388"/>
      <c r="J25" s="713">
        <v>595366.51781779737</v>
      </c>
      <c r="K25" s="388">
        <v>267869.21999999997</v>
      </c>
      <c r="L25" s="388">
        <v>257180</v>
      </c>
      <c r="M25" s="388">
        <v>49205.36</v>
      </c>
      <c r="N25" s="388">
        <v>14624.55</v>
      </c>
      <c r="O25" s="388">
        <v>6487.38</v>
      </c>
      <c r="P25" s="358"/>
      <c r="Q25" s="358"/>
      <c r="R25" s="358"/>
      <c r="U25" s="388"/>
      <c r="V25" s="388"/>
      <c r="W25" s="388"/>
      <c r="X25" s="388"/>
      <c r="Y25" s="388"/>
    </row>
    <row r="26" spans="1:25" ht="13.25" customHeight="1" thickBot="1">
      <c r="A26" s="357"/>
      <c r="B26" s="451" t="s">
        <v>616</v>
      </c>
      <c r="C26" s="714">
        <v>2600825.5521613345</v>
      </c>
      <c r="D26" s="494"/>
      <c r="E26" s="714">
        <v>2034179.2085489999</v>
      </c>
      <c r="F26" s="389">
        <v>1020904.208549</v>
      </c>
      <c r="G26" s="389">
        <v>154109</v>
      </c>
      <c r="H26" s="389">
        <v>859166.00000000012</v>
      </c>
      <c r="I26" s="389"/>
      <c r="J26" s="714">
        <v>566646.34361233469</v>
      </c>
      <c r="K26" s="389">
        <v>276149.90999999997</v>
      </c>
      <c r="L26" s="389">
        <v>222990</v>
      </c>
      <c r="M26" s="389">
        <v>52854.43</v>
      </c>
      <c r="N26" s="389">
        <v>9576.6</v>
      </c>
      <c r="O26" s="389">
        <v>5075.3999999999996</v>
      </c>
      <c r="P26" s="358"/>
      <c r="Q26" s="358"/>
      <c r="R26" s="358"/>
      <c r="U26" s="388"/>
      <c r="V26" s="388"/>
      <c r="W26" s="388"/>
      <c r="X26" s="388"/>
      <c r="Y26" s="388"/>
    </row>
    <row r="27" spans="1:25" ht="9" customHeight="1">
      <c r="A27" s="354"/>
      <c r="B27" s="857" t="s">
        <v>416</v>
      </c>
      <c r="C27" s="858"/>
      <c r="D27" s="858"/>
      <c r="E27" s="858"/>
      <c r="F27" s="858"/>
      <c r="G27" s="858"/>
      <c r="H27" s="858"/>
      <c r="I27" s="858"/>
      <c r="J27" s="858"/>
      <c r="K27" s="858"/>
      <c r="L27" s="383"/>
      <c r="M27" s="383"/>
      <c r="N27" s="383"/>
      <c r="O27" s="383"/>
      <c r="P27" s="384"/>
      <c r="U27" s="388">
        <f t="shared" ref="U27" si="3">ROUND(K27,2)</f>
        <v>0</v>
      </c>
    </row>
    <row r="28" spans="1:25" ht="9" customHeight="1">
      <c r="A28" s="354"/>
      <c r="B28" s="841" t="s">
        <v>359</v>
      </c>
      <c r="C28" s="836"/>
      <c r="D28" s="836"/>
      <c r="E28" s="854"/>
      <c r="F28" s="858"/>
      <c r="G28" s="858"/>
      <c r="H28" s="858"/>
      <c r="I28" s="858"/>
      <c r="J28" s="858"/>
      <c r="K28" s="858"/>
      <c r="L28" s="383"/>
      <c r="M28" s="383"/>
      <c r="N28" s="383"/>
      <c r="O28" s="384"/>
      <c r="P28" s="384"/>
    </row>
    <row r="29" spans="1:25" ht="9" customHeight="1">
      <c r="A29" s="354"/>
      <c r="B29" s="780" t="s">
        <v>358</v>
      </c>
      <c r="C29" s="836"/>
      <c r="D29" s="836"/>
      <c r="E29" s="854"/>
      <c r="F29" s="858"/>
      <c r="G29" s="858"/>
      <c r="H29" s="858"/>
      <c r="I29" s="858"/>
      <c r="J29" s="858"/>
      <c r="K29" s="858"/>
      <c r="L29" s="383"/>
      <c r="M29" s="383"/>
      <c r="N29" s="383"/>
      <c r="O29" s="384"/>
      <c r="P29" s="384"/>
    </row>
    <row r="30" spans="1:25" ht="9" customHeight="1">
      <c r="A30" s="354"/>
      <c r="B30" s="780"/>
      <c r="C30" s="836"/>
      <c r="D30" s="836"/>
      <c r="E30" s="854"/>
      <c r="F30" s="858"/>
      <c r="G30" s="858"/>
      <c r="H30" s="858"/>
      <c r="I30" s="858"/>
      <c r="J30" s="858"/>
      <c r="K30" s="858"/>
      <c r="L30" s="383"/>
      <c r="M30" s="383"/>
      <c r="N30" s="383"/>
      <c r="O30" s="384"/>
      <c r="P30" s="384"/>
    </row>
    <row r="31" spans="1:25" ht="10.25" customHeight="1">
      <c r="A31" s="354"/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  <c r="O31" s="384"/>
      <c r="P31" s="384"/>
    </row>
    <row r="32" spans="1:25" ht="15" customHeight="1">
      <c r="A32" s="387" t="s">
        <v>568</v>
      </c>
      <c r="B32" s="385"/>
      <c r="C32" s="385"/>
      <c r="D32" s="385"/>
      <c r="E32" s="385"/>
      <c r="F32" s="385"/>
    </row>
    <row r="33" spans="1:15" ht="15" customHeight="1">
      <c r="A33" s="317" t="s">
        <v>431</v>
      </c>
      <c r="B33" s="385"/>
      <c r="C33" s="385"/>
      <c r="D33" s="385"/>
      <c r="E33" s="385"/>
      <c r="F33" s="385"/>
    </row>
    <row r="34" spans="1:15" ht="4.25" customHeight="1" thickBot="1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0"/>
    </row>
    <row r="35" spans="1:15" ht="15" customHeight="1">
      <c r="A35" s="705"/>
      <c r="B35" s="706"/>
      <c r="C35" s="705"/>
      <c r="D35" s="710"/>
      <c r="E35" s="989" t="s">
        <v>278</v>
      </c>
      <c r="F35" s="989"/>
      <c r="G35" s="989"/>
      <c r="H35" s="989"/>
      <c r="I35" s="710"/>
      <c r="J35" s="989" t="s">
        <v>279</v>
      </c>
      <c r="K35" s="989"/>
      <c r="L35" s="989"/>
      <c r="M35" s="989"/>
      <c r="N35" s="989"/>
      <c r="O35" s="989"/>
    </row>
    <row r="36" spans="1:15" ht="10.25" customHeight="1">
      <c r="A36" s="710"/>
      <c r="B36" s="711"/>
      <c r="C36" s="710"/>
      <c r="D36" s="710"/>
      <c r="E36" s="706"/>
      <c r="F36" s="706"/>
      <c r="G36" s="706"/>
      <c r="H36" s="706"/>
      <c r="I36" s="706"/>
      <c r="J36" s="706"/>
      <c r="K36" s="706" t="s">
        <v>121</v>
      </c>
      <c r="L36" s="706" t="s">
        <v>122</v>
      </c>
      <c r="M36" s="706"/>
      <c r="N36" s="706"/>
      <c r="O36" s="706"/>
    </row>
    <row r="37" spans="1:15" ht="10.25" customHeight="1">
      <c r="A37" s="706" t="s">
        <v>111</v>
      </c>
      <c r="B37" s="711" t="s">
        <v>125</v>
      </c>
      <c r="C37" s="706" t="s">
        <v>109</v>
      </c>
      <c r="D37" s="706"/>
      <c r="E37" s="706"/>
      <c r="F37" s="706" t="s">
        <v>120</v>
      </c>
      <c r="G37" s="706" t="s">
        <v>190</v>
      </c>
      <c r="H37" s="706" t="s">
        <v>190</v>
      </c>
      <c r="I37" s="706"/>
      <c r="J37" s="706"/>
      <c r="K37" s="706" t="s">
        <v>341</v>
      </c>
      <c r="L37" s="706" t="s">
        <v>345</v>
      </c>
      <c r="M37" s="706" t="s">
        <v>123</v>
      </c>
      <c r="N37" s="706" t="s">
        <v>120</v>
      </c>
      <c r="O37" s="706" t="s">
        <v>190</v>
      </c>
    </row>
    <row r="38" spans="1:15" ht="10.25" customHeight="1">
      <c r="A38" s="710"/>
      <c r="B38" s="712" t="s">
        <v>133</v>
      </c>
      <c r="C38" s="710"/>
      <c r="D38" s="710"/>
      <c r="E38" s="706" t="s">
        <v>109</v>
      </c>
      <c r="F38" s="706" t="s">
        <v>194</v>
      </c>
      <c r="G38" s="706" t="s">
        <v>337</v>
      </c>
      <c r="H38" s="706" t="s">
        <v>339</v>
      </c>
      <c r="I38" s="706"/>
      <c r="J38" s="706" t="s">
        <v>109</v>
      </c>
      <c r="K38" s="706" t="s">
        <v>342</v>
      </c>
      <c r="L38" s="706" t="s">
        <v>121</v>
      </c>
      <c r="M38" s="706" t="s">
        <v>124</v>
      </c>
      <c r="N38" s="706" t="s">
        <v>343</v>
      </c>
      <c r="O38" s="706" t="s">
        <v>339</v>
      </c>
    </row>
    <row r="39" spans="1:15" ht="10.25" customHeight="1">
      <c r="A39" s="708"/>
      <c r="B39" s="707"/>
      <c r="C39" s="708"/>
      <c r="D39" s="708"/>
      <c r="E39" s="708"/>
      <c r="F39" s="708"/>
      <c r="G39" s="707" t="s">
        <v>338</v>
      </c>
      <c r="H39" s="707" t="s">
        <v>340</v>
      </c>
      <c r="I39" s="708"/>
      <c r="J39" s="708"/>
      <c r="K39" s="709" t="s">
        <v>191</v>
      </c>
      <c r="L39" s="709" t="s">
        <v>192</v>
      </c>
      <c r="M39" s="709" t="s">
        <v>193</v>
      </c>
      <c r="N39" s="707" t="s">
        <v>344</v>
      </c>
      <c r="O39" s="707" t="s">
        <v>340</v>
      </c>
    </row>
    <row r="40" spans="1:15" ht="13.25" customHeight="1">
      <c r="A40" s="450">
        <v>2007</v>
      </c>
      <c r="B40" s="390">
        <v>28481.901000000002</v>
      </c>
      <c r="C40" s="715">
        <f>E40+J40</f>
        <v>56.75</v>
      </c>
      <c r="D40" s="495"/>
      <c r="E40" s="715">
        <f>SUM(F40:H40)</f>
        <v>51.113999999999997</v>
      </c>
      <c r="F40" s="390">
        <v>19.274999999999999</v>
      </c>
      <c r="G40" s="390">
        <v>2.3849999999999998</v>
      </c>
      <c r="H40" s="390">
        <v>29.454000000000001</v>
      </c>
      <c r="I40" s="390"/>
      <c r="J40" s="715">
        <f>SUM(K40:O40)</f>
        <v>5.6359999999999992</v>
      </c>
      <c r="K40" s="390">
        <v>2.7330000000000001</v>
      </c>
      <c r="L40" s="390">
        <v>2.1589999999999998</v>
      </c>
      <c r="M40" s="390">
        <v>0.48699999999999999</v>
      </c>
      <c r="N40" s="390">
        <v>0.25700000000000001</v>
      </c>
      <c r="O40" s="390">
        <v>0</v>
      </c>
    </row>
    <row r="41" spans="1:15" ht="13.25" customHeight="1">
      <c r="A41" s="450">
        <v>2008</v>
      </c>
      <c r="B41" s="390">
        <v>28807.034</v>
      </c>
      <c r="C41" s="715">
        <f t="shared" ref="C41:C49" si="4">E41+J41</f>
        <v>60.210150453178336</v>
      </c>
      <c r="D41" s="495"/>
      <c r="E41" s="715">
        <f t="shared" ref="E41:E49" si="5">SUM(F41:H41)</f>
        <v>54.344999999999999</v>
      </c>
      <c r="F41" s="390">
        <v>21.324000000000002</v>
      </c>
      <c r="G41" s="390">
        <v>3.488</v>
      </c>
      <c r="H41" s="390">
        <v>29.533000000000001</v>
      </c>
      <c r="I41" s="390"/>
      <c r="J41" s="715">
        <v>5.8651504531783374</v>
      </c>
      <c r="K41" s="390">
        <v>2.8860000000000001</v>
      </c>
      <c r="L41" s="390">
        <v>1.66</v>
      </c>
      <c r="M41" s="390">
        <v>1.0389999999999999</v>
      </c>
      <c r="N41" s="390">
        <v>0.27900000000000003</v>
      </c>
      <c r="O41" s="390">
        <v>1E-3</v>
      </c>
    </row>
    <row r="42" spans="1:15" ht="13.25" customHeight="1">
      <c r="A42" s="450">
        <v>2009</v>
      </c>
      <c r="B42" s="390">
        <v>29132.012999999999</v>
      </c>
      <c r="C42" s="715">
        <f t="shared" si="4"/>
        <v>62.751000000000005</v>
      </c>
      <c r="D42" s="495"/>
      <c r="E42" s="715">
        <f t="shared" si="5"/>
        <v>56.712000000000003</v>
      </c>
      <c r="F42" s="390">
        <v>25.495999999999999</v>
      </c>
      <c r="G42" s="390">
        <v>3.7789999999999999</v>
      </c>
      <c r="H42" s="390">
        <v>27.437000000000001</v>
      </c>
      <c r="I42" s="390"/>
      <c r="J42" s="715">
        <f t="shared" ref="J42:J49" si="6">SUM(K42:O42)</f>
        <v>6.0390000000000006</v>
      </c>
      <c r="K42" s="390">
        <v>3.1890000000000001</v>
      </c>
      <c r="L42" s="390">
        <v>1.9950000000000001</v>
      </c>
      <c r="M42" s="390">
        <v>0.57499999999999996</v>
      </c>
      <c r="N42" s="390">
        <v>0.28000000000000003</v>
      </c>
      <c r="O42" s="390">
        <v>0</v>
      </c>
    </row>
    <row r="43" spans="1:15" ht="13.25" customHeight="1">
      <c r="A43" s="450">
        <v>2010</v>
      </c>
      <c r="B43" s="390">
        <v>29461.933000000001</v>
      </c>
      <c r="C43" s="715">
        <f t="shared" si="4"/>
        <v>65.759</v>
      </c>
      <c r="D43" s="495"/>
      <c r="E43" s="715">
        <f t="shared" si="5"/>
        <v>56.966999999999999</v>
      </c>
      <c r="F43" s="390">
        <v>22.039000000000001</v>
      </c>
      <c r="G43" s="390">
        <v>4.3079999999999998</v>
      </c>
      <c r="H43" s="390">
        <v>30.62</v>
      </c>
      <c r="I43" s="390"/>
      <c r="J43" s="715">
        <f t="shared" si="6"/>
        <v>8.7919999999999998</v>
      </c>
      <c r="K43" s="390">
        <v>4.7549999999999999</v>
      </c>
      <c r="L43" s="390">
        <v>2.883</v>
      </c>
      <c r="M43" s="390">
        <v>0.77500000000000002</v>
      </c>
      <c r="N43" s="390">
        <v>0.379</v>
      </c>
      <c r="O43" s="390">
        <v>0</v>
      </c>
    </row>
    <row r="44" spans="1:15" ht="13.25" customHeight="1">
      <c r="A44" s="450">
        <v>2011</v>
      </c>
      <c r="B44" s="390">
        <v>29797.694</v>
      </c>
      <c r="C44" s="715">
        <f t="shared" si="4"/>
        <v>66.876000000000005</v>
      </c>
      <c r="D44" s="495"/>
      <c r="E44" s="715">
        <f t="shared" si="5"/>
        <v>58.914999999999999</v>
      </c>
      <c r="F44" s="390">
        <v>23.66</v>
      </c>
      <c r="G44" s="390">
        <v>4.2489999999999997</v>
      </c>
      <c r="H44" s="390">
        <v>31.006</v>
      </c>
      <c r="I44" s="390"/>
      <c r="J44" s="715">
        <f t="shared" si="6"/>
        <v>7.9610000000000003</v>
      </c>
      <c r="K44" s="390">
        <v>3.581</v>
      </c>
      <c r="L44" s="390">
        <v>2.9660000000000002</v>
      </c>
      <c r="M44" s="390">
        <v>1.1299999999999999</v>
      </c>
      <c r="N44" s="390">
        <v>0.28399999999999997</v>
      </c>
      <c r="O44" s="390">
        <v>0</v>
      </c>
    </row>
    <row r="45" spans="1:15" ht="13.25" customHeight="1">
      <c r="A45" s="450">
        <v>2012</v>
      </c>
      <c r="B45" s="390">
        <v>30135.875</v>
      </c>
      <c r="C45" s="715">
        <f t="shared" si="4"/>
        <v>75.253</v>
      </c>
      <c r="D45" s="495"/>
      <c r="E45" s="715">
        <f t="shared" si="5"/>
        <v>59.42</v>
      </c>
      <c r="F45" s="390">
        <v>22.899000000000001</v>
      </c>
      <c r="G45" s="390">
        <v>4.3330000000000002</v>
      </c>
      <c r="H45" s="390">
        <v>32.188000000000002</v>
      </c>
      <c r="I45" s="390"/>
      <c r="J45" s="715">
        <f t="shared" si="6"/>
        <v>15.832999999999998</v>
      </c>
      <c r="K45" s="390">
        <v>7.1239999999999997</v>
      </c>
      <c r="L45" s="390">
        <v>7.117</v>
      </c>
      <c r="M45" s="390">
        <v>1.2669999999999999</v>
      </c>
      <c r="N45" s="390">
        <v>0.32500000000000001</v>
      </c>
      <c r="O45" s="390">
        <v>0</v>
      </c>
    </row>
    <row r="46" spans="1:15" ht="13.25" customHeight="1">
      <c r="A46" s="450">
        <v>2013</v>
      </c>
      <c r="B46" s="390">
        <v>30475.144</v>
      </c>
      <c r="C46" s="715">
        <f t="shared" si="4"/>
        <v>69.856999999999999</v>
      </c>
      <c r="D46" s="495"/>
      <c r="E46" s="715">
        <f t="shared" si="5"/>
        <v>59.32</v>
      </c>
      <c r="F46" s="390">
        <v>21.581</v>
      </c>
      <c r="G46" s="390">
        <v>4.3890000000000002</v>
      </c>
      <c r="H46" s="390">
        <v>33.35</v>
      </c>
      <c r="I46" s="390"/>
      <c r="J46" s="715">
        <f t="shared" si="6"/>
        <v>10.537000000000001</v>
      </c>
      <c r="K46" s="390">
        <v>4.5510000000000002</v>
      </c>
      <c r="L46" s="390">
        <v>4.4779999999999998</v>
      </c>
      <c r="M46" s="390">
        <v>1.1879999999999999</v>
      </c>
      <c r="N46" s="390">
        <v>0.32</v>
      </c>
      <c r="O46" s="390">
        <v>0</v>
      </c>
    </row>
    <row r="47" spans="1:15" ht="13.25" customHeight="1">
      <c r="A47" s="450">
        <v>2014</v>
      </c>
      <c r="B47" s="390">
        <v>30814.174999999999</v>
      </c>
      <c r="C47" s="715">
        <f t="shared" si="4"/>
        <v>74.400999999999996</v>
      </c>
      <c r="D47" s="495"/>
      <c r="E47" s="715">
        <f t="shared" si="5"/>
        <v>59.72</v>
      </c>
      <c r="F47" s="390">
        <v>21.809000000000001</v>
      </c>
      <c r="G47" s="390">
        <v>4.3410000000000002</v>
      </c>
      <c r="H47" s="390">
        <v>33.57</v>
      </c>
      <c r="I47" s="390"/>
      <c r="J47" s="715">
        <f t="shared" si="6"/>
        <v>14.681000000000001</v>
      </c>
      <c r="K47" s="390">
        <v>7.0679999999999996</v>
      </c>
      <c r="L47" s="390">
        <v>5.7350000000000003</v>
      </c>
      <c r="M47" s="390">
        <v>1.619</v>
      </c>
      <c r="N47" s="390">
        <v>0.25900000000000001</v>
      </c>
      <c r="O47" s="390">
        <v>0</v>
      </c>
    </row>
    <row r="48" spans="1:15" ht="13.25" customHeight="1">
      <c r="A48" s="450">
        <v>2015</v>
      </c>
      <c r="B48" s="390">
        <v>31151.643</v>
      </c>
      <c r="C48" s="715">
        <f t="shared" si="4"/>
        <v>73.748999999999995</v>
      </c>
      <c r="D48" s="495"/>
      <c r="E48" s="715">
        <f t="shared" si="5"/>
        <v>61.094000000000001</v>
      </c>
      <c r="F48" s="390">
        <v>24.445</v>
      </c>
      <c r="G48" s="390">
        <v>4.6040000000000001</v>
      </c>
      <c r="H48" s="390">
        <v>32.045000000000002</v>
      </c>
      <c r="I48" s="390"/>
      <c r="J48" s="715">
        <f t="shared" si="6"/>
        <v>12.654999999999999</v>
      </c>
      <c r="K48" s="390">
        <v>5.359</v>
      </c>
      <c r="L48" s="390">
        <v>5.2480000000000002</v>
      </c>
      <c r="M48" s="390">
        <v>1.7969999999999999</v>
      </c>
      <c r="N48" s="390">
        <v>0.251</v>
      </c>
      <c r="O48" s="390">
        <v>0</v>
      </c>
    </row>
    <row r="49" spans="1:15" ht="13.25" customHeight="1">
      <c r="A49" s="450">
        <v>2016</v>
      </c>
      <c r="B49" s="390">
        <v>31488.625</v>
      </c>
      <c r="C49" s="715">
        <f t="shared" si="4"/>
        <v>75.745999999999995</v>
      </c>
      <c r="D49" s="495"/>
      <c r="E49" s="715">
        <f t="shared" si="5"/>
        <v>62.061999999999998</v>
      </c>
      <c r="F49" s="390">
        <v>25.009</v>
      </c>
      <c r="G49" s="390">
        <v>5.0579999999999998</v>
      </c>
      <c r="H49" s="390">
        <v>31.995000000000001</v>
      </c>
      <c r="I49" s="390"/>
      <c r="J49" s="715">
        <f t="shared" si="6"/>
        <v>13.684000000000001</v>
      </c>
      <c r="K49" s="390">
        <v>5.8410000000000002</v>
      </c>
      <c r="L49" s="390">
        <v>5.9720000000000004</v>
      </c>
      <c r="M49" s="390">
        <v>1.5760000000000001</v>
      </c>
      <c r="N49" s="390">
        <v>0.29499999999999998</v>
      </c>
      <c r="O49" s="390">
        <v>0</v>
      </c>
    </row>
    <row r="50" spans="1:15" ht="13.25" customHeight="1">
      <c r="A50" s="450">
        <v>2017</v>
      </c>
      <c r="B50" s="390">
        <v>31826.018</v>
      </c>
      <c r="C50" s="715">
        <v>76.836555567311137</v>
      </c>
      <c r="D50" s="495"/>
      <c r="E50" s="715">
        <v>63.271305832087648</v>
      </c>
      <c r="F50" s="390">
        <v>27.645</v>
      </c>
      <c r="G50" s="390">
        <v>5.2990000000000004</v>
      </c>
      <c r="H50" s="390">
        <v>30.327000000000002</v>
      </c>
      <c r="I50" s="390"/>
      <c r="J50" s="715">
        <v>13.565249735223489</v>
      </c>
      <c r="K50" s="390">
        <v>5.8440000000000003</v>
      </c>
      <c r="L50" s="390">
        <v>5.6550000000000002</v>
      </c>
      <c r="M50" s="390">
        <v>1.829</v>
      </c>
      <c r="N50" s="390">
        <v>0.23799999999999999</v>
      </c>
      <c r="O50" s="390">
        <v>0</v>
      </c>
    </row>
    <row r="51" spans="1:15" ht="13.25" customHeight="1">
      <c r="A51" s="357" t="s">
        <v>197</v>
      </c>
      <c r="B51" s="390">
        <v>32162.184000000001</v>
      </c>
      <c r="C51" s="715">
        <v>81.248132240743885</v>
      </c>
      <c r="D51" s="495"/>
      <c r="E51" s="715">
        <v>64.272454461027721</v>
      </c>
      <c r="F51" s="390">
        <v>28.056000000000001</v>
      </c>
      <c r="G51" s="390">
        <v>5.09</v>
      </c>
      <c r="H51" s="390">
        <v>31.126000000000001</v>
      </c>
      <c r="I51" s="390"/>
      <c r="J51" s="715">
        <v>16.975677779716165</v>
      </c>
      <c r="K51" s="390">
        <v>7.3920000000000003</v>
      </c>
      <c r="L51" s="390">
        <v>6.8070000000000004</v>
      </c>
      <c r="M51" s="390">
        <v>2.4209999999999998</v>
      </c>
      <c r="N51" s="390">
        <v>0.309</v>
      </c>
      <c r="O51" s="391">
        <v>4.7E-2</v>
      </c>
    </row>
    <row r="52" spans="1:15" ht="13.25" customHeight="1">
      <c r="A52" s="357" t="s">
        <v>348</v>
      </c>
      <c r="B52" s="390">
        <v>32495.51</v>
      </c>
      <c r="C52" s="715">
        <v>78.271701938312276</v>
      </c>
      <c r="D52" s="495"/>
      <c r="E52" s="715">
        <v>64.074775453814709</v>
      </c>
      <c r="F52" s="390">
        <v>28.184999999999999</v>
      </c>
      <c r="G52" s="390">
        <v>5.069</v>
      </c>
      <c r="H52" s="390">
        <v>30.821000000000002</v>
      </c>
      <c r="I52" s="390"/>
      <c r="J52" s="715">
        <v>14.196926484497565</v>
      </c>
      <c r="K52" s="390">
        <v>5.7919999999999998</v>
      </c>
      <c r="L52" s="390">
        <v>6.6289999999999996</v>
      </c>
      <c r="M52" s="390">
        <v>1.3959999999999999</v>
      </c>
      <c r="N52" s="390">
        <v>0.29099999999999998</v>
      </c>
      <c r="O52" s="390">
        <v>8.7999999999999995E-2</v>
      </c>
    </row>
    <row r="53" spans="1:15" ht="13.25" customHeight="1">
      <c r="A53" s="357" t="s">
        <v>352</v>
      </c>
      <c r="B53" s="390">
        <v>32824.358</v>
      </c>
      <c r="C53" s="715">
        <v>79.762497084248807</v>
      </c>
      <c r="D53" s="495"/>
      <c r="E53" s="715">
        <v>64.124672293666791</v>
      </c>
      <c r="F53" s="390">
        <v>28.347999999999999</v>
      </c>
      <c r="G53" s="390">
        <v>4.6399999999999997</v>
      </c>
      <c r="H53" s="390">
        <v>31.137</v>
      </c>
      <c r="I53" s="390"/>
      <c r="J53" s="715">
        <v>15.637824790582018</v>
      </c>
      <c r="K53" s="390">
        <v>5.96</v>
      </c>
      <c r="L53" s="390">
        <v>6.5839999999999996</v>
      </c>
      <c r="M53" s="390">
        <v>2.4729999999999999</v>
      </c>
      <c r="N53" s="390">
        <v>0.375</v>
      </c>
      <c r="O53" s="390">
        <v>0.245</v>
      </c>
    </row>
    <row r="54" spans="1:15" ht="13.25" customHeight="1">
      <c r="A54" s="357" t="s">
        <v>395</v>
      </c>
      <c r="B54" s="390">
        <v>33149.016000000003</v>
      </c>
      <c r="C54" s="715">
        <v>81.671022378830997</v>
      </c>
      <c r="D54" s="495"/>
      <c r="E54" s="715">
        <v>63.710714965247519</v>
      </c>
      <c r="F54" s="390">
        <v>28.715</v>
      </c>
      <c r="G54" s="390">
        <v>4.4790000000000001</v>
      </c>
      <c r="H54" s="390">
        <v>30.516999999999999</v>
      </c>
      <c r="I54" s="390"/>
      <c r="J54" s="715">
        <v>17.960307413583475</v>
      </c>
      <c r="K54" s="390">
        <v>8.0809999999999995</v>
      </c>
      <c r="L54" s="390">
        <v>7.758</v>
      </c>
      <c r="M54" s="390">
        <v>1.484</v>
      </c>
      <c r="N54" s="390">
        <v>0.441</v>
      </c>
      <c r="O54" s="390">
        <v>0.19600000000000001</v>
      </c>
    </row>
    <row r="55" spans="1:15" ht="13.25" customHeight="1" thickBot="1">
      <c r="A55" s="359" t="s">
        <v>616</v>
      </c>
      <c r="B55" s="392">
        <v>33470.569000000003</v>
      </c>
      <c r="C55" s="716">
        <v>77.704850256992472</v>
      </c>
      <c r="D55" s="496"/>
      <c r="E55" s="716">
        <v>60.775160665747862</v>
      </c>
      <c r="F55" s="392">
        <v>30.501999999999999</v>
      </c>
      <c r="G55" s="392">
        <v>4.6040000000000001</v>
      </c>
      <c r="H55" s="392">
        <v>25.669</v>
      </c>
      <c r="I55" s="392"/>
      <c r="J55" s="716">
        <v>16.929689591244617</v>
      </c>
      <c r="K55" s="392">
        <v>8.2509999999999994</v>
      </c>
      <c r="L55" s="392">
        <v>6.6619999999999999</v>
      </c>
      <c r="M55" s="392">
        <v>1.579</v>
      </c>
      <c r="N55" s="392">
        <v>0.28599999999999998</v>
      </c>
      <c r="O55" s="392">
        <v>0.152</v>
      </c>
    </row>
    <row r="56" spans="1:15" ht="9" customHeight="1">
      <c r="A56" s="857" t="s">
        <v>416</v>
      </c>
      <c r="B56" s="859"/>
      <c r="C56" s="857"/>
      <c r="D56" s="857"/>
      <c r="E56" s="857"/>
      <c r="F56" s="857"/>
      <c r="G56" s="393"/>
      <c r="H56" s="393"/>
      <c r="I56" s="354"/>
      <c r="J56" s="361"/>
      <c r="K56" s="361"/>
      <c r="L56" s="354"/>
      <c r="M56" s="362"/>
      <c r="N56" s="362"/>
      <c r="O56" s="361"/>
    </row>
    <row r="57" spans="1:15" ht="9" customHeight="1">
      <c r="A57" s="841" t="s">
        <v>359</v>
      </c>
      <c r="B57" s="836"/>
      <c r="C57" s="854"/>
      <c r="D57" s="854"/>
      <c r="E57" s="857"/>
      <c r="F57" s="857"/>
      <c r="G57" s="393"/>
      <c r="H57" s="506"/>
      <c r="I57" s="354"/>
      <c r="J57" s="363"/>
      <c r="K57" s="363"/>
      <c r="L57" s="363"/>
      <c r="M57" s="363"/>
      <c r="N57" s="363"/>
      <c r="O57" s="363"/>
    </row>
    <row r="58" spans="1:15" ht="9" customHeight="1">
      <c r="A58" s="780" t="s">
        <v>358</v>
      </c>
      <c r="B58" s="836"/>
      <c r="C58" s="854"/>
      <c r="D58" s="854"/>
      <c r="E58" s="857"/>
      <c r="F58" s="857"/>
      <c r="G58" s="393"/>
      <c r="H58" s="393"/>
      <c r="I58" s="354"/>
      <c r="J58" s="354"/>
      <c r="K58" s="354"/>
      <c r="L58" s="354"/>
      <c r="M58" s="354"/>
      <c r="N58" s="354"/>
      <c r="O58" s="354"/>
    </row>
    <row r="59" spans="1:15" ht="15" customHeight="1">
      <c r="A59" s="354"/>
      <c r="B59" s="362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</row>
    <row r="60" spans="1:15" ht="15" customHeight="1">
      <c r="A60" s="354"/>
      <c r="B60" s="364"/>
      <c r="C60" s="354"/>
      <c r="D60" s="354"/>
      <c r="E60" s="354"/>
      <c r="F60" s="507"/>
      <c r="G60" s="354"/>
      <c r="H60" s="354"/>
      <c r="I60" s="354"/>
      <c r="J60" s="354"/>
      <c r="K60" s="354"/>
      <c r="L60" s="354"/>
      <c r="M60" s="354"/>
      <c r="N60" s="354"/>
      <c r="O60" s="354"/>
    </row>
  </sheetData>
  <mergeCells count="6">
    <mergeCell ref="B6:B10"/>
    <mergeCell ref="J35:O35"/>
    <mergeCell ref="J6:O6"/>
    <mergeCell ref="E6:H6"/>
    <mergeCell ref="E35:H35"/>
    <mergeCell ref="C6:C10"/>
  </mergeCells>
  <printOptions horizontalCentered="1" verticalCentered="1" gridLinesSet="0"/>
  <pageMargins left="0" right="0" top="0" bottom="0" header="0" footer="0"/>
  <pageSetup paperSize="9" orientation="portrait" r:id="rId1"/>
  <headerFooter scaleWithDoc="0" alignWithMargins="0"/>
  <rowBreaks count="1" manualBreakCount="1">
    <brk id="31" max="1638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99">
    <tabColor theme="9" tint="0.59999389629810485"/>
  </sheetPr>
  <dimension ref="A1"/>
  <sheetViews>
    <sheetView showGridLines="0" zoomScaleNormal="100" workbookViewId="0">
      <selection activeCell="A33" sqref="A33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100">
    <tabColor theme="9" tint="0.59999389629810485"/>
  </sheetPr>
  <dimension ref="A3:Y55"/>
  <sheetViews>
    <sheetView showGridLines="0" zoomScaleNormal="100" workbookViewId="0">
      <selection activeCell="AF28" sqref="AF28"/>
    </sheetView>
  </sheetViews>
  <sheetFormatPr baseColWidth="10" defaultColWidth="7" defaultRowHeight="13.25" customHeight="1"/>
  <cols>
    <col min="1" max="1" width="9.3984375" style="129" customWidth="1"/>
    <col min="2" max="3" width="8" style="129" customWidth="1"/>
    <col min="4" max="4" width="2.19921875" style="129" customWidth="1"/>
    <col min="5" max="6" width="8" style="129" customWidth="1"/>
    <col min="7" max="7" width="2.3984375" style="129" customWidth="1"/>
    <col min="8" max="9" width="8" style="129" customWidth="1"/>
    <col min="10" max="10" width="2.3984375" style="129" customWidth="1"/>
    <col min="11" max="12" width="8" style="129" customWidth="1"/>
    <col min="13" max="13" width="4.19921875" style="129" customWidth="1"/>
    <col min="14" max="16384" width="7" style="129"/>
  </cols>
  <sheetData>
    <row r="3" spans="1:25" ht="13.25" customHeight="1">
      <c r="A3" s="395" t="s">
        <v>389</v>
      </c>
      <c r="B3" s="396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25" ht="13.25" customHeight="1">
      <c r="A4" s="395" t="s">
        <v>570</v>
      </c>
      <c r="B4" s="396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</row>
    <row r="5" spans="1:25" ht="13.25" customHeight="1">
      <c r="A5" s="397" t="s">
        <v>333</v>
      </c>
      <c r="B5" s="398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</row>
    <row r="6" spans="1:25" ht="4.25" customHeight="1" thickBot="1">
      <c r="A6" s="966"/>
      <c r="B6" s="966"/>
      <c r="C6" s="966"/>
      <c r="D6" s="966"/>
      <c r="E6" s="966"/>
      <c r="F6" s="966"/>
      <c r="G6" s="966"/>
      <c r="H6" s="966"/>
      <c r="I6" s="966"/>
      <c r="J6" s="966"/>
      <c r="K6" s="966"/>
      <c r="L6" s="966"/>
      <c r="M6" s="130"/>
    </row>
    <row r="7" spans="1:25" ht="13.25" customHeight="1">
      <c r="A7" s="994" t="s">
        <v>110</v>
      </c>
      <c r="B7" s="992" t="s">
        <v>291</v>
      </c>
      <c r="C7" s="992"/>
      <c r="D7" s="717"/>
      <c r="E7" s="992" t="s">
        <v>292</v>
      </c>
      <c r="F7" s="992"/>
      <c r="G7" s="717"/>
      <c r="H7" s="992" t="s">
        <v>199</v>
      </c>
      <c r="I7" s="992"/>
      <c r="J7" s="717"/>
      <c r="K7" s="993" t="s">
        <v>293</v>
      </c>
      <c r="L7" s="993"/>
      <c r="M7" s="130"/>
    </row>
    <row r="8" spans="1:25" ht="13.25" customHeight="1">
      <c r="A8" s="995"/>
      <c r="B8" s="718">
        <v>2021</v>
      </c>
      <c r="C8" s="718" t="s">
        <v>486</v>
      </c>
      <c r="D8" s="718"/>
      <c r="E8" s="718">
        <v>2021</v>
      </c>
      <c r="F8" s="718" t="s">
        <v>486</v>
      </c>
      <c r="G8" s="718"/>
      <c r="H8" s="718">
        <v>2021</v>
      </c>
      <c r="I8" s="718" t="s">
        <v>486</v>
      </c>
      <c r="J8" s="718"/>
      <c r="K8" s="718">
        <v>2021</v>
      </c>
      <c r="L8" s="718" t="s">
        <v>486</v>
      </c>
    </row>
    <row r="9" spans="1:25" ht="15" customHeight="1">
      <c r="A9" s="719" t="s">
        <v>54</v>
      </c>
      <c r="B9" s="720">
        <f t="shared" ref="B9:C9" si="0">AVERAGE(B10:B21)</f>
        <v>5.8875000000000002</v>
      </c>
      <c r="C9" s="720">
        <f t="shared" si="0"/>
        <v>5.9833333333333334</v>
      </c>
      <c r="D9" s="720"/>
      <c r="E9" s="720">
        <f t="shared" ref="E9" si="1">AVERAGE(E10:E21)</f>
        <v>6.2208333333333341</v>
      </c>
      <c r="F9" s="720">
        <f t="shared" ref="F9" si="2">AVERAGE(F10:F21)</f>
        <v>6.3024999999999993</v>
      </c>
      <c r="G9" s="720"/>
      <c r="H9" s="720">
        <f t="shared" ref="H9" si="3">AVERAGE(H10:H21)</f>
        <v>7.5049999999999999</v>
      </c>
      <c r="I9" s="720">
        <f t="shared" ref="I9" si="4">AVERAGE(I10:I21)</f>
        <v>7.5866666666666687</v>
      </c>
      <c r="J9" s="720"/>
      <c r="K9" s="720">
        <f>AVERAGE(K10:K21)</f>
        <v>9.0050000000000008</v>
      </c>
      <c r="L9" s="720">
        <f>AVERAGE(L10:L21)</f>
        <v>9.67</v>
      </c>
      <c r="M9" s="131"/>
    </row>
    <row r="10" spans="1:25" ht="13.25" customHeight="1">
      <c r="A10" s="335" t="s">
        <v>55</v>
      </c>
      <c r="B10" s="400">
        <v>5.86</v>
      </c>
      <c r="C10" s="400">
        <v>5.23</v>
      </c>
      <c r="D10" s="400"/>
      <c r="E10" s="400">
        <v>6.2</v>
      </c>
      <c r="F10" s="400">
        <v>5.62</v>
      </c>
      <c r="G10" s="400"/>
      <c r="H10" s="400">
        <v>7.47</v>
      </c>
      <c r="I10" s="400">
        <v>6.9</v>
      </c>
      <c r="J10" s="400"/>
      <c r="K10" s="401">
        <v>8.9700000000000006</v>
      </c>
      <c r="L10" s="401">
        <v>9.23</v>
      </c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</row>
    <row r="11" spans="1:25" ht="13.25" customHeight="1">
      <c r="A11" s="335" t="s">
        <v>56</v>
      </c>
      <c r="B11" s="400">
        <v>4.5599999999999996</v>
      </c>
      <c r="C11" s="400">
        <v>5.0999999999999996</v>
      </c>
      <c r="D11" s="400"/>
      <c r="E11" s="400">
        <v>4.9000000000000004</v>
      </c>
      <c r="F11" s="400">
        <v>5.41</v>
      </c>
      <c r="G11" s="400"/>
      <c r="H11" s="400">
        <v>6.35</v>
      </c>
      <c r="I11" s="400">
        <v>6.69</v>
      </c>
      <c r="J11" s="400"/>
      <c r="K11" s="401">
        <v>7.85</v>
      </c>
      <c r="L11" s="401">
        <v>8.6999999999999993</v>
      </c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</row>
    <row r="12" spans="1:25" ht="13.25" customHeight="1">
      <c r="A12" s="335" t="s">
        <v>57</v>
      </c>
      <c r="B12" s="400">
        <v>5.64</v>
      </c>
      <c r="C12" s="400">
        <v>6.04</v>
      </c>
      <c r="D12" s="400"/>
      <c r="E12" s="400">
        <v>6.01</v>
      </c>
      <c r="F12" s="400">
        <v>6.37</v>
      </c>
      <c r="G12" s="400"/>
      <c r="H12" s="400">
        <v>7.07</v>
      </c>
      <c r="I12" s="400">
        <v>7.65</v>
      </c>
      <c r="J12" s="400"/>
      <c r="K12" s="401">
        <v>8.57</v>
      </c>
      <c r="L12" s="401">
        <v>9.4</v>
      </c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spans="1:25" ht="13.25" customHeight="1">
      <c r="A13" s="335" t="s">
        <v>58</v>
      </c>
      <c r="B13" s="400">
        <v>4.47</v>
      </c>
      <c r="C13" s="400">
        <v>5.49</v>
      </c>
      <c r="D13" s="400"/>
      <c r="E13" s="400">
        <v>4.79</v>
      </c>
      <c r="F13" s="400">
        <v>5.86</v>
      </c>
      <c r="G13" s="400"/>
      <c r="H13" s="400">
        <v>6.33</v>
      </c>
      <c r="I13" s="400">
        <v>7.14</v>
      </c>
      <c r="J13" s="400"/>
      <c r="K13" s="401">
        <v>7.83</v>
      </c>
      <c r="L13" s="401">
        <v>9.4</v>
      </c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spans="1:25" ht="13.25" customHeight="1">
      <c r="A14" s="335" t="s">
        <v>59</v>
      </c>
      <c r="B14" s="400">
        <v>5.58</v>
      </c>
      <c r="C14" s="400">
        <v>5.7</v>
      </c>
      <c r="D14" s="400"/>
      <c r="E14" s="400">
        <v>5.87</v>
      </c>
      <c r="F14" s="400">
        <v>6.07</v>
      </c>
      <c r="G14" s="400"/>
      <c r="H14" s="400">
        <v>7.09</v>
      </c>
      <c r="I14" s="400">
        <v>7.36</v>
      </c>
      <c r="J14" s="400"/>
      <c r="K14" s="401">
        <v>8.59</v>
      </c>
      <c r="L14" s="401">
        <v>9.2200000000000006</v>
      </c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spans="1:25" ht="13.25" customHeight="1">
      <c r="A15" s="335" t="s">
        <v>60</v>
      </c>
      <c r="B15" s="400">
        <v>5.77</v>
      </c>
      <c r="C15" s="400">
        <v>6.17</v>
      </c>
      <c r="D15" s="400"/>
      <c r="E15" s="400">
        <v>6.07</v>
      </c>
      <c r="F15" s="400">
        <v>6.64</v>
      </c>
      <c r="G15" s="400"/>
      <c r="H15" s="400">
        <v>7.27</v>
      </c>
      <c r="I15" s="400">
        <v>7.93</v>
      </c>
      <c r="J15" s="400"/>
      <c r="K15" s="401">
        <v>8.77</v>
      </c>
      <c r="L15" s="401">
        <v>9.6199999999999992</v>
      </c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spans="1:25" ht="13.25" customHeight="1">
      <c r="A16" s="335" t="s">
        <v>61</v>
      </c>
      <c r="B16" s="400">
        <v>6.11</v>
      </c>
      <c r="C16" s="400">
        <v>6.23</v>
      </c>
      <c r="D16" s="400"/>
      <c r="E16" s="400">
        <v>6.43</v>
      </c>
      <c r="F16" s="400">
        <v>6.59</v>
      </c>
      <c r="G16" s="400"/>
      <c r="H16" s="400">
        <v>7.63</v>
      </c>
      <c r="I16" s="400">
        <v>7.88</v>
      </c>
      <c r="J16" s="400"/>
      <c r="K16" s="401">
        <v>9.1300000000000008</v>
      </c>
      <c r="L16" s="401">
        <v>9.94</v>
      </c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spans="1:25" ht="13.25" customHeight="1">
      <c r="A17" s="335" t="s">
        <v>62</v>
      </c>
      <c r="B17" s="400">
        <v>6.35</v>
      </c>
      <c r="C17" s="400">
        <v>6.97</v>
      </c>
      <c r="D17" s="400"/>
      <c r="E17" s="400">
        <v>6.72</v>
      </c>
      <c r="F17" s="400">
        <v>7.27</v>
      </c>
      <c r="G17" s="400"/>
      <c r="H17" s="400">
        <v>7.97</v>
      </c>
      <c r="I17" s="400">
        <v>8.5500000000000007</v>
      </c>
      <c r="J17" s="400"/>
      <c r="K17" s="401">
        <v>9.4700000000000006</v>
      </c>
      <c r="L17" s="401">
        <v>10.5</v>
      </c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spans="1:25" ht="13.25" customHeight="1">
      <c r="A18" s="335" t="s">
        <v>63</v>
      </c>
      <c r="B18" s="400">
        <v>6.32</v>
      </c>
      <c r="C18" s="400">
        <v>6.58</v>
      </c>
      <c r="D18" s="400"/>
      <c r="E18" s="400">
        <v>6.66</v>
      </c>
      <c r="F18" s="400">
        <v>6.85</v>
      </c>
      <c r="G18" s="400"/>
      <c r="H18" s="400">
        <v>7.98</v>
      </c>
      <c r="I18" s="400">
        <v>8.14</v>
      </c>
      <c r="J18" s="400"/>
      <c r="K18" s="401">
        <v>9.48</v>
      </c>
      <c r="L18" s="401">
        <v>10.6</v>
      </c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spans="1:25" ht="13.25" customHeight="1">
      <c r="A19" s="335" t="s">
        <v>64</v>
      </c>
      <c r="B19" s="400">
        <v>6.5</v>
      </c>
      <c r="C19" s="400">
        <v>6.23</v>
      </c>
      <c r="D19" s="400"/>
      <c r="E19" s="400">
        <v>6.79</v>
      </c>
      <c r="F19" s="400">
        <v>6.36</v>
      </c>
      <c r="G19" s="400"/>
      <c r="H19" s="400">
        <v>8.1300000000000008</v>
      </c>
      <c r="I19" s="400">
        <v>7.65</v>
      </c>
      <c r="J19" s="400"/>
      <c r="K19" s="401">
        <v>9.6300000000000008</v>
      </c>
      <c r="L19" s="401">
        <v>9.6199999999999992</v>
      </c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spans="1:25" ht="13.25" customHeight="1">
      <c r="A20" s="335" t="s">
        <v>65</v>
      </c>
      <c r="B20" s="400">
        <v>6.6</v>
      </c>
      <c r="C20" s="400">
        <v>6.27</v>
      </c>
      <c r="D20" s="400"/>
      <c r="E20" s="400">
        <v>6.94</v>
      </c>
      <c r="F20" s="400">
        <v>6.53</v>
      </c>
      <c r="G20" s="400"/>
      <c r="H20" s="400">
        <v>8.1999999999999993</v>
      </c>
      <c r="I20" s="400">
        <v>7.81</v>
      </c>
      <c r="J20" s="400"/>
      <c r="K20" s="401">
        <v>9.6999999999999993</v>
      </c>
      <c r="L20" s="401">
        <v>9.9600000000000009</v>
      </c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spans="1:25" ht="13.25" customHeight="1" thickBot="1">
      <c r="A21" s="350" t="s">
        <v>66</v>
      </c>
      <c r="B21" s="402">
        <v>6.89</v>
      </c>
      <c r="C21" s="402">
        <v>5.79</v>
      </c>
      <c r="D21" s="402"/>
      <c r="E21" s="402">
        <v>7.27</v>
      </c>
      <c r="F21" s="402">
        <v>6.06</v>
      </c>
      <c r="G21" s="402"/>
      <c r="H21" s="402">
        <v>8.57</v>
      </c>
      <c r="I21" s="402">
        <v>7.34</v>
      </c>
      <c r="J21" s="402"/>
      <c r="K21" s="403">
        <v>10.07</v>
      </c>
      <c r="L21" s="403">
        <v>9.85</v>
      </c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spans="1:25" ht="9" customHeight="1">
      <c r="A22" s="811" t="s">
        <v>368</v>
      </c>
      <c r="B22" s="811"/>
      <c r="C22" s="811"/>
      <c r="D22" s="811"/>
      <c r="E22" s="811"/>
      <c r="F22" s="811"/>
      <c r="G22" s="811"/>
      <c r="H22" s="860"/>
      <c r="I22" s="811"/>
      <c r="J22" s="255"/>
      <c r="K22" s="394"/>
      <c r="L22" s="394"/>
      <c r="M22" s="132"/>
    </row>
    <row r="23" spans="1:25" ht="9" customHeight="1">
      <c r="A23" s="778" t="s">
        <v>402</v>
      </c>
      <c r="B23" s="811"/>
      <c r="C23" s="811"/>
      <c r="D23" s="811"/>
      <c r="E23" s="860"/>
      <c r="F23" s="811"/>
      <c r="G23" s="811"/>
      <c r="H23" s="811"/>
      <c r="I23" s="811"/>
      <c r="J23" s="255"/>
      <c r="K23" s="255"/>
      <c r="L23" s="255"/>
    </row>
    <row r="24" spans="1:25" ht="9" customHeight="1">
      <c r="A24" s="860" t="s">
        <v>369</v>
      </c>
      <c r="B24" s="811"/>
      <c r="C24" s="811"/>
      <c r="D24" s="811"/>
      <c r="E24" s="811"/>
      <c r="F24" s="811"/>
      <c r="G24" s="811"/>
      <c r="H24" s="811"/>
      <c r="I24" s="811"/>
      <c r="J24" s="255"/>
      <c r="K24" s="255"/>
      <c r="L24" s="255"/>
    </row>
    <row r="25" spans="1:25" ht="9" customHeight="1">
      <c r="A25" s="811" t="s">
        <v>370</v>
      </c>
      <c r="B25" s="811"/>
      <c r="C25" s="811"/>
      <c r="D25" s="811"/>
      <c r="E25" s="811"/>
      <c r="F25" s="811"/>
      <c r="G25" s="811"/>
      <c r="H25" s="811"/>
      <c r="I25" s="811"/>
      <c r="J25" s="255"/>
      <c r="K25" s="255"/>
      <c r="L25" s="255"/>
    </row>
    <row r="26" spans="1:25" ht="9" customHeight="1">
      <c r="A26" s="780" t="s">
        <v>358</v>
      </c>
      <c r="B26" s="811"/>
      <c r="C26" s="811"/>
      <c r="D26" s="811"/>
      <c r="E26" s="811"/>
      <c r="F26" s="811"/>
      <c r="G26" s="811"/>
      <c r="H26" s="811"/>
      <c r="I26" s="811"/>
      <c r="J26" s="255"/>
      <c r="K26" s="255"/>
      <c r="L26" s="255"/>
    </row>
    <row r="28" spans="1:25" ht="13.25" customHeight="1">
      <c r="A28" s="399" t="s">
        <v>390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28"/>
    </row>
    <row r="29" spans="1:25" ht="13.25" customHeight="1">
      <c r="A29" s="399" t="s">
        <v>571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28"/>
    </row>
    <row r="30" spans="1:25" ht="13.25" customHeight="1">
      <c r="A30" s="397" t="s">
        <v>333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</row>
    <row r="31" spans="1:25" ht="4.25" customHeight="1" thickBot="1">
      <c r="A31" s="966"/>
      <c r="B31" s="966"/>
      <c r="C31" s="966"/>
      <c r="D31" s="966"/>
      <c r="E31" s="966"/>
      <c r="F31" s="966"/>
      <c r="G31" s="966"/>
      <c r="H31" s="966"/>
      <c r="I31" s="966"/>
      <c r="J31" s="966"/>
      <c r="K31" s="966"/>
      <c r="L31" s="966"/>
      <c r="M31" s="130"/>
    </row>
    <row r="32" spans="1:25" ht="13.25" customHeight="1">
      <c r="A32" s="994" t="s">
        <v>110</v>
      </c>
      <c r="B32" s="992" t="s">
        <v>291</v>
      </c>
      <c r="C32" s="992"/>
      <c r="D32" s="717"/>
      <c r="E32" s="992" t="s">
        <v>292</v>
      </c>
      <c r="F32" s="992"/>
      <c r="G32" s="717"/>
      <c r="H32" s="992" t="s">
        <v>294</v>
      </c>
      <c r="I32" s="992"/>
      <c r="J32" s="717"/>
      <c r="K32" s="993" t="s">
        <v>295</v>
      </c>
      <c r="L32" s="993"/>
      <c r="M32" s="130"/>
    </row>
    <row r="33" spans="1:19" ht="13.25" customHeight="1">
      <c r="A33" s="995"/>
      <c r="B33" s="718">
        <v>2019</v>
      </c>
      <c r="C33" s="718">
        <v>2020</v>
      </c>
      <c r="D33" s="718"/>
      <c r="E33" s="718">
        <v>2019</v>
      </c>
      <c r="F33" s="718">
        <v>2020</v>
      </c>
      <c r="G33" s="718"/>
      <c r="H33" s="718">
        <v>2019</v>
      </c>
      <c r="I33" s="718">
        <v>2020</v>
      </c>
      <c r="J33" s="718"/>
      <c r="K33" s="718">
        <v>2019</v>
      </c>
      <c r="L33" s="718">
        <v>2020</v>
      </c>
    </row>
    <row r="34" spans="1:19" ht="15" customHeight="1">
      <c r="A34" s="719" t="s">
        <v>54</v>
      </c>
      <c r="B34" s="720">
        <f>AVERAGE(B35:B46)</f>
        <v>3.8641666666666672</v>
      </c>
      <c r="C34" s="720">
        <f>AVERAGE(C35:C46)</f>
        <v>4.5225</v>
      </c>
      <c r="D34" s="720"/>
      <c r="E34" s="720">
        <f>AVERAGE(E35:E46)</f>
        <v>4.0341666666666676</v>
      </c>
      <c r="F34" s="720">
        <f>AVERAGE(F35:F46)</f>
        <v>4.9291666666666663</v>
      </c>
      <c r="G34" s="720"/>
      <c r="H34" s="720">
        <f>AVERAGE(H35:H46)</f>
        <v>6.1499999999999995</v>
      </c>
      <c r="I34" s="720">
        <f>AVERAGE(I35:I46)</f>
        <v>7.0625000000000009</v>
      </c>
      <c r="J34" s="720"/>
      <c r="K34" s="720">
        <f>AVERAGE(K35:K46)</f>
        <v>7.6124999999999998</v>
      </c>
      <c r="L34" s="720">
        <f>AVERAGE(L35:L46)</f>
        <v>7.6858333333333322</v>
      </c>
      <c r="M34" s="133"/>
    </row>
    <row r="35" spans="1:19" ht="13.25" customHeight="1">
      <c r="A35" s="335" t="s">
        <v>55</v>
      </c>
      <c r="B35" s="400">
        <v>3.82</v>
      </c>
      <c r="C35" s="400">
        <v>4.18</v>
      </c>
      <c r="D35" s="400"/>
      <c r="E35" s="400">
        <v>4.08</v>
      </c>
      <c r="F35" s="400">
        <v>4.25</v>
      </c>
      <c r="G35" s="400"/>
      <c r="H35" s="400">
        <v>6.3</v>
      </c>
      <c r="I35" s="400">
        <v>6.4</v>
      </c>
      <c r="J35" s="400"/>
      <c r="K35" s="401">
        <v>7.78</v>
      </c>
      <c r="L35" s="401">
        <v>7.71</v>
      </c>
      <c r="M35" s="133"/>
    </row>
    <row r="36" spans="1:19" ht="13.25" customHeight="1">
      <c r="A36" s="335" t="s">
        <v>56</v>
      </c>
      <c r="B36" s="400">
        <v>3.46</v>
      </c>
      <c r="C36" s="400">
        <v>4.6100000000000003</v>
      </c>
      <c r="D36" s="400"/>
      <c r="E36" s="400">
        <v>3.71</v>
      </c>
      <c r="F36" s="400">
        <v>4.76</v>
      </c>
      <c r="G36" s="400"/>
      <c r="H36" s="400">
        <v>5.97</v>
      </c>
      <c r="I36" s="400">
        <v>6.91</v>
      </c>
      <c r="J36" s="400"/>
      <c r="K36" s="401">
        <v>7.69</v>
      </c>
      <c r="L36" s="401">
        <v>7.86</v>
      </c>
      <c r="M36" s="133"/>
    </row>
    <row r="37" spans="1:19" ht="13.25" customHeight="1">
      <c r="A37" s="335" t="s">
        <v>57</v>
      </c>
      <c r="B37" s="400">
        <v>4.0599999999999996</v>
      </c>
      <c r="C37" s="400">
        <v>4.3899999999999997</v>
      </c>
      <c r="D37" s="400"/>
      <c r="E37" s="400">
        <v>4.28</v>
      </c>
      <c r="F37" s="400">
        <v>4.68</v>
      </c>
      <c r="G37" s="400"/>
      <c r="H37" s="400">
        <v>6.03</v>
      </c>
      <c r="I37" s="400">
        <v>6.83</v>
      </c>
      <c r="J37" s="400"/>
      <c r="K37" s="401">
        <v>7.71</v>
      </c>
      <c r="L37" s="401">
        <v>7.83</v>
      </c>
      <c r="M37" s="133"/>
    </row>
    <row r="38" spans="1:19" ht="13.25" customHeight="1">
      <c r="A38" s="335" t="s">
        <v>58</v>
      </c>
      <c r="B38" s="400">
        <v>4.01</v>
      </c>
      <c r="C38" s="400">
        <v>2.39</v>
      </c>
      <c r="D38" s="400"/>
      <c r="E38" s="400">
        <v>4.17</v>
      </c>
      <c r="F38" s="400">
        <v>3.82</v>
      </c>
      <c r="G38" s="400"/>
      <c r="H38" s="400">
        <v>6.27</v>
      </c>
      <c r="I38" s="400">
        <v>5.77</v>
      </c>
      <c r="J38" s="400"/>
      <c r="K38" s="401">
        <v>7.66</v>
      </c>
      <c r="L38" s="401">
        <v>6.33</v>
      </c>
      <c r="M38" s="133"/>
    </row>
    <row r="39" spans="1:19" ht="13.25" customHeight="1">
      <c r="A39" s="335" t="s">
        <v>59</v>
      </c>
      <c r="B39" s="400">
        <v>4.99</v>
      </c>
      <c r="C39" s="400">
        <v>3.15</v>
      </c>
      <c r="D39" s="400"/>
      <c r="E39" s="400">
        <v>5.23</v>
      </c>
      <c r="F39" s="400">
        <v>3.66</v>
      </c>
      <c r="G39" s="400"/>
      <c r="H39" s="400">
        <v>6.63</v>
      </c>
      <c r="I39" s="400">
        <v>5.81</v>
      </c>
      <c r="J39" s="400"/>
      <c r="K39" s="401">
        <v>8.02</v>
      </c>
      <c r="L39" s="401">
        <v>6.5</v>
      </c>
      <c r="M39" s="133"/>
    </row>
    <row r="40" spans="1:19" ht="13.25" customHeight="1">
      <c r="A40" s="335" t="s">
        <v>60</v>
      </c>
      <c r="B40" s="400">
        <v>4.1500000000000004</v>
      </c>
      <c r="C40" s="400">
        <v>3.31</v>
      </c>
      <c r="D40" s="400"/>
      <c r="E40" s="400">
        <v>4.32</v>
      </c>
      <c r="F40" s="400">
        <v>3.69</v>
      </c>
      <c r="G40" s="400"/>
      <c r="H40" s="400">
        <v>6.47</v>
      </c>
      <c r="I40" s="400">
        <v>5.84</v>
      </c>
      <c r="J40" s="400"/>
      <c r="K40" s="401">
        <v>7.87</v>
      </c>
      <c r="L40" s="401">
        <v>6.36</v>
      </c>
      <c r="M40" s="133"/>
    </row>
    <row r="41" spans="1:19" ht="13.25" customHeight="1">
      <c r="A41" s="335" t="s">
        <v>61</v>
      </c>
      <c r="B41" s="400">
        <v>3.81</v>
      </c>
      <c r="C41" s="400">
        <v>5.49</v>
      </c>
      <c r="D41" s="400"/>
      <c r="E41" s="400">
        <v>3.9</v>
      </c>
      <c r="F41" s="400">
        <v>5.91</v>
      </c>
      <c r="G41" s="400"/>
      <c r="H41" s="400">
        <v>6.07</v>
      </c>
      <c r="I41" s="400">
        <v>8.06</v>
      </c>
      <c r="J41" s="400"/>
      <c r="K41" s="401">
        <v>7.57</v>
      </c>
      <c r="L41" s="401">
        <v>8.39</v>
      </c>
      <c r="M41" s="133"/>
    </row>
    <row r="42" spans="1:19" ht="13.25" customHeight="1">
      <c r="A42" s="335" t="s">
        <v>62</v>
      </c>
      <c r="B42" s="400">
        <v>3.37</v>
      </c>
      <c r="C42" s="400">
        <v>5.3</v>
      </c>
      <c r="D42" s="400"/>
      <c r="E42" s="400">
        <v>3.54</v>
      </c>
      <c r="F42" s="400">
        <v>5.63</v>
      </c>
      <c r="G42" s="400"/>
      <c r="H42" s="400">
        <v>6.18</v>
      </c>
      <c r="I42" s="400">
        <v>7.78</v>
      </c>
      <c r="J42" s="400"/>
      <c r="K42" s="401">
        <v>7.54</v>
      </c>
      <c r="L42" s="401">
        <v>8.11</v>
      </c>
      <c r="M42" s="133"/>
    </row>
    <row r="43" spans="1:19" ht="13.25" customHeight="1">
      <c r="A43" s="335" t="s">
        <v>63</v>
      </c>
      <c r="B43" s="400">
        <v>3.22</v>
      </c>
      <c r="C43" s="400">
        <v>5.46</v>
      </c>
      <c r="D43" s="400"/>
      <c r="E43" s="400">
        <v>3.35</v>
      </c>
      <c r="F43" s="400">
        <v>5.82</v>
      </c>
      <c r="G43" s="400"/>
      <c r="H43" s="400">
        <v>5.81</v>
      </c>
      <c r="I43" s="400">
        <v>7.97</v>
      </c>
      <c r="J43" s="400"/>
      <c r="K43" s="401">
        <v>7.26</v>
      </c>
      <c r="L43" s="401">
        <v>8.18</v>
      </c>
      <c r="M43" s="133"/>
    </row>
    <row r="44" spans="1:19" ht="13.25" customHeight="1">
      <c r="A44" s="335" t="s">
        <v>64</v>
      </c>
      <c r="B44" s="400">
        <v>3.57</v>
      </c>
      <c r="C44" s="400">
        <v>5.32</v>
      </c>
      <c r="D44" s="400"/>
      <c r="E44" s="400">
        <v>3.77</v>
      </c>
      <c r="F44" s="400">
        <v>5.66</v>
      </c>
      <c r="G44" s="400"/>
      <c r="H44" s="400">
        <v>5.86</v>
      </c>
      <c r="I44" s="400">
        <v>7.81</v>
      </c>
      <c r="J44" s="400"/>
      <c r="K44" s="401">
        <v>7.27</v>
      </c>
      <c r="L44" s="401">
        <v>8.18</v>
      </c>
      <c r="M44" s="133"/>
    </row>
    <row r="45" spans="1:19" ht="13.25" customHeight="1">
      <c r="A45" s="335" t="s">
        <v>65</v>
      </c>
      <c r="B45" s="400">
        <v>3.88</v>
      </c>
      <c r="C45" s="400">
        <v>5.54</v>
      </c>
      <c r="D45" s="400"/>
      <c r="E45" s="400">
        <v>3.99</v>
      </c>
      <c r="F45" s="400">
        <v>5.86</v>
      </c>
      <c r="G45" s="400"/>
      <c r="H45" s="400">
        <v>5.97</v>
      </c>
      <c r="I45" s="400">
        <v>8.01</v>
      </c>
      <c r="J45" s="400"/>
      <c r="K45" s="401">
        <v>7.41</v>
      </c>
      <c r="L45" s="401">
        <v>8.68</v>
      </c>
      <c r="M45" s="133"/>
    </row>
    <row r="46" spans="1:19" ht="13.25" customHeight="1" thickBot="1">
      <c r="A46" s="350" t="s">
        <v>66</v>
      </c>
      <c r="B46" s="402">
        <v>4.03</v>
      </c>
      <c r="C46" s="402">
        <v>5.13</v>
      </c>
      <c r="D46" s="402"/>
      <c r="E46" s="402">
        <v>4.07</v>
      </c>
      <c r="F46" s="402">
        <v>5.41</v>
      </c>
      <c r="G46" s="402"/>
      <c r="H46" s="402">
        <v>6.24</v>
      </c>
      <c r="I46" s="402">
        <v>7.56</v>
      </c>
      <c r="J46" s="402"/>
      <c r="K46" s="403">
        <v>7.57</v>
      </c>
      <c r="L46" s="403">
        <v>8.1</v>
      </c>
      <c r="M46" s="133"/>
    </row>
    <row r="47" spans="1:19" ht="9" customHeight="1">
      <c r="A47" s="811" t="s">
        <v>368</v>
      </c>
      <c r="B47" s="811"/>
      <c r="C47" s="811"/>
      <c r="D47" s="811"/>
      <c r="E47" s="811"/>
      <c r="F47" s="811"/>
      <c r="G47" s="811"/>
      <c r="H47" s="811"/>
      <c r="I47" s="811"/>
      <c r="J47" s="811"/>
      <c r="K47" s="861"/>
      <c r="L47" s="132"/>
      <c r="R47" s="137"/>
      <c r="S47" s="137"/>
    </row>
    <row r="48" spans="1:19" ht="9" customHeight="1">
      <c r="A48" s="778" t="s">
        <v>402</v>
      </c>
      <c r="B48" s="811"/>
      <c r="C48" s="811"/>
      <c r="D48" s="811"/>
      <c r="E48" s="860"/>
      <c r="F48" s="811"/>
      <c r="G48" s="811"/>
      <c r="H48" s="811"/>
      <c r="I48" s="811"/>
      <c r="J48" s="811"/>
      <c r="K48" s="811"/>
      <c r="R48" s="137"/>
      <c r="S48" s="137"/>
    </row>
    <row r="49" spans="1:19" ht="9" customHeight="1">
      <c r="A49" s="860" t="s">
        <v>371</v>
      </c>
      <c r="B49" s="811"/>
      <c r="C49" s="811"/>
      <c r="D49" s="811"/>
      <c r="E49" s="811"/>
      <c r="F49" s="811"/>
      <c r="G49" s="811"/>
      <c r="H49" s="811"/>
      <c r="I49" s="811"/>
      <c r="J49" s="811"/>
      <c r="K49" s="811"/>
      <c r="R49" s="137"/>
      <c r="S49" s="137"/>
    </row>
    <row r="50" spans="1:19" ht="9" customHeight="1">
      <c r="A50" s="811" t="s">
        <v>372</v>
      </c>
      <c r="B50" s="811"/>
      <c r="C50" s="811"/>
      <c r="D50" s="811"/>
      <c r="E50" s="811"/>
      <c r="F50" s="811"/>
      <c r="G50" s="811"/>
      <c r="H50" s="811"/>
      <c r="I50" s="811"/>
      <c r="J50" s="811"/>
      <c r="K50" s="811"/>
    </row>
    <row r="51" spans="1:19" ht="9" customHeight="1">
      <c r="A51" s="811" t="s">
        <v>373</v>
      </c>
      <c r="B51" s="811"/>
      <c r="C51" s="811"/>
      <c r="D51" s="811"/>
      <c r="E51" s="811"/>
      <c r="F51" s="811"/>
      <c r="G51" s="811"/>
      <c r="H51" s="811"/>
      <c r="I51" s="811"/>
      <c r="J51" s="811"/>
      <c r="K51" s="811"/>
    </row>
    <row r="52" spans="1:19" ht="9" customHeight="1">
      <c r="A52" s="780" t="s">
        <v>358</v>
      </c>
      <c r="B52" s="811"/>
      <c r="C52" s="811"/>
      <c r="D52" s="811"/>
      <c r="E52" s="811"/>
      <c r="F52" s="811"/>
      <c r="G52" s="811"/>
      <c r="H52" s="811"/>
      <c r="I52" s="811"/>
      <c r="J52" s="811"/>
      <c r="K52" s="811"/>
    </row>
    <row r="53" spans="1:19" ht="13.25" customHeight="1">
      <c r="A53" s="811"/>
      <c r="B53" s="811"/>
      <c r="C53" s="811"/>
      <c r="D53" s="811"/>
      <c r="E53" s="811"/>
      <c r="F53" s="811"/>
      <c r="G53" s="811"/>
      <c r="H53" s="811"/>
      <c r="I53" s="811"/>
      <c r="J53" s="811"/>
      <c r="K53" s="811"/>
    </row>
    <row r="54" spans="1:19" ht="13.25" customHeight="1">
      <c r="A54" s="811"/>
      <c r="B54" s="811"/>
      <c r="C54" s="811"/>
      <c r="D54" s="811"/>
      <c r="E54" s="811"/>
      <c r="F54" s="811"/>
      <c r="G54" s="811"/>
      <c r="H54" s="811"/>
      <c r="I54" s="811"/>
      <c r="J54" s="811"/>
      <c r="K54" s="811"/>
    </row>
    <row r="55" spans="1:19" ht="13.25" customHeight="1">
      <c r="A55" s="811"/>
      <c r="B55" s="811"/>
      <c r="C55" s="811"/>
      <c r="D55" s="811"/>
      <c r="E55" s="811"/>
      <c r="F55" s="811"/>
      <c r="G55" s="811"/>
      <c r="H55" s="811"/>
      <c r="I55" s="811"/>
      <c r="J55" s="811"/>
      <c r="K55" s="811"/>
    </row>
  </sheetData>
  <mergeCells count="12">
    <mergeCell ref="A31:L31"/>
    <mergeCell ref="B32:C32"/>
    <mergeCell ref="E32:F32"/>
    <mergeCell ref="H32:I32"/>
    <mergeCell ref="K32:L32"/>
    <mergeCell ref="A32:A33"/>
    <mergeCell ref="A6:L6"/>
    <mergeCell ref="B7:C7"/>
    <mergeCell ref="E7:F7"/>
    <mergeCell ref="H7:I7"/>
    <mergeCell ref="K7:L7"/>
    <mergeCell ref="A7:A8"/>
  </mergeCells>
  <printOptions horizontalCentered="1" verticalCentered="1"/>
  <pageMargins left="0" right="0" top="0" bottom="0" header="0" footer="0"/>
  <pageSetup paperSize="9" orientation="portrait" r:id="rId1"/>
  <headerFooter scaleWithDoc="0" alignWithMargins="0"/>
  <rowBreaks count="1" manualBreakCount="1">
    <brk id="27" max="12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101">
    <tabColor theme="9" tint="0.59999389629810485"/>
  </sheetPr>
  <dimension ref="A1:Z41"/>
  <sheetViews>
    <sheetView showGridLines="0" zoomScaleNormal="100" workbookViewId="0">
      <selection activeCell="I15" sqref="I15"/>
    </sheetView>
  </sheetViews>
  <sheetFormatPr baseColWidth="10" defaultColWidth="7" defaultRowHeight="13.25" customHeight="1"/>
  <cols>
    <col min="1" max="1" width="13.3984375" style="73" customWidth="1"/>
    <col min="2" max="2" width="8.59765625" style="73" customWidth="1"/>
    <col min="3" max="5" width="8.3984375" style="73" customWidth="1"/>
    <col min="6" max="6" width="8.796875" style="73" customWidth="1"/>
    <col min="7" max="8" width="8.59765625" style="73" customWidth="1"/>
    <col min="9" max="9" width="9" style="73" customWidth="1"/>
    <col min="10" max="10" width="11.19921875" style="73" customWidth="1"/>
    <col min="11" max="13" width="9" style="73" customWidth="1"/>
    <col min="14" max="16384" width="7" style="73"/>
  </cols>
  <sheetData>
    <row r="1" spans="1:26" ht="15" customHeight="1">
      <c r="A1" s="406" t="s">
        <v>572</v>
      </c>
      <c r="B1" s="407"/>
      <c r="C1" s="408"/>
      <c r="D1" s="407"/>
      <c r="E1" s="407"/>
      <c r="F1" s="407"/>
      <c r="G1" s="407"/>
      <c r="H1" s="407"/>
      <c r="I1" s="407"/>
      <c r="J1" s="407"/>
      <c r="K1" s="407"/>
      <c r="L1" s="407"/>
      <c r="M1" s="407"/>
    </row>
    <row r="2" spans="1:26" ht="13.25" customHeight="1">
      <c r="A2" s="409" t="s">
        <v>333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1:26" ht="4.25" customHeight="1" thickBot="1">
      <c r="A3" s="112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4" spans="1:26" ht="12" customHeight="1">
      <c r="A4" s="996" t="s">
        <v>18</v>
      </c>
      <c r="B4" s="996" t="s">
        <v>19</v>
      </c>
      <c r="C4" s="996" t="s">
        <v>5</v>
      </c>
      <c r="D4" s="996" t="s">
        <v>6</v>
      </c>
      <c r="E4" s="996" t="s">
        <v>7</v>
      </c>
      <c r="F4" s="996" t="s">
        <v>8</v>
      </c>
      <c r="G4" s="996" t="s">
        <v>9</v>
      </c>
      <c r="H4" s="996" t="s">
        <v>10</v>
      </c>
      <c r="I4" s="878" t="s">
        <v>432</v>
      </c>
      <c r="J4" s="878" t="s">
        <v>296</v>
      </c>
      <c r="K4" s="879" t="s">
        <v>297</v>
      </c>
      <c r="L4" s="879"/>
      <c r="M4" s="878" t="s">
        <v>13</v>
      </c>
    </row>
    <row r="5" spans="1:26" ht="12" customHeight="1">
      <c r="A5" s="997"/>
      <c r="B5" s="997"/>
      <c r="C5" s="997"/>
      <c r="D5" s="997"/>
      <c r="E5" s="997"/>
      <c r="F5" s="997"/>
      <c r="G5" s="997"/>
      <c r="H5" s="997"/>
      <c r="I5" s="880" t="s">
        <v>126</v>
      </c>
      <c r="J5" s="880" t="s">
        <v>433</v>
      </c>
      <c r="K5" s="880" t="s">
        <v>9</v>
      </c>
      <c r="L5" s="880" t="s">
        <v>10</v>
      </c>
      <c r="M5" s="881" t="s">
        <v>298</v>
      </c>
    </row>
    <row r="6" spans="1:26" ht="15" customHeight="1">
      <c r="A6" s="721" t="s">
        <v>103</v>
      </c>
      <c r="B6" s="722">
        <v>6.33</v>
      </c>
      <c r="C6" s="722">
        <v>5.61</v>
      </c>
      <c r="D6" s="722">
        <v>7.05</v>
      </c>
      <c r="E6" s="722">
        <v>5.92</v>
      </c>
      <c r="F6" s="722">
        <v>4.8099999999999996</v>
      </c>
      <c r="G6" s="722">
        <v>4.84</v>
      </c>
      <c r="H6" s="722">
        <v>3.86</v>
      </c>
      <c r="I6" s="722">
        <v>4.62</v>
      </c>
      <c r="J6" s="722">
        <v>1.45</v>
      </c>
      <c r="K6" s="722">
        <v>14.72</v>
      </c>
      <c r="L6" s="722">
        <v>6.46</v>
      </c>
      <c r="M6" s="722">
        <v>6.9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11.75" customHeight="1">
      <c r="A7" s="73" t="s">
        <v>21</v>
      </c>
      <c r="B7" s="411">
        <v>5.91</v>
      </c>
      <c r="C7" s="411">
        <v>5.75</v>
      </c>
      <c r="D7" s="411">
        <v>6.97</v>
      </c>
      <c r="E7" s="411">
        <v>5.93</v>
      </c>
      <c r="F7" s="411">
        <v>4.57</v>
      </c>
      <c r="G7" s="411">
        <v>0</v>
      </c>
      <c r="H7" s="411">
        <v>0</v>
      </c>
      <c r="I7" s="411">
        <v>4.49</v>
      </c>
      <c r="J7" s="411">
        <v>2.04</v>
      </c>
      <c r="K7" s="411">
        <v>0</v>
      </c>
      <c r="L7" s="411">
        <v>0</v>
      </c>
      <c r="M7" s="411">
        <v>0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1.75" customHeight="1">
      <c r="A8" s="73" t="s">
        <v>22</v>
      </c>
      <c r="B8" s="411">
        <v>6.21</v>
      </c>
      <c r="C8" s="411">
        <v>5.92</v>
      </c>
      <c r="D8" s="411">
        <v>6.36</v>
      </c>
      <c r="E8" s="411">
        <v>5.95</v>
      </c>
      <c r="F8" s="411">
        <v>4.8600000000000003</v>
      </c>
      <c r="G8" s="411">
        <v>0</v>
      </c>
      <c r="H8" s="411">
        <v>0</v>
      </c>
      <c r="I8" s="411">
        <v>4.4800000000000004</v>
      </c>
      <c r="J8" s="411">
        <v>1.84</v>
      </c>
      <c r="K8" s="411">
        <v>12.91</v>
      </c>
      <c r="L8" s="411">
        <v>0</v>
      </c>
      <c r="M8" s="411">
        <v>6.99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11.75" customHeight="1">
      <c r="A9" s="73" t="s">
        <v>23</v>
      </c>
      <c r="B9" s="411">
        <v>6.3</v>
      </c>
      <c r="C9" s="411">
        <v>5.95</v>
      </c>
      <c r="D9" s="411">
        <v>6.32</v>
      </c>
      <c r="E9" s="411">
        <v>6</v>
      </c>
      <c r="F9" s="411">
        <v>4.76</v>
      </c>
      <c r="G9" s="411">
        <v>0</v>
      </c>
      <c r="H9" s="411">
        <v>0</v>
      </c>
      <c r="I9" s="411">
        <v>4.41</v>
      </c>
      <c r="J9" s="411">
        <v>1.39</v>
      </c>
      <c r="K9" s="411">
        <v>0</v>
      </c>
      <c r="L9" s="411">
        <v>0</v>
      </c>
      <c r="M9" s="411">
        <v>0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11.75" customHeight="1">
      <c r="A10" s="73" t="s">
        <v>24</v>
      </c>
      <c r="B10" s="411">
        <v>6.33</v>
      </c>
      <c r="C10" s="411">
        <v>5.93</v>
      </c>
      <c r="D10" s="411">
        <v>7.15</v>
      </c>
      <c r="E10" s="411">
        <v>6.38</v>
      </c>
      <c r="F10" s="411">
        <v>5.58</v>
      </c>
      <c r="G10" s="411">
        <v>4.43</v>
      </c>
      <c r="H10" s="411">
        <v>0</v>
      </c>
      <c r="I10" s="411">
        <v>4.62</v>
      </c>
      <c r="J10" s="411">
        <v>1.54</v>
      </c>
      <c r="K10" s="411">
        <v>13.33</v>
      </c>
      <c r="L10" s="411">
        <v>0</v>
      </c>
      <c r="M10" s="411">
        <v>7.7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11.75" customHeight="1">
      <c r="A11" s="73" t="s">
        <v>25</v>
      </c>
      <c r="B11" s="411">
        <v>6.33</v>
      </c>
      <c r="C11" s="411">
        <v>4.84</v>
      </c>
      <c r="D11" s="411">
        <v>6.2</v>
      </c>
      <c r="E11" s="411">
        <v>6.13</v>
      </c>
      <c r="F11" s="411">
        <v>4.38</v>
      </c>
      <c r="G11" s="411">
        <v>0</v>
      </c>
      <c r="H11" s="411">
        <v>0</v>
      </c>
      <c r="I11" s="411">
        <v>4.46</v>
      </c>
      <c r="J11" s="411">
        <v>1.34</v>
      </c>
      <c r="K11" s="411">
        <v>0</v>
      </c>
      <c r="L11" s="411">
        <v>0</v>
      </c>
      <c r="M11" s="411">
        <v>7.02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11.75" customHeight="1">
      <c r="A12" s="73" t="s">
        <v>97</v>
      </c>
      <c r="B12" s="411">
        <v>6.35</v>
      </c>
      <c r="C12" s="411">
        <v>4.91</v>
      </c>
      <c r="D12" s="411">
        <v>6.55</v>
      </c>
      <c r="E12" s="411">
        <v>6.13</v>
      </c>
      <c r="F12" s="411">
        <v>4.32</v>
      </c>
      <c r="G12" s="411">
        <v>0</v>
      </c>
      <c r="H12" s="411">
        <v>0</v>
      </c>
      <c r="I12" s="411">
        <v>4.46</v>
      </c>
      <c r="J12" s="411">
        <v>1.35</v>
      </c>
      <c r="K12" s="411">
        <v>0</v>
      </c>
      <c r="L12" s="411">
        <v>0</v>
      </c>
      <c r="M12" s="411">
        <v>7.03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spans="1:26" ht="11.75" customHeight="1">
      <c r="A13" s="73" t="s">
        <v>98</v>
      </c>
      <c r="B13" s="411">
        <v>6.34</v>
      </c>
      <c r="C13" s="411">
        <v>4.68</v>
      </c>
      <c r="D13" s="411">
        <v>5.49</v>
      </c>
      <c r="E13" s="411">
        <v>6.12</v>
      </c>
      <c r="F13" s="411">
        <v>4.0999999999999996</v>
      </c>
      <c r="G13" s="411">
        <v>0</v>
      </c>
      <c r="H13" s="411">
        <v>0</v>
      </c>
      <c r="I13" s="411">
        <v>4.45</v>
      </c>
      <c r="J13" s="411">
        <v>1.3</v>
      </c>
      <c r="K13" s="411">
        <v>0</v>
      </c>
      <c r="L13" s="411">
        <v>0</v>
      </c>
      <c r="M13" s="411">
        <v>6.96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spans="1:26" ht="11.75" customHeight="1">
      <c r="A14" s="73" t="s">
        <v>127</v>
      </c>
      <c r="B14" s="411">
        <v>6.25</v>
      </c>
      <c r="C14" s="411">
        <v>4.67</v>
      </c>
      <c r="D14" s="411">
        <v>6.6</v>
      </c>
      <c r="E14" s="411">
        <v>6.15</v>
      </c>
      <c r="F14" s="411">
        <v>4.5199999999999996</v>
      </c>
      <c r="G14" s="411">
        <v>0</v>
      </c>
      <c r="H14" s="411">
        <v>0</v>
      </c>
      <c r="I14" s="411">
        <v>4.49</v>
      </c>
      <c r="J14" s="411">
        <v>1.45</v>
      </c>
      <c r="K14" s="411">
        <v>0</v>
      </c>
      <c r="L14" s="411">
        <v>0</v>
      </c>
      <c r="M14" s="411">
        <v>0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11.75" customHeight="1">
      <c r="A15" s="73" t="s">
        <v>29</v>
      </c>
      <c r="B15" s="411">
        <v>6.28</v>
      </c>
      <c r="C15" s="411">
        <v>5.43</v>
      </c>
      <c r="D15" s="411">
        <v>6.51</v>
      </c>
      <c r="E15" s="411">
        <v>5.77</v>
      </c>
      <c r="F15" s="411">
        <v>4.58</v>
      </c>
      <c r="G15" s="411">
        <v>0</v>
      </c>
      <c r="H15" s="411">
        <v>0</v>
      </c>
      <c r="I15" s="411">
        <v>4.47</v>
      </c>
      <c r="J15" s="411">
        <v>1.42</v>
      </c>
      <c r="K15" s="411">
        <v>0</v>
      </c>
      <c r="L15" s="411">
        <v>0</v>
      </c>
      <c r="M15" s="411">
        <v>6.94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11.75" customHeight="1">
      <c r="A16" s="73" t="s">
        <v>30</v>
      </c>
      <c r="B16" s="411">
        <v>6.26</v>
      </c>
      <c r="C16" s="411">
        <v>4.83</v>
      </c>
      <c r="D16" s="411">
        <v>6.9</v>
      </c>
      <c r="E16" s="411">
        <v>5.56</v>
      </c>
      <c r="F16" s="411">
        <v>4.4400000000000004</v>
      </c>
      <c r="G16" s="411">
        <v>4.01</v>
      </c>
      <c r="H16" s="411">
        <v>0</v>
      </c>
      <c r="I16" s="411">
        <v>4.59</v>
      </c>
      <c r="J16" s="411">
        <v>1.43</v>
      </c>
      <c r="K16" s="411">
        <v>0</v>
      </c>
      <c r="L16" s="411">
        <v>0</v>
      </c>
      <c r="M16" s="411">
        <v>7.46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11.75" customHeight="1">
      <c r="A17" s="73" t="s">
        <v>31</v>
      </c>
      <c r="B17" s="411">
        <v>6.39</v>
      </c>
      <c r="C17" s="411">
        <v>6.01</v>
      </c>
      <c r="D17" s="411">
        <v>7.13</v>
      </c>
      <c r="E17" s="411">
        <v>6.3</v>
      </c>
      <c r="F17" s="411">
        <v>5.62</v>
      </c>
      <c r="G17" s="411">
        <v>4.13</v>
      </c>
      <c r="H17" s="411">
        <v>3.51</v>
      </c>
      <c r="I17" s="411">
        <v>4.55</v>
      </c>
      <c r="J17" s="411">
        <v>1.56</v>
      </c>
      <c r="K17" s="411">
        <v>13.77</v>
      </c>
      <c r="L17" s="411">
        <v>6.39</v>
      </c>
      <c r="M17" s="411">
        <v>7.48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11.75" customHeight="1">
      <c r="A18" s="73" t="s">
        <v>32</v>
      </c>
      <c r="B18" s="411">
        <v>6.11</v>
      </c>
      <c r="C18" s="411">
        <v>5.59</v>
      </c>
      <c r="D18" s="411">
        <v>6.77</v>
      </c>
      <c r="E18" s="411">
        <v>5.69</v>
      </c>
      <c r="F18" s="411">
        <v>5.23</v>
      </c>
      <c r="G18" s="411">
        <v>0</v>
      </c>
      <c r="H18" s="411">
        <v>0</v>
      </c>
      <c r="I18" s="411">
        <v>4.63</v>
      </c>
      <c r="J18" s="411">
        <v>1.53</v>
      </c>
      <c r="K18" s="411">
        <v>0</v>
      </c>
      <c r="L18" s="411">
        <v>0</v>
      </c>
      <c r="M18" s="411">
        <v>0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spans="1:26" ht="11.75" customHeight="1">
      <c r="A19" s="73" t="s">
        <v>33</v>
      </c>
      <c r="B19" s="411">
        <v>6.34</v>
      </c>
      <c r="C19" s="411">
        <v>5.49</v>
      </c>
      <c r="D19" s="411">
        <v>7.01</v>
      </c>
      <c r="E19" s="411">
        <v>5.72</v>
      </c>
      <c r="F19" s="411">
        <v>4.9000000000000004</v>
      </c>
      <c r="G19" s="411">
        <v>4.43</v>
      </c>
      <c r="H19" s="411">
        <v>0</v>
      </c>
      <c r="I19" s="411">
        <v>4.7699999999999996</v>
      </c>
      <c r="J19" s="411">
        <v>1.58</v>
      </c>
      <c r="K19" s="411">
        <v>13.75</v>
      </c>
      <c r="L19" s="411">
        <v>0</v>
      </c>
      <c r="M19" s="411">
        <v>7.2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11.75" customHeight="1">
      <c r="A20" s="73" t="s">
        <v>34</v>
      </c>
      <c r="B20" s="411">
        <v>6.21</v>
      </c>
      <c r="C20" s="411">
        <v>5.43</v>
      </c>
      <c r="D20" s="411">
        <v>6.44</v>
      </c>
      <c r="E20" s="411">
        <v>5.56</v>
      </c>
      <c r="F20" s="411">
        <v>4.0199999999999996</v>
      </c>
      <c r="G20" s="411">
        <v>4.3600000000000003</v>
      </c>
      <c r="H20" s="411">
        <v>3.52</v>
      </c>
      <c r="I20" s="411">
        <v>4.6500000000000004</v>
      </c>
      <c r="J20" s="411">
        <v>1.52</v>
      </c>
      <c r="K20" s="411">
        <v>14.42</v>
      </c>
      <c r="L20" s="411">
        <v>7.51</v>
      </c>
      <c r="M20" s="411">
        <v>6.91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11.75" customHeight="1">
      <c r="A21" s="73" t="s">
        <v>35</v>
      </c>
      <c r="B21" s="411">
        <v>6.25</v>
      </c>
      <c r="C21" s="411">
        <v>5.95</v>
      </c>
      <c r="D21" s="411">
        <v>6.98</v>
      </c>
      <c r="E21" s="411">
        <v>6.38</v>
      </c>
      <c r="F21" s="411">
        <v>4.7300000000000004</v>
      </c>
      <c r="G21" s="411">
        <v>4.6500000000000004</v>
      </c>
      <c r="H21" s="411">
        <v>3.58</v>
      </c>
      <c r="I21" s="411">
        <v>4.74</v>
      </c>
      <c r="J21" s="411">
        <v>1.58</v>
      </c>
      <c r="K21" s="411">
        <v>13.97</v>
      </c>
      <c r="L21" s="411">
        <v>6.85</v>
      </c>
      <c r="M21" s="411">
        <v>7.13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ht="11.75" customHeight="1">
      <c r="A22" s="73" t="s">
        <v>36</v>
      </c>
      <c r="B22" s="411">
        <v>6.72</v>
      </c>
      <c r="C22" s="411">
        <v>5.25</v>
      </c>
      <c r="D22" s="411">
        <v>5.89</v>
      </c>
      <c r="E22" s="411">
        <v>5.38</v>
      </c>
      <c r="F22" s="411">
        <v>4.16</v>
      </c>
      <c r="G22" s="411">
        <v>4.3099999999999996</v>
      </c>
      <c r="H22" s="411">
        <v>3.42</v>
      </c>
      <c r="I22" s="411">
        <v>4.68</v>
      </c>
      <c r="J22" s="411">
        <v>1.31</v>
      </c>
      <c r="K22" s="411">
        <v>13.92</v>
      </c>
      <c r="L22" s="411">
        <v>6.88</v>
      </c>
      <c r="M22" s="411">
        <v>7.07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11.75" customHeight="1">
      <c r="A23" s="73" t="s">
        <v>37</v>
      </c>
      <c r="B23" s="411">
        <v>6.32</v>
      </c>
      <c r="C23" s="411">
        <v>5.56</v>
      </c>
      <c r="D23" s="411">
        <v>6.12</v>
      </c>
      <c r="E23" s="411">
        <v>5.96</v>
      </c>
      <c r="F23" s="411">
        <v>4.75</v>
      </c>
      <c r="G23" s="411">
        <v>4.67</v>
      </c>
      <c r="H23" s="411">
        <v>3.59</v>
      </c>
      <c r="I23" s="411">
        <v>4.8</v>
      </c>
      <c r="J23" s="411">
        <v>1.37</v>
      </c>
      <c r="K23" s="411">
        <v>16.54</v>
      </c>
      <c r="L23" s="411">
        <v>7.2</v>
      </c>
      <c r="M23" s="411">
        <v>7.19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11.75" customHeight="1">
      <c r="A24" s="73" t="s">
        <v>38</v>
      </c>
      <c r="B24" s="411">
        <v>5.64</v>
      </c>
      <c r="C24" s="411">
        <v>5.25</v>
      </c>
      <c r="D24" s="411">
        <v>5.88</v>
      </c>
      <c r="E24" s="411">
        <v>5.74</v>
      </c>
      <c r="F24" s="411">
        <v>4.21</v>
      </c>
      <c r="G24" s="411">
        <v>4.4000000000000004</v>
      </c>
      <c r="H24" s="411">
        <v>3.46</v>
      </c>
      <c r="I24" s="411">
        <v>4.71</v>
      </c>
      <c r="J24" s="411">
        <v>1.34</v>
      </c>
      <c r="K24" s="411">
        <v>14.79</v>
      </c>
      <c r="L24" s="411">
        <v>6.94</v>
      </c>
      <c r="M24" s="411">
        <v>6.96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11.75" customHeight="1">
      <c r="A25" s="73" t="s">
        <v>39</v>
      </c>
      <c r="B25" s="411">
        <v>6.04</v>
      </c>
      <c r="C25" s="411">
        <v>5.32</v>
      </c>
      <c r="D25" s="411">
        <v>6.49</v>
      </c>
      <c r="E25" s="411">
        <v>5.95</v>
      </c>
      <c r="F25" s="411">
        <v>4.53</v>
      </c>
      <c r="G25" s="411">
        <v>4.87</v>
      </c>
      <c r="H25" s="411">
        <v>3.78</v>
      </c>
      <c r="I25" s="411">
        <v>4.76</v>
      </c>
      <c r="J25" s="411">
        <v>1.44</v>
      </c>
      <c r="K25" s="411">
        <v>14.85</v>
      </c>
      <c r="L25" s="411">
        <v>0</v>
      </c>
      <c r="M25" s="411">
        <v>0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11.75" customHeight="1">
      <c r="A26" s="73" t="s">
        <v>40</v>
      </c>
      <c r="B26" s="411">
        <v>5.92</v>
      </c>
      <c r="C26" s="411">
        <v>5.45</v>
      </c>
      <c r="D26" s="411">
        <v>6.34</v>
      </c>
      <c r="E26" s="411">
        <v>5.47</v>
      </c>
      <c r="F26" s="411">
        <v>4.1100000000000003</v>
      </c>
      <c r="G26" s="411">
        <v>4.08</v>
      </c>
      <c r="H26" s="411">
        <v>3.74</v>
      </c>
      <c r="I26" s="411">
        <v>4.6100000000000003</v>
      </c>
      <c r="J26" s="411">
        <v>1.61</v>
      </c>
      <c r="K26" s="411">
        <v>13.1</v>
      </c>
      <c r="L26" s="411">
        <v>6.09</v>
      </c>
      <c r="M26" s="411">
        <v>6.47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11.75" customHeight="1">
      <c r="A27" s="73" t="s">
        <v>41</v>
      </c>
      <c r="B27" s="411">
        <v>6.15</v>
      </c>
      <c r="C27" s="411">
        <v>4.83</v>
      </c>
      <c r="D27" s="411">
        <v>5.3</v>
      </c>
      <c r="E27" s="411">
        <v>5.17</v>
      </c>
      <c r="F27" s="411">
        <v>3.54</v>
      </c>
      <c r="G27" s="411">
        <v>3.71</v>
      </c>
      <c r="H27" s="411">
        <v>3.55</v>
      </c>
      <c r="I27" s="411">
        <v>4.5</v>
      </c>
      <c r="J27" s="411">
        <v>1.34</v>
      </c>
      <c r="K27" s="411">
        <v>12.83</v>
      </c>
      <c r="L27" s="411">
        <v>5.81</v>
      </c>
      <c r="M27" s="411">
        <v>6.31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11.75" customHeight="1">
      <c r="A28" s="73" t="s">
        <v>100</v>
      </c>
      <c r="B28" s="411">
        <v>6.14</v>
      </c>
      <c r="C28" s="411">
        <v>4.84</v>
      </c>
      <c r="D28" s="411">
        <v>5.28</v>
      </c>
      <c r="E28" s="411">
        <v>5.17</v>
      </c>
      <c r="F28" s="411">
        <v>3.67</v>
      </c>
      <c r="G28" s="411">
        <v>3.71</v>
      </c>
      <c r="H28" s="411">
        <v>3.55</v>
      </c>
      <c r="I28" s="411">
        <v>4.4800000000000004</v>
      </c>
      <c r="J28" s="411">
        <v>1.34</v>
      </c>
      <c r="K28" s="411">
        <v>12.83</v>
      </c>
      <c r="L28" s="411">
        <v>5.81</v>
      </c>
      <c r="M28" s="411">
        <v>6.3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11.75" customHeight="1">
      <c r="A29" s="73" t="s">
        <v>101</v>
      </c>
      <c r="B29" s="411">
        <v>6.15</v>
      </c>
      <c r="C29" s="411">
        <v>4.83</v>
      </c>
      <c r="D29" s="411">
        <v>5.32</v>
      </c>
      <c r="E29" s="411">
        <v>5.17</v>
      </c>
      <c r="F29" s="411">
        <v>3.49</v>
      </c>
      <c r="G29" s="411">
        <v>3.71</v>
      </c>
      <c r="H29" s="411">
        <v>3.55</v>
      </c>
      <c r="I29" s="411">
        <v>4.53</v>
      </c>
      <c r="J29" s="411">
        <v>1.35</v>
      </c>
      <c r="K29" s="411">
        <v>12.85</v>
      </c>
      <c r="L29" s="411">
        <v>5.8</v>
      </c>
      <c r="M29" s="411">
        <v>6.32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11.75" customHeight="1">
      <c r="A30" s="73" t="s">
        <v>44</v>
      </c>
      <c r="B30" s="411">
        <v>6.3</v>
      </c>
      <c r="C30" s="411">
        <v>5.57</v>
      </c>
      <c r="D30" s="411">
        <v>7.98</v>
      </c>
      <c r="E30" s="411">
        <v>6.15</v>
      </c>
      <c r="F30" s="411">
        <v>4.9400000000000004</v>
      </c>
      <c r="G30" s="411">
        <v>4.75</v>
      </c>
      <c r="H30" s="411">
        <v>3.91</v>
      </c>
      <c r="I30" s="411">
        <v>4.7</v>
      </c>
      <c r="J30" s="411">
        <v>1.39</v>
      </c>
      <c r="K30" s="411">
        <v>14.83</v>
      </c>
      <c r="L30" s="411">
        <v>6.64</v>
      </c>
      <c r="M30" s="411">
        <v>6.95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ht="11.75" customHeight="1">
      <c r="A31" s="73" t="s">
        <v>45</v>
      </c>
      <c r="B31" s="411">
        <v>6.21</v>
      </c>
      <c r="C31" s="411">
        <v>5.73</v>
      </c>
      <c r="D31" s="411">
        <v>7.3</v>
      </c>
      <c r="E31" s="411">
        <v>5.84</v>
      </c>
      <c r="F31" s="411">
        <v>0</v>
      </c>
      <c r="G31" s="411">
        <v>5.25</v>
      </c>
      <c r="H31" s="411">
        <v>4.17</v>
      </c>
      <c r="I31" s="411">
        <v>4.6399999999999997</v>
      </c>
      <c r="J31" s="411">
        <v>1.43</v>
      </c>
      <c r="K31" s="411">
        <v>14.86</v>
      </c>
      <c r="L31" s="411">
        <v>6.3</v>
      </c>
      <c r="M31" s="411">
        <v>6.55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11.75" customHeight="1">
      <c r="A32" s="73" t="s">
        <v>46</v>
      </c>
      <c r="B32" s="411">
        <v>6.24</v>
      </c>
      <c r="C32" s="411">
        <v>5.36</v>
      </c>
      <c r="D32" s="411">
        <v>6.78</v>
      </c>
      <c r="E32" s="411">
        <v>5.89</v>
      </c>
      <c r="F32" s="411">
        <v>0</v>
      </c>
      <c r="G32" s="411">
        <v>0</v>
      </c>
      <c r="H32" s="411">
        <v>0</v>
      </c>
      <c r="I32" s="411">
        <v>4.76</v>
      </c>
      <c r="J32" s="411">
        <v>1.35</v>
      </c>
      <c r="K32" s="411">
        <v>0</v>
      </c>
      <c r="L32" s="411">
        <v>0</v>
      </c>
      <c r="M32" s="411">
        <v>0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spans="1:26" ht="11.75" customHeight="1">
      <c r="A33" s="73" t="s">
        <v>47</v>
      </c>
      <c r="B33" s="411">
        <v>6.27</v>
      </c>
      <c r="C33" s="411">
        <v>4.6399999999999997</v>
      </c>
      <c r="D33" s="411">
        <v>6.73</v>
      </c>
      <c r="E33" s="411">
        <v>5.97</v>
      </c>
      <c r="F33" s="411">
        <v>4.84</v>
      </c>
      <c r="G33" s="411">
        <v>0</v>
      </c>
      <c r="H33" s="411">
        <v>0</v>
      </c>
      <c r="I33" s="411">
        <v>4.82</v>
      </c>
      <c r="J33" s="411">
        <v>1.94</v>
      </c>
      <c r="K33" s="411">
        <v>0</v>
      </c>
      <c r="L33" s="411">
        <v>0</v>
      </c>
      <c r="M33" s="411">
        <v>0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spans="1:26" ht="11.75" customHeight="1">
      <c r="A34" s="73" t="s">
        <v>48</v>
      </c>
      <c r="B34" s="411">
        <v>6.22</v>
      </c>
      <c r="C34" s="411">
        <v>4.8600000000000003</v>
      </c>
      <c r="D34" s="411">
        <v>6.86</v>
      </c>
      <c r="E34" s="411">
        <v>5.75</v>
      </c>
      <c r="F34" s="411">
        <v>0</v>
      </c>
      <c r="G34" s="411">
        <v>0</v>
      </c>
      <c r="H34" s="411">
        <v>0</v>
      </c>
      <c r="I34" s="411">
        <v>4.8</v>
      </c>
      <c r="J34" s="411">
        <v>1.6</v>
      </c>
      <c r="K34" s="411">
        <v>0</v>
      </c>
      <c r="L34" s="411">
        <v>0</v>
      </c>
      <c r="M34" s="411">
        <v>0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11.75" customHeight="1" thickBot="1">
      <c r="A35" s="121" t="s">
        <v>49</v>
      </c>
      <c r="B35" s="412">
        <v>6.2</v>
      </c>
      <c r="C35" s="412">
        <v>5.1100000000000003</v>
      </c>
      <c r="D35" s="412">
        <v>6.44</v>
      </c>
      <c r="E35" s="412">
        <v>5.76</v>
      </c>
      <c r="F35" s="412">
        <v>0</v>
      </c>
      <c r="G35" s="412">
        <v>0</v>
      </c>
      <c r="H35" s="412">
        <v>0</v>
      </c>
      <c r="I35" s="412">
        <v>4.8099999999999996</v>
      </c>
      <c r="J35" s="412">
        <v>1.62</v>
      </c>
      <c r="K35" s="412">
        <v>0</v>
      </c>
      <c r="L35" s="412">
        <v>0</v>
      </c>
      <c r="M35" s="412">
        <v>0</v>
      </c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spans="1:26" ht="9" customHeight="1">
      <c r="A36" s="796" t="s">
        <v>374</v>
      </c>
      <c r="B36" s="862"/>
      <c r="C36" s="796" t="s">
        <v>375</v>
      </c>
      <c r="D36" s="862"/>
      <c r="E36" s="796"/>
      <c r="F36" s="862"/>
      <c r="G36" s="410"/>
      <c r="H36" s="190"/>
      <c r="I36" s="410"/>
      <c r="J36" s="190"/>
      <c r="K36" s="190"/>
      <c r="L36" s="410"/>
      <c r="M36" s="410"/>
      <c r="O36" s="120"/>
    </row>
    <row r="37" spans="1:26" ht="9" customHeight="1">
      <c r="A37" s="778" t="s">
        <v>402</v>
      </c>
      <c r="B37" s="862"/>
      <c r="C37" s="862"/>
      <c r="D37" s="862"/>
      <c r="E37" s="862"/>
      <c r="F37" s="862"/>
      <c r="G37" s="410"/>
      <c r="H37" s="410"/>
      <c r="I37" s="410"/>
      <c r="J37" s="410"/>
      <c r="K37" s="410"/>
      <c r="L37" s="410"/>
      <c r="M37" s="410"/>
    </row>
    <row r="38" spans="1:26" ht="9" customHeight="1">
      <c r="A38" s="778" t="s">
        <v>359</v>
      </c>
      <c r="B38" s="796"/>
      <c r="C38" s="796"/>
      <c r="D38" s="796"/>
      <c r="E38" s="796"/>
      <c r="F38" s="796"/>
      <c r="G38" s="190"/>
      <c r="H38" s="190"/>
      <c r="I38" s="190"/>
      <c r="J38" s="190"/>
      <c r="K38" s="190"/>
      <c r="L38" s="190"/>
      <c r="M38" s="190"/>
    </row>
    <row r="39" spans="1:26" ht="9" customHeight="1">
      <c r="A39" s="780" t="s">
        <v>358</v>
      </c>
      <c r="B39" s="796"/>
      <c r="C39" s="796"/>
      <c r="D39" s="796"/>
      <c r="E39" s="796"/>
      <c r="F39" s="796"/>
      <c r="G39" s="190"/>
      <c r="H39" s="190"/>
      <c r="I39" s="190"/>
      <c r="J39" s="190"/>
      <c r="K39" s="190"/>
      <c r="L39" s="190"/>
      <c r="M39" s="190"/>
    </row>
    <row r="40" spans="1:26" ht="13.25" customHeight="1">
      <c r="A40" s="24"/>
    </row>
    <row r="41" spans="1:26" ht="13.25" customHeight="1">
      <c r="A41" s="24"/>
    </row>
  </sheetData>
  <mergeCells count="8">
    <mergeCell ref="G4:G5"/>
    <mergeCell ref="H4:H5"/>
    <mergeCell ref="A4:A5"/>
    <mergeCell ref="B4:B5"/>
    <mergeCell ref="C4:C5"/>
    <mergeCell ref="D4:D5"/>
    <mergeCell ref="E4:E5"/>
    <mergeCell ref="F4:F5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Hoja102">
    <tabColor theme="9" tint="0.59999389629810485"/>
  </sheetPr>
  <dimension ref="A1:N39"/>
  <sheetViews>
    <sheetView showGridLines="0" zoomScaleNormal="100" workbookViewId="0">
      <selection activeCell="D6" sqref="D6:I34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14" ht="17" customHeight="1">
      <c r="A1" s="417" t="s">
        <v>615</v>
      </c>
      <c r="B1" s="197"/>
      <c r="C1" s="109"/>
      <c r="D1" s="109"/>
      <c r="E1" s="109"/>
      <c r="F1" s="109"/>
      <c r="G1" s="112"/>
      <c r="H1" s="111"/>
      <c r="I1" s="109"/>
      <c r="J1" s="109"/>
      <c r="K1" s="109"/>
      <c r="L1" s="109"/>
      <c r="M1" s="109"/>
      <c r="N1" s="109"/>
    </row>
    <row r="2" spans="1:14" ht="13.25" customHeight="1">
      <c r="A2" s="405" t="s">
        <v>333</v>
      </c>
      <c r="B2" s="197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14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14" ht="15" customHeight="1">
      <c r="A4" s="565" t="s">
        <v>18</v>
      </c>
      <c r="B4" s="565" t="s">
        <v>54</v>
      </c>
      <c r="C4" s="565" t="s">
        <v>55</v>
      </c>
      <c r="D4" s="565" t="s">
        <v>56</v>
      </c>
      <c r="E4" s="565" t="s">
        <v>57</v>
      </c>
      <c r="F4" s="565" t="s">
        <v>58</v>
      </c>
      <c r="G4" s="565" t="s">
        <v>59</v>
      </c>
      <c r="H4" s="565" t="s">
        <v>60</v>
      </c>
      <c r="I4" s="565" t="s">
        <v>61</v>
      </c>
      <c r="J4" s="565" t="s">
        <v>62</v>
      </c>
      <c r="K4" s="565" t="s">
        <v>63</v>
      </c>
      <c r="L4" s="565" t="s">
        <v>64</v>
      </c>
      <c r="M4" s="565" t="s">
        <v>65</v>
      </c>
      <c r="N4" s="565" t="s">
        <v>66</v>
      </c>
    </row>
    <row r="5" spans="1:14" ht="15" customHeight="1">
      <c r="A5" s="721" t="s">
        <v>103</v>
      </c>
      <c r="B5" s="722">
        <v>6.33</v>
      </c>
      <c r="C5" s="722">
        <v>6</v>
      </c>
      <c r="D5" s="722">
        <v>6.01</v>
      </c>
      <c r="E5" s="722">
        <v>6.13</v>
      </c>
      <c r="F5" s="722">
        <v>6.09</v>
      </c>
      <c r="G5" s="722">
        <v>6.12</v>
      </c>
      <c r="H5" s="722">
        <v>6.19</v>
      </c>
      <c r="I5" s="722">
        <v>6.26</v>
      </c>
      <c r="J5" s="722">
        <v>6.75</v>
      </c>
      <c r="K5" s="722">
        <v>6.58</v>
      </c>
      <c r="L5" s="722">
        <v>6.57</v>
      </c>
      <c r="M5" s="722">
        <v>6.61</v>
      </c>
      <c r="N5" s="722">
        <v>6.63</v>
      </c>
    </row>
    <row r="6" spans="1:14" ht="12" customHeight="1">
      <c r="A6" s="73" t="s">
        <v>21</v>
      </c>
      <c r="B6" s="726">
        <v>5.91</v>
      </c>
      <c r="C6" s="411">
        <v>5.56</v>
      </c>
      <c r="D6" s="411">
        <v>5.51</v>
      </c>
      <c r="E6" s="411">
        <v>5.56</v>
      </c>
      <c r="F6" s="411">
        <v>5.58</v>
      </c>
      <c r="G6" s="411">
        <v>5.6</v>
      </c>
      <c r="H6" s="411">
        <v>5.62</v>
      </c>
      <c r="I6" s="411">
        <v>5.72</v>
      </c>
      <c r="J6" s="411">
        <v>6.05</v>
      </c>
      <c r="K6" s="411">
        <v>6.06</v>
      </c>
      <c r="L6" s="411">
        <v>6.05</v>
      </c>
      <c r="M6" s="411">
        <v>6.18</v>
      </c>
      <c r="N6" s="411">
        <v>6.2</v>
      </c>
    </row>
    <row r="7" spans="1:14" ht="12" customHeight="1">
      <c r="A7" s="73" t="s">
        <v>22</v>
      </c>
      <c r="B7" s="726">
        <v>6.21</v>
      </c>
      <c r="C7" s="411">
        <v>5.96</v>
      </c>
      <c r="D7" s="411">
        <v>5.92</v>
      </c>
      <c r="E7" s="411">
        <v>5.97</v>
      </c>
      <c r="F7" s="411">
        <v>5.99</v>
      </c>
      <c r="G7" s="411">
        <v>6.02</v>
      </c>
      <c r="H7" s="411">
        <v>6.04</v>
      </c>
      <c r="I7" s="411">
        <v>6.15</v>
      </c>
      <c r="J7" s="411">
        <v>6.48</v>
      </c>
      <c r="K7" s="411">
        <v>6.48</v>
      </c>
      <c r="L7" s="411">
        <v>6.46</v>
      </c>
      <c r="M7" s="411">
        <v>6.5</v>
      </c>
      <c r="N7" s="411">
        <v>6.55</v>
      </c>
    </row>
    <row r="8" spans="1:14" ht="12" customHeight="1">
      <c r="A8" s="73" t="s">
        <v>23</v>
      </c>
      <c r="B8" s="726">
        <v>6.3</v>
      </c>
      <c r="C8" s="411">
        <v>6.02</v>
      </c>
      <c r="D8" s="411">
        <v>6</v>
      </c>
      <c r="E8" s="411">
        <v>6.05</v>
      </c>
      <c r="F8" s="411">
        <v>6.07</v>
      </c>
      <c r="G8" s="411">
        <v>6.09</v>
      </c>
      <c r="H8" s="411">
        <v>6.11</v>
      </c>
      <c r="I8" s="411">
        <v>6.22</v>
      </c>
      <c r="J8" s="411">
        <v>6.65</v>
      </c>
      <c r="K8" s="411">
        <v>6.56</v>
      </c>
      <c r="L8" s="411">
        <v>6.55</v>
      </c>
      <c r="M8" s="411">
        <v>6.66</v>
      </c>
      <c r="N8" s="411">
        <v>6.68</v>
      </c>
    </row>
    <row r="9" spans="1:14" ht="12" customHeight="1">
      <c r="A9" s="73" t="s">
        <v>24</v>
      </c>
      <c r="B9" s="726">
        <v>6.33</v>
      </c>
      <c r="C9" s="411">
        <v>6.01</v>
      </c>
      <c r="D9" s="411">
        <v>6.01</v>
      </c>
      <c r="E9" s="411">
        <v>6.09</v>
      </c>
      <c r="F9" s="411">
        <v>6.09</v>
      </c>
      <c r="G9" s="411">
        <v>6.12</v>
      </c>
      <c r="H9" s="411">
        <v>6.19</v>
      </c>
      <c r="I9" s="411">
        <v>6.25</v>
      </c>
      <c r="J9" s="411">
        <v>6.79</v>
      </c>
      <c r="K9" s="411">
        <v>6.6</v>
      </c>
      <c r="L9" s="411">
        <v>6.59</v>
      </c>
      <c r="M9" s="411">
        <v>6.62</v>
      </c>
      <c r="N9" s="411">
        <v>6.66</v>
      </c>
    </row>
    <row r="10" spans="1:14" ht="12" customHeight="1">
      <c r="A10" s="73" t="s">
        <v>25</v>
      </c>
      <c r="B10" s="726">
        <v>6.33</v>
      </c>
      <c r="C10" s="411">
        <v>6.1</v>
      </c>
      <c r="D10" s="411">
        <v>6.07</v>
      </c>
      <c r="E10" s="411">
        <v>6.1</v>
      </c>
      <c r="F10" s="411">
        <v>6.11</v>
      </c>
      <c r="G10" s="411">
        <v>6.12</v>
      </c>
      <c r="H10" s="411">
        <v>6.14</v>
      </c>
      <c r="I10" s="411">
        <v>6.25</v>
      </c>
      <c r="J10" s="411">
        <v>6.54</v>
      </c>
      <c r="K10" s="411">
        <v>6.54</v>
      </c>
      <c r="L10" s="411">
        <v>6.55</v>
      </c>
      <c r="M10" s="411">
        <v>6.6</v>
      </c>
      <c r="N10" s="411">
        <v>6.62</v>
      </c>
    </row>
    <row r="11" spans="1:14" ht="12" customHeight="1">
      <c r="A11" s="73" t="s">
        <v>97</v>
      </c>
      <c r="B11" s="726">
        <v>6.35</v>
      </c>
      <c r="C11" s="411">
        <v>6.1</v>
      </c>
      <c r="D11" s="411">
        <v>6.07</v>
      </c>
      <c r="E11" s="411">
        <v>6.1</v>
      </c>
      <c r="F11" s="411">
        <v>6.12</v>
      </c>
      <c r="G11" s="411">
        <v>6.13</v>
      </c>
      <c r="H11" s="411">
        <v>6.15</v>
      </c>
      <c r="I11" s="411">
        <v>6.26</v>
      </c>
      <c r="J11" s="411">
        <v>6.58</v>
      </c>
      <c r="K11" s="411">
        <v>6.58</v>
      </c>
      <c r="L11" s="411">
        <v>6.58</v>
      </c>
      <c r="M11" s="411">
        <v>6.63</v>
      </c>
      <c r="N11" s="411">
        <v>6.65</v>
      </c>
    </row>
    <row r="12" spans="1:14" ht="12" customHeight="1">
      <c r="A12" s="73" t="s">
        <v>98</v>
      </c>
      <c r="B12" s="726">
        <v>6.34</v>
      </c>
      <c r="C12" s="411">
        <v>6.12</v>
      </c>
      <c r="D12" s="411">
        <v>6.1</v>
      </c>
      <c r="E12" s="411">
        <v>6.12</v>
      </c>
      <c r="F12" s="411">
        <v>6.12</v>
      </c>
      <c r="G12" s="411">
        <v>6.12</v>
      </c>
      <c r="H12" s="411">
        <v>6.14</v>
      </c>
      <c r="I12" s="411">
        <v>6.25</v>
      </c>
      <c r="J12" s="411">
        <v>6.56</v>
      </c>
      <c r="K12" s="411">
        <v>6.57</v>
      </c>
      <c r="L12" s="411">
        <v>6.57</v>
      </c>
      <c r="M12" s="411">
        <v>6.6</v>
      </c>
      <c r="N12" s="411">
        <v>6.62</v>
      </c>
    </row>
    <row r="13" spans="1:14" ht="12" customHeight="1">
      <c r="A13" s="73" t="s">
        <v>127</v>
      </c>
      <c r="B13" s="726">
        <v>6.25</v>
      </c>
      <c r="C13" s="411">
        <v>6.09</v>
      </c>
      <c r="D13" s="411">
        <v>6.02</v>
      </c>
      <c r="E13" s="411">
        <v>6.07</v>
      </c>
      <c r="F13" s="411">
        <v>6.08</v>
      </c>
      <c r="G13" s="411">
        <v>6.1</v>
      </c>
      <c r="H13" s="411">
        <v>6.12</v>
      </c>
      <c r="I13" s="411">
        <v>6.23</v>
      </c>
      <c r="J13" s="411">
        <v>6.38</v>
      </c>
      <c r="K13" s="411">
        <v>6.4</v>
      </c>
      <c r="L13" s="411">
        <v>6.42</v>
      </c>
      <c r="M13" s="411">
        <v>6.48</v>
      </c>
      <c r="N13" s="411">
        <v>6.52</v>
      </c>
    </row>
    <row r="14" spans="1:14" ht="12" customHeight="1">
      <c r="A14" s="73" t="s">
        <v>29</v>
      </c>
      <c r="B14" s="726">
        <v>6.28</v>
      </c>
      <c r="C14" s="411">
        <v>6.05</v>
      </c>
      <c r="D14" s="411">
        <v>6</v>
      </c>
      <c r="E14" s="411">
        <v>6.05</v>
      </c>
      <c r="F14" s="411">
        <v>6.07</v>
      </c>
      <c r="G14" s="411">
        <v>6.09</v>
      </c>
      <c r="H14" s="411">
        <v>6.1</v>
      </c>
      <c r="I14" s="411">
        <v>6.22</v>
      </c>
      <c r="J14" s="411">
        <v>6.47</v>
      </c>
      <c r="K14" s="411">
        <v>6.48</v>
      </c>
      <c r="L14" s="411">
        <v>6.48</v>
      </c>
      <c r="M14" s="411">
        <v>6.53</v>
      </c>
      <c r="N14" s="411">
        <v>6.55</v>
      </c>
    </row>
    <row r="15" spans="1:14" ht="12" customHeight="1">
      <c r="A15" s="73" t="s">
        <v>30</v>
      </c>
      <c r="B15" s="726">
        <v>6.26</v>
      </c>
      <c r="C15" s="411">
        <v>6</v>
      </c>
      <c r="D15" s="411">
        <v>6.01</v>
      </c>
      <c r="E15" s="411">
        <v>6.09</v>
      </c>
      <c r="F15" s="411">
        <v>6.08</v>
      </c>
      <c r="G15" s="411">
        <v>6.1</v>
      </c>
      <c r="H15" s="411">
        <v>6.12</v>
      </c>
      <c r="I15" s="411">
        <v>6.23</v>
      </c>
      <c r="J15" s="411">
        <v>6.58</v>
      </c>
      <c r="K15" s="411">
        <v>6.49</v>
      </c>
      <c r="L15" s="411">
        <v>6.51</v>
      </c>
      <c r="M15" s="411">
        <v>6.53</v>
      </c>
      <c r="N15" s="411">
        <v>6.55</v>
      </c>
    </row>
    <row r="16" spans="1:14" ht="12" customHeight="1">
      <c r="A16" s="73" t="s">
        <v>31</v>
      </c>
      <c r="B16" s="726">
        <v>6.39</v>
      </c>
      <c r="C16" s="411">
        <v>6.01</v>
      </c>
      <c r="D16" s="411">
        <v>6.03</v>
      </c>
      <c r="E16" s="411">
        <v>6.2</v>
      </c>
      <c r="F16" s="411">
        <v>6.13</v>
      </c>
      <c r="G16" s="411">
        <v>6.16</v>
      </c>
      <c r="H16" s="411">
        <v>6.25</v>
      </c>
      <c r="I16" s="411">
        <v>6.3</v>
      </c>
      <c r="J16" s="411">
        <v>6.83</v>
      </c>
      <c r="K16" s="411">
        <v>6.63</v>
      </c>
      <c r="L16" s="411">
        <v>6.61</v>
      </c>
      <c r="M16" s="411">
        <v>6.66</v>
      </c>
      <c r="N16" s="411">
        <v>6.67</v>
      </c>
    </row>
    <row r="17" spans="1:14" ht="12" customHeight="1">
      <c r="A17" s="73" t="s">
        <v>32</v>
      </c>
      <c r="B17" s="726">
        <v>6.11</v>
      </c>
      <c r="C17" s="411">
        <v>5.83</v>
      </c>
      <c r="D17" s="411">
        <v>5.81</v>
      </c>
      <c r="E17" s="411">
        <v>5.96</v>
      </c>
      <c r="F17" s="411">
        <v>5.88</v>
      </c>
      <c r="G17" s="411">
        <v>5.9</v>
      </c>
      <c r="H17" s="411">
        <v>5.93</v>
      </c>
      <c r="I17" s="411">
        <v>6.04</v>
      </c>
      <c r="J17" s="411">
        <v>6.49</v>
      </c>
      <c r="K17" s="411">
        <v>6.3</v>
      </c>
      <c r="L17" s="411">
        <v>6.3</v>
      </c>
      <c r="M17" s="411">
        <v>6.41</v>
      </c>
      <c r="N17" s="411">
        <v>6.48</v>
      </c>
    </row>
    <row r="18" spans="1:14" ht="12" customHeight="1">
      <c r="A18" s="73" t="s">
        <v>33</v>
      </c>
      <c r="B18" s="726">
        <v>6.34</v>
      </c>
      <c r="C18" s="411">
        <v>6.11</v>
      </c>
      <c r="D18" s="411">
        <v>6.08</v>
      </c>
      <c r="E18" s="411">
        <v>6.12</v>
      </c>
      <c r="F18" s="411">
        <v>6.12</v>
      </c>
      <c r="G18" s="411">
        <v>6.12</v>
      </c>
      <c r="H18" s="411">
        <v>6.14</v>
      </c>
      <c r="I18" s="411">
        <v>6.25</v>
      </c>
      <c r="J18" s="411">
        <v>6.56</v>
      </c>
      <c r="K18" s="411">
        <v>6.57</v>
      </c>
      <c r="L18" s="411">
        <v>6.57</v>
      </c>
      <c r="M18" s="411">
        <v>6.62</v>
      </c>
      <c r="N18" s="411">
        <v>6.65</v>
      </c>
    </row>
    <row r="19" spans="1:14" ht="12" customHeight="1">
      <c r="A19" s="73" t="s">
        <v>34</v>
      </c>
      <c r="B19" s="726">
        <v>6.21</v>
      </c>
      <c r="C19" s="411">
        <v>6.01</v>
      </c>
      <c r="D19" s="411">
        <v>6</v>
      </c>
      <c r="E19" s="411">
        <v>6.05</v>
      </c>
      <c r="F19" s="411">
        <v>6.05</v>
      </c>
      <c r="G19" s="411">
        <v>6.06</v>
      </c>
      <c r="H19" s="411">
        <v>6.08</v>
      </c>
      <c r="I19" s="411">
        <v>6.18</v>
      </c>
      <c r="J19" s="411">
        <v>6.33</v>
      </c>
      <c r="K19" s="411">
        <v>6.34</v>
      </c>
      <c r="L19" s="411">
        <v>6.35</v>
      </c>
      <c r="M19" s="411">
        <v>6.4</v>
      </c>
      <c r="N19" s="411">
        <v>6.44</v>
      </c>
    </row>
    <row r="20" spans="1:14" ht="12" customHeight="1">
      <c r="A20" s="73" t="s">
        <v>35</v>
      </c>
      <c r="B20" s="726">
        <v>6.25</v>
      </c>
      <c r="C20" s="411">
        <v>6.02</v>
      </c>
      <c r="D20" s="411">
        <v>6.01</v>
      </c>
      <c r="E20" s="411">
        <v>6.06</v>
      </c>
      <c r="F20" s="411">
        <v>6.07</v>
      </c>
      <c r="G20" s="411">
        <v>6.09</v>
      </c>
      <c r="H20" s="411">
        <v>6.12</v>
      </c>
      <c r="I20" s="411">
        <v>6.24</v>
      </c>
      <c r="J20" s="411">
        <v>6.45</v>
      </c>
      <c r="K20" s="411">
        <v>6.46</v>
      </c>
      <c r="L20" s="411">
        <v>6.46</v>
      </c>
      <c r="M20" s="411">
        <v>6.52</v>
      </c>
      <c r="N20" s="411">
        <v>6.55</v>
      </c>
    </row>
    <row r="21" spans="1:14" ht="12" customHeight="1">
      <c r="A21" s="73" t="s">
        <v>36</v>
      </c>
      <c r="B21" s="726">
        <v>6.72</v>
      </c>
      <c r="C21" s="411">
        <v>5.85</v>
      </c>
      <c r="D21" s="411">
        <v>5.83</v>
      </c>
      <c r="E21" s="411">
        <v>5.88</v>
      </c>
      <c r="F21" s="411">
        <v>6.88</v>
      </c>
      <c r="G21" s="411">
        <v>6.89</v>
      </c>
      <c r="H21" s="411">
        <v>6.9</v>
      </c>
      <c r="I21" s="411">
        <v>6.98</v>
      </c>
      <c r="J21" s="411">
        <v>7.03</v>
      </c>
      <c r="K21" s="411">
        <v>7.04</v>
      </c>
      <c r="L21" s="411">
        <v>7.04</v>
      </c>
      <c r="M21" s="411">
        <v>7.09</v>
      </c>
      <c r="N21" s="411">
        <v>7.12</v>
      </c>
    </row>
    <row r="22" spans="1:14" ht="12" customHeight="1">
      <c r="A22" s="73" t="s">
        <v>37</v>
      </c>
      <c r="B22" s="726">
        <v>6.32</v>
      </c>
      <c r="C22" s="411">
        <v>6.01</v>
      </c>
      <c r="D22" s="411">
        <v>6</v>
      </c>
      <c r="E22" s="411">
        <v>6.08</v>
      </c>
      <c r="F22" s="411">
        <v>6.08</v>
      </c>
      <c r="G22" s="411">
        <v>6.11</v>
      </c>
      <c r="H22" s="411">
        <v>6.17</v>
      </c>
      <c r="I22" s="411">
        <v>6.25</v>
      </c>
      <c r="J22" s="411">
        <v>6.76</v>
      </c>
      <c r="K22" s="411">
        <v>6.57</v>
      </c>
      <c r="L22" s="411">
        <v>6.56</v>
      </c>
      <c r="M22" s="411">
        <v>6.63</v>
      </c>
      <c r="N22" s="411">
        <v>6.66</v>
      </c>
    </row>
    <row r="23" spans="1:14" ht="12" customHeight="1">
      <c r="A23" s="73" t="s">
        <v>38</v>
      </c>
      <c r="B23" s="726">
        <v>5.64</v>
      </c>
      <c r="C23" s="411">
        <v>5.47</v>
      </c>
      <c r="D23" s="411">
        <v>5.44</v>
      </c>
      <c r="E23" s="411">
        <v>5.48</v>
      </c>
      <c r="F23" s="411">
        <v>5.49</v>
      </c>
      <c r="G23" s="411">
        <v>5.5</v>
      </c>
      <c r="H23" s="411">
        <v>5.52</v>
      </c>
      <c r="I23" s="411">
        <v>5.6</v>
      </c>
      <c r="J23" s="411">
        <v>5.75</v>
      </c>
      <c r="K23" s="411">
        <v>5.75</v>
      </c>
      <c r="L23" s="411">
        <v>5.76</v>
      </c>
      <c r="M23" s="411">
        <v>5.82</v>
      </c>
      <c r="N23" s="411">
        <v>5.86</v>
      </c>
    </row>
    <row r="24" spans="1:14" ht="12" customHeight="1">
      <c r="A24" s="73" t="s">
        <v>39</v>
      </c>
      <c r="B24" s="726">
        <v>6.04</v>
      </c>
      <c r="C24" s="411">
        <v>5.97</v>
      </c>
      <c r="D24" s="411">
        <v>5.95</v>
      </c>
      <c r="E24" s="411">
        <v>6.02</v>
      </c>
      <c r="F24" s="411">
        <v>6.07</v>
      </c>
      <c r="G24" s="411">
        <v>6.09</v>
      </c>
      <c r="H24" s="411">
        <v>6.11</v>
      </c>
      <c r="I24" s="411">
        <v>6.22</v>
      </c>
      <c r="J24" s="411">
        <v>6.37</v>
      </c>
      <c r="K24" s="411">
        <v>6.37</v>
      </c>
      <c r="L24" s="411">
        <v>6.38</v>
      </c>
      <c r="M24" s="411">
        <v>5.44</v>
      </c>
      <c r="N24" s="411">
        <v>5.48</v>
      </c>
    </row>
    <row r="25" spans="1:14" ht="12" customHeight="1">
      <c r="A25" s="73" t="s">
        <v>40</v>
      </c>
      <c r="B25" s="726">
        <v>5.92</v>
      </c>
      <c r="C25" s="411">
        <v>5.75</v>
      </c>
      <c r="D25" s="411">
        <v>5.72</v>
      </c>
      <c r="E25" s="411">
        <v>5.76</v>
      </c>
      <c r="F25" s="411">
        <v>5.76</v>
      </c>
      <c r="G25" s="411">
        <v>5.78</v>
      </c>
      <c r="H25" s="411">
        <v>5.8</v>
      </c>
      <c r="I25" s="411">
        <v>5.9</v>
      </c>
      <c r="J25" s="411">
        <v>6.05</v>
      </c>
      <c r="K25" s="411">
        <v>6.05</v>
      </c>
      <c r="L25" s="411">
        <v>6.06</v>
      </c>
      <c r="M25" s="411">
        <v>6.1</v>
      </c>
      <c r="N25" s="411">
        <v>6.15</v>
      </c>
    </row>
    <row r="26" spans="1:14" ht="12" customHeight="1">
      <c r="A26" s="73" t="s">
        <v>41</v>
      </c>
      <c r="B26" s="726">
        <v>6.15</v>
      </c>
      <c r="C26" s="411">
        <v>6.01</v>
      </c>
      <c r="D26" s="411">
        <v>6</v>
      </c>
      <c r="E26" s="411">
        <v>6.05</v>
      </c>
      <c r="F26" s="411">
        <v>6.05</v>
      </c>
      <c r="G26" s="411">
        <v>6.07</v>
      </c>
      <c r="H26" s="411">
        <v>6.08</v>
      </c>
      <c r="I26" s="411">
        <v>6.18</v>
      </c>
      <c r="J26" s="411">
        <v>6.23</v>
      </c>
      <c r="K26" s="411">
        <v>6.24</v>
      </c>
      <c r="L26" s="411">
        <v>6.24</v>
      </c>
      <c r="M26" s="411">
        <v>6.29</v>
      </c>
      <c r="N26" s="411">
        <v>6.33</v>
      </c>
    </row>
    <row r="27" spans="1:14" ht="12" customHeight="1">
      <c r="A27" s="73" t="s">
        <v>100</v>
      </c>
      <c r="B27" s="726">
        <v>6.14</v>
      </c>
      <c r="C27" s="411">
        <v>6.01</v>
      </c>
      <c r="D27" s="411">
        <v>6</v>
      </c>
      <c r="E27" s="411">
        <v>6.04</v>
      </c>
      <c r="F27" s="411">
        <v>6.04</v>
      </c>
      <c r="G27" s="411">
        <v>6.06</v>
      </c>
      <c r="H27" s="411">
        <v>6.08</v>
      </c>
      <c r="I27" s="411">
        <v>6.18</v>
      </c>
      <c r="J27" s="411">
        <v>6.23</v>
      </c>
      <c r="K27" s="411">
        <v>6.23</v>
      </c>
      <c r="L27" s="411">
        <v>6.23</v>
      </c>
      <c r="M27" s="411">
        <v>6.28</v>
      </c>
      <c r="N27" s="411">
        <v>6.32</v>
      </c>
    </row>
    <row r="28" spans="1:14" ht="12" customHeight="1">
      <c r="A28" s="73" t="s">
        <v>101</v>
      </c>
      <c r="B28" s="726">
        <v>6.15</v>
      </c>
      <c r="C28" s="411">
        <v>6.01</v>
      </c>
      <c r="D28" s="411">
        <v>6.01</v>
      </c>
      <c r="E28" s="411">
        <v>6.05</v>
      </c>
      <c r="F28" s="411">
        <v>6.05</v>
      </c>
      <c r="G28" s="411">
        <v>6.07</v>
      </c>
      <c r="H28" s="411">
        <v>6.09</v>
      </c>
      <c r="I28" s="411">
        <v>6.2</v>
      </c>
      <c r="J28" s="411">
        <v>6.25</v>
      </c>
      <c r="K28" s="411">
        <v>6.25</v>
      </c>
      <c r="L28" s="411">
        <v>6.25</v>
      </c>
      <c r="M28" s="411">
        <v>6.3</v>
      </c>
      <c r="N28" s="411">
        <v>6.35</v>
      </c>
    </row>
    <row r="29" spans="1:14" ht="12" customHeight="1">
      <c r="A29" s="73" t="s">
        <v>44</v>
      </c>
      <c r="B29" s="726">
        <v>6.3</v>
      </c>
      <c r="C29" s="411">
        <v>6</v>
      </c>
      <c r="D29" s="411">
        <v>6</v>
      </c>
      <c r="E29" s="411">
        <v>6.07</v>
      </c>
      <c r="F29" s="411">
        <v>6.08</v>
      </c>
      <c r="G29" s="411">
        <v>6.11</v>
      </c>
      <c r="H29" s="411">
        <v>6.13</v>
      </c>
      <c r="I29" s="411">
        <v>6.23</v>
      </c>
      <c r="J29" s="411">
        <v>6.48</v>
      </c>
      <c r="K29" s="411">
        <v>6.48</v>
      </c>
      <c r="L29" s="411">
        <v>6.49</v>
      </c>
      <c r="M29" s="411">
        <v>6.53</v>
      </c>
      <c r="N29" s="411">
        <v>6.61</v>
      </c>
    </row>
    <row r="30" spans="1:14" ht="12" customHeight="1">
      <c r="A30" s="73" t="s">
        <v>45</v>
      </c>
      <c r="B30" s="726">
        <v>6.21</v>
      </c>
      <c r="C30" s="411">
        <v>6.01</v>
      </c>
      <c r="D30" s="411">
        <v>6.01</v>
      </c>
      <c r="E30" s="411">
        <v>6.05</v>
      </c>
      <c r="F30" s="411">
        <v>6.06</v>
      </c>
      <c r="G30" s="411">
        <v>6.08</v>
      </c>
      <c r="H30" s="411">
        <v>6.09</v>
      </c>
      <c r="I30" s="411">
        <v>6.2</v>
      </c>
      <c r="J30" s="411">
        <v>6.35</v>
      </c>
      <c r="K30" s="411">
        <v>6.35</v>
      </c>
      <c r="L30" s="411">
        <v>6.36</v>
      </c>
      <c r="M30" s="411">
        <v>6.41</v>
      </c>
      <c r="N30" s="411">
        <v>6.47</v>
      </c>
    </row>
    <row r="31" spans="1:14" ht="12" customHeight="1">
      <c r="A31" s="73" t="s">
        <v>46</v>
      </c>
      <c r="B31" s="726">
        <v>6.24</v>
      </c>
      <c r="C31" s="411">
        <v>6.03</v>
      </c>
      <c r="D31" s="411">
        <v>6.01</v>
      </c>
      <c r="E31" s="411">
        <v>6.06</v>
      </c>
      <c r="F31" s="411">
        <v>6.09</v>
      </c>
      <c r="G31" s="411">
        <v>6.12</v>
      </c>
      <c r="H31" s="411">
        <v>6.14</v>
      </c>
      <c r="I31" s="411">
        <v>6.25</v>
      </c>
      <c r="J31" s="411">
        <v>6.4</v>
      </c>
      <c r="K31" s="411">
        <v>6.4</v>
      </c>
      <c r="L31" s="411">
        <v>6.42</v>
      </c>
      <c r="M31" s="411">
        <v>6.47</v>
      </c>
      <c r="N31" s="411">
        <v>6.5</v>
      </c>
    </row>
    <row r="32" spans="1:14" ht="12" customHeight="1">
      <c r="A32" s="105" t="s">
        <v>47</v>
      </c>
      <c r="B32" s="726">
        <v>6.27</v>
      </c>
      <c r="C32" s="413">
        <v>6.01</v>
      </c>
      <c r="D32" s="413">
        <v>6</v>
      </c>
      <c r="E32" s="413">
        <v>6.07</v>
      </c>
      <c r="F32" s="413">
        <v>6.07</v>
      </c>
      <c r="G32" s="413">
        <v>6.1</v>
      </c>
      <c r="H32" s="413">
        <v>6.12</v>
      </c>
      <c r="I32" s="413">
        <v>6.24</v>
      </c>
      <c r="J32" s="413">
        <v>6.46</v>
      </c>
      <c r="K32" s="413">
        <v>6.47</v>
      </c>
      <c r="L32" s="413">
        <v>6.47</v>
      </c>
      <c r="M32" s="413">
        <v>6.5</v>
      </c>
      <c r="N32" s="413">
        <v>6.53</v>
      </c>
    </row>
    <row r="33" spans="1:14" ht="12" customHeight="1">
      <c r="A33" s="73" t="s">
        <v>48</v>
      </c>
      <c r="B33" s="726">
        <v>6.22</v>
      </c>
      <c r="C33" s="413">
        <v>5.98</v>
      </c>
      <c r="D33" s="413">
        <v>5.96</v>
      </c>
      <c r="E33" s="413">
        <v>6.02</v>
      </c>
      <c r="F33" s="413">
        <v>6.04</v>
      </c>
      <c r="G33" s="413">
        <v>6.06</v>
      </c>
      <c r="H33" s="413">
        <v>6.08</v>
      </c>
      <c r="I33" s="413">
        <v>6.19</v>
      </c>
      <c r="J33" s="413">
        <v>6.34</v>
      </c>
      <c r="K33" s="413">
        <v>6.35</v>
      </c>
      <c r="L33" s="413">
        <v>6.36</v>
      </c>
      <c r="M33" s="413">
        <v>6.41</v>
      </c>
      <c r="N33" s="413">
        <v>6.44</v>
      </c>
    </row>
    <row r="34" spans="1:14" ht="12" customHeight="1" thickBot="1">
      <c r="A34" s="121" t="s">
        <v>49</v>
      </c>
      <c r="B34" s="727">
        <v>6.2</v>
      </c>
      <c r="C34" s="412">
        <v>5.97</v>
      </c>
      <c r="D34" s="412">
        <v>5.95</v>
      </c>
      <c r="E34" s="412">
        <v>6.01</v>
      </c>
      <c r="F34" s="412">
        <v>6.04</v>
      </c>
      <c r="G34" s="412">
        <v>6.07</v>
      </c>
      <c r="H34" s="412">
        <v>6.09</v>
      </c>
      <c r="I34" s="412">
        <v>6.2</v>
      </c>
      <c r="J34" s="412">
        <v>6.35</v>
      </c>
      <c r="K34" s="412">
        <v>6.36</v>
      </c>
      <c r="L34" s="412">
        <v>6.37</v>
      </c>
      <c r="M34" s="412">
        <v>6.42</v>
      </c>
      <c r="N34" s="412">
        <v>6.45</v>
      </c>
    </row>
    <row r="35" spans="1:14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14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14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14" ht="13.25" customHeight="1">
      <c r="A38" s="865"/>
      <c r="B38" s="796"/>
      <c r="C38" s="796"/>
      <c r="D38" s="796"/>
    </row>
    <row r="39" spans="1:14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103">
    <tabColor theme="9" tint="0.59999389629810485"/>
  </sheetPr>
  <dimension ref="A1:AA39"/>
  <sheetViews>
    <sheetView showGridLines="0" zoomScaleNormal="100" workbookViewId="0">
      <selection activeCell="J7" sqref="J7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7" ht="17" customHeight="1">
      <c r="A1" s="417" t="s">
        <v>614</v>
      </c>
      <c r="B1" s="41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81"/>
      <c r="P1" s="81"/>
      <c r="Q1" s="81"/>
    </row>
    <row r="2" spans="1:27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7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7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7" ht="15" customHeight="1">
      <c r="A5" s="723" t="s">
        <v>103</v>
      </c>
      <c r="B5" s="725">
        <v>5.61</v>
      </c>
      <c r="C5" s="724">
        <v>5.6</v>
      </c>
      <c r="D5" s="724">
        <v>5.59</v>
      </c>
      <c r="E5" s="724">
        <v>5.6</v>
      </c>
      <c r="F5" s="724">
        <v>5.61</v>
      </c>
      <c r="G5" s="724">
        <v>5.62</v>
      </c>
      <c r="H5" s="724">
        <v>5.61</v>
      </c>
      <c r="I5" s="724">
        <v>5.62</v>
      </c>
      <c r="J5" s="724">
        <v>5.61</v>
      </c>
      <c r="K5" s="724">
        <v>5.6</v>
      </c>
      <c r="L5" s="724">
        <v>5.6</v>
      </c>
      <c r="M5" s="724">
        <v>5.6</v>
      </c>
      <c r="N5" s="724">
        <v>5.61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ht="12" customHeight="1">
      <c r="A6" s="73" t="s">
        <v>21</v>
      </c>
      <c r="B6" s="728">
        <v>5.7519080408723413</v>
      </c>
      <c r="C6" s="411">
        <v>5.75</v>
      </c>
      <c r="D6" s="411">
        <v>5.7300000000000013</v>
      </c>
      <c r="E6" s="411">
        <v>5.74</v>
      </c>
      <c r="F6" s="411">
        <v>5.7520000000000007</v>
      </c>
      <c r="G6" s="411">
        <v>5.7610000000000001</v>
      </c>
      <c r="H6" s="411">
        <v>5.7539999999999987</v>
      </c>
      <c r="I6" s="411">
        <v>5.7839999999999998</v>
      </c>
      <c r="J6" s="411">
        <v>5.7600000000000007</v>
      </c>
      <c r="K6" s="411">
        <v>5.7600000000000007</v>
      </c>
      <c r="L6" s="411">
        <v>5.7430000000000003</v>
      </c>
      <c r="M6" s="411">
        <v>5.7420000000000009</v>
      </c>
      <c r="N6" s="411">
        <v>5.7439999999999998</v>
      </c>
    </row>
    <row r="7" spans="1:27" ht="12" customHeight="1">
      <c r="A7" s="73" t="s">
        <v>22</v>
      </c>
      <c r="B7" s="728">
        <v>5.9246059818146399</v>
      </c>
      <c r="C7" s="411">
        <v>5.9</v>
      </c>
      <c r="D7" s="411">
        <v>5.8800000000000008</v>
      </c>
      <c r="E7" s="411">
        <v>5.8999999999999995</v>
      </c>
      <c r="F7" s="411">
        <v>5.919999999999999</v>
      </c>
      <c r="G7" s="411">
        <v>5.9259999999999993</v>
      </c>
      <c r="H7" s="411">
        <v>5.923</v>
      </c>
      <c r="I7" s="411">
        <v>5.9409999999999998</v>
      </c>
      <c r="J7" s="411">
        <v>5.9399999999999995</v>
      </c>
      <c r="K7" s="411">
        <v>5.9440000000000008</v>
      </c>
      <c r="L7" s="411">
        <v>5.9329999999999989</v>
      </c>
      <c r="M7" s="411">
        <v>5.94</v>
      </c>
      <c r="N7" s="411">
        <v>5.9509999999999996</v>
      </c>
    </row>
    <row r="8" spans="1:27" ht="12" customHeight="1">
      <c r="A8" s="73" t="s">
        <v>23</v>
      </c>
      <c r="B8" s="728">
        <v>5.9519808300369421</v>
      </c>
      <c r="C8" s="411">
        <v>5.9499999999999993</v>
      </c>
      <c r="D8" s="411">
        <v>5.94</v>
      </c>
      <c r="E8" s="411">
        <v>5.9430000000000005</v>
      </c>
      <c r="F8" s="411">
        <v>5.9414999999999996</v>
      </c>
      <c r="G8" s="411">
        <v>5.9619999999999997</v>
      </c>
      <c r="H8" s="411">
        <v>5.9509999999999996</v>
      </c>
      <c r="I8" s="411">
        <v>5.9699999999999989</v>
      </c>
      <c r="J8" s="411">
        <v>5.96</v>
      </c>
      <c r="K8" s="411">
        <v>5.9560000000000004</v>
      </c>
      <c r="L8" s="411">
        <v>5.9450000000000003</v>
      </c>
      <c r="M8" s="411">
        <v>5.9509999999999996</v>
      </c>
      <c r="N8" s="411">
        <v>5.96</v>
      </c>
    </row>
    <row r="9" spans="1:27" ht="12" customHeight="1">
      <c r="A9" s="73" t="s">
        <v>24</v>
      </c>
      <c r="B9" s="728">
        <v>5.9260357117184954</v>
      </c>
      <c r="C9" s="411">
        <v>5.9</v>
      </c>
      <c r="D9" s="411">
        <v>5.89</v>
      </c>
      <c r="E9" s="411">
        <v>5.9</v>
      </c>
      <c r="F9" s="411">
        <v>5.8949999999999996</v>
      </c>
      <c r="G9" s="411">
        <v>5.9320000000000004</v>
      </c>
      <c r="H9" s="411">
        <v>5.9200000000000008</v>
      </c>
      <c r="I9" s="411">
        <v>5.95</v>
      </c>
      <c r="J9" s="411">
        <v>5.9439999999999991</v>
      </c>
      <c r="K9" s="411">
        <v>5.9399999999999995</v>
      </c>
      <c r="L9" s="411">
        <v>5.9430000000000005</v>
      </c>
      <c r="M9" s="411">
        <v>5.9439999999999991</v>
      </c>
      <c r="N9" s="411">
        <v>5.9519999999999991</v>
      </c>
    </row>
    <row r="10" spans="1:27" ht="12" customHeight="1">
      <c r="A10" s="73" t="s">
        <v>25</v>
      </c>
      <c r="B10" s="728">
        <v>4.8392823739670892</v>
      </c>
      <c r="C10" s="411">
        <v>4.8428194740190245</v>
      </c>
      <c r="D10" s="411">
        <v>4.8317410839285966</v>
      </c>
      <c r="E10" s="411">
        <v>4.8482014464837695</v>
      </c>
      <c r="F10" s="411">
        <v>4.8495885440749795</v>
      </c>
      <c r="G10" s="411">
        <v>4.8461202314834724</v>
      </c>
      <c r="H10" s="411">
        <v>4.8294184752794749</v>
      </c>
      <c r="I10" s="411">
        <v>4.841965338481355</v>
      </c>
      <c r="J10" s="411">
        <v>4.8395071498895073</v>
      </c>
      <c r="K10" s="411">
        <v>4.8391404338119521</v>
      </c>
      <c r="L10" s="411">
        <v>4.8328409421149496</v>
      </c>
      <c r="M10" s="411">
        <v>4.8351414787171514</v>
      </c>
      <c r="N10" s="411">
        <v>4.84</v>
      </c>
    </row>
    <row r="11" spans="1:27" ht="12" customHeight="1">
      <c r="A11" s="73" t="s">
        <v>97</v>
      </c>
      <c r="B11" s="728">
        <v>4.9126991678813798</v>
      </c>
      <c r="C11" s="411">
        <v>4.92</v>
      </c>
      <c r="D11" s="411">
        <v>4.8999999999999995</v>
      </c>
      <c r="E11" s="411">
        <v>4.9009999999999998</v>
      </c>
      <c r="F11" s="411">
        <v>4.9029999999999987</v>
      </c>
      <c r="G11" s="411">
        <v>4.9119999999999999</v>
      </c>
      <c r="H11" s="411">
        <v>4.907</v>
      </c>
      <c r="I11" s="411">
        <v>4.9170000000000007</v>
      </c>
      <c r="J11" s="411">
        <v>4.919999999999999</v>
      </c>
      <c r="K11" s="411">
        <v>4.9209999999999994</v>
      </c>
      <c r="L11" s="411">
        <v>4.91</v>
      </c>
      <c r="M11" s="411">
        <v>4.92</v>
      </c>
      <c r="N11" s="411">
        <v>4.9219999999999997</v>
      </c>
    </row>
    <row r="12" spans="1:27" ht="12" customHeight="1">
      <c r="A12" s="73" t="s">
        <v>98</v>
      </c>
      <c r="B12" s="728">
        <v>4.6828297320875478</v>
      </c>
      <c r="C12" s="411">
        <v>4.68</v>
      </c>
      <c r="D12" s="411">
        <v>4.68</v>
      </c>
      <c r="E12" s="411">
        <v>4.6839999999999993</v>
      </c>
      <c r="F12" s="411">
        <v>4.6820000000000004</v>
      </c>
      <c r="G12" s="411">
        <v>4.6920000000000002</v>
      </c>
      <c r="H12" s="411">
        <v>4.68</v>
      </c>
      <c r="I12" s="411">
        <v>4.6900000000000004</v>
      </c>
      <c r="J12" s="411">
        <v>4.6839999999999993</v>
      </c>
      <c r="K12" s="411">
        <v>4.68</v>
      </c>
      <c r="L12" s="411">
        <v>4.68</v>
      </c>
      <c r="M12" s="411">
        <v>4.6820000000000004</v>
      </c>
      <c r="N12" s="411">
        <v>4.6829999999999998</v>
      </c>
    </row>
    <row r="13" spans="1:27" ht="12" customHeight="1">
      <c r="A13" s="73" t="s">
        <v>127</v>
      </c>
      <c r="B13" s="728">
        <v>4.6733502385016266</v>
      </c>
      <c r="C13" s="411">
        <v>4.6509999999999998</v>
      </c>
      <c r="D13" s="411">
        <v>4.6520000000000001</v>
      </c>
      <c r="E13" s="411">
        <v>4.6599999999999993</v>
      </c>
      <c r="F13" s="411">
        <v>4.68</v>
      </c>
      <c r="G13" s="411">
        <v>4.6820000000000004</v>
      </c>
      <c r="H13" s="411">
        <v>4.681</v>
      </c>
      <c r="I13" s="411">
        <v>4.6840000000000002</v>
      </c>
      <c r="J13" s="411">
        <v>4.6820000000000013</v>
      </c>
      <c r="K13" s="411">
        <v>4.681</v>
      </c>
      <c r="L13" s="411">
        <v>4.6710000000000003</v>
      </c>
      <c r="M13" s="411">
        <v>4.67</v>
      </c>
      <c r="N13" s="411">
        <v>4.669999999999999</v>
      </c>
    </row>
    <row r="14" spans="1:27" ht="12" customHeight="1">
      <c r="A14" s="73" t="s">
        <v>29</v>
      </c>
      <c r="B14" s="728">
        <v>5.4311572754521045</v>
      </c>
      <c r="C14" s="411">
        <v>5.43</v>
      </c>
      <c r="D14" s="411">
        <v>5.419999999999999</v>
      </c>
      <c r="E14" s="411">
        <v>5.4329999999999998</v>
      </c>
      <c r="F14" s="411">
        <v>5.426000000000001</v>
      </c>
      <c r="G14" s="411">
        <v>5.4239999999999995</v>
      </c>
      <c r="H14" s="411">
        <v>5.4250000000000007</v>
      </c>
      <c r="I14" s="411">
        <v>5.4499999999999993</v>
      </c>
      <c r="J14" s="411">
        <v>5.4400000000000013</v>
      </c>
      <c r="K14" s="411">
        <v>5.4320000000000004</v>
      </c>
      <c r="L14" s="411">
        <v>5.4250000000000007</v>
      </c>
      <c r="M14" s="411">
        <v>5.4320000000000013</v>
      </c>
      <c r="N14" s="411">
        <v>5.4329999999999998</v>
      </c>
    </row>
    <row r="15" spans="1:27" ht="12" customHeight="1">
      <c r="A15" s="73" t="s">
        <v>30</v>
      </c>
      <c r="B15" s="728">
        <v>4.8297163898461797</v>
      </c>
      <c r="C15" s="411">
        <v>4.830000000000001</v>
      </c>
      <c r="D15" s="411">
        <v>4.8230000000000013</v>
      </c>
      <c r="E15" s="411">
        <v>4.84</v>
      </c>
      <c r="F15" s="411">
        <v>4.831500000000001</v>
      </c>
      <c r="G15" s="411">
        <v>4.8339999999999996</v>
      </c>
      <c r="H15" s="411">
        <v>4.831999999999999</v>
      </c>
      <c r="I15" s="411">
        <v>4.8260000000000005</v>
      </c>
      <c r="J15" s="411">
        <v>4.82</v>
      </c>
      <c r="K15" s="411">
        <v>4.82</v>
      </c>
      <c r="L15" s="411">
        <v>4.8264999999999993</v>
      </c>
      <c r="M15" s="411">
        <v>4.8340000000000005</v>
      </c>
      <c r="N15" s="411">
        <v>4.84</v>
      </c>
    </row>
    <row r="16" spans="1:27" ht="12" customHeight="1">
      <c r="A16" s="73" t="s">
        <v>31</v>
      </c>
      <c r="B16" s="728">
        <v>6.0058116150366736</v>
      </c>
      <c r="C16" s="411">
        <v>5.9600000000000009</v>
      </c>
      <c r="D16" s="411">
        <v>5.9619999999999997</v>
      </c>
      <c r="E16" s="411">
        <v>5.98</v>
      </c>
      <c r="F16" s="411">
        <v>5.9910000000000005</v>
      </c>
      <c r="G16" s="411">
        <v>6.0010000000000012</v>
      </c>
      <c r="H16" s="411">
        <v>5.9960000000000013</v>
      </c>
      <c r="I16" s="411">
        <v>6.024</v>
      </c>
      <c r="J16" s="411">
        <v>6</v>
      </c>
      <c r="K16" s="411">
        <v>6.02</v>
      </c>
      <c r="L16" s="411">
        <v>6.0339999999999998</v>
      </c>
      <c r="M16" s="411">
        <v>6.04</v>
      </c>
      <c r="N16" s="411">
        <v>6.0519999999999996</v>
      </c>
    </row>
    <row r="17" spans="1:14" ht="12" customHeight="1">
      <c r="A17" s="73" t="s">
        <v>32</v>
      </c>
      <c r="B17" s="728">
        <v>5.5896053547884916</v>
      </c>
      <c r="C17" s="411">
        <v>5.5720000000000001</v>
      </c>
      <c r="D17" s="411">
        <v>5.5529999999999999</v>
      </c>
      <c r="E17" s="411">
        <v>5.5620000000000003</v>
      </c>
      <c r="F17" s="411">
        <v>5.5570000000000004</v>
      </c>
      <c r="G17" s="411">
        <v>5.5830000000000011</v>
      </c>
      <c r="H17" s="411">
        <v>5.5700000000000012</v>
      </c>
      <c r="I17" s="411">
        <v>5.58</v>
      </c>
      <c r="J17" s="411">
        <v>5.62</v>
      </c>
      <c r="K17" s="411">
        <v>5.6140000000000008</v>
      </c>
      <c r="L17" s="411">
        <v>5.6029999999999998</v>
      </c>
      <c r="M17" s="411">
        <v>5.6009999999999991</v>
      </c>
      <c r="N17" s="411">
        <v>5.62</v>
      </c>
    </row>
    <row r="18" spans="1:14" ht="12" customHeight="1">
      <c r="A18" s="73" t="s">
        <v>33</v>
      </c>
      <c r="B18" s="728">
        <v>5.4884533205944521</v>
      </c>
      <c r="C18" s="411">
        <v>5.48</v>
      </c>
      <c r="D18" s="411">
        <v>5.4819999999999993</v>
      </c>
      <c r="E18" s="411">
        <v>5.4930000000000003</v>
      </c>
      <c r="F18" s="411">
        <v>5.4900000000000011</v>
      </c>
      <c r="G18" s="411">
        <v>5.492</v>
      </c>
      <c r="H18" s="411">
        <v>5.4909999999999997</v>
      </c>
      <c r="I18" s="411">
        <v>5.5</v>
      </c>
      <c r="J18" s="411">
        <v>5.4860000000000007</v>
      </c>
      <c r="K18" s="411">
        <v>5.4830000000000005</v>
      </c>
      <c r="L18" s="411">
        <v>5.480999999999999</v>
      </c>
      <c r="M18" s="411">
        <v>5.49</v>
      </c>
      <c r="N18" s="411">
        <v>5.4919999999999991</v>
      </c>
    </row>
    <row r="19" spans="1:14" ht="12" customHeight="1">
      <c r="A19" s="73" t="s">
        <v>34</v>
      </c>
      <c r="B19" s="728">
        <v>5.4302319971470068</v>
      </c>
      <c r="C19" s="411">
        <v>5.4310000000000009</v>
      </c>
      <c r="D19" s="411">
        <v>5.41</v>
      </c>
      <c r="E19" s="411">
        <v>5.4220000000000006</v>
      </c>
      <c r="F19" s="411">
        <v>5.419999999999999</v>
      </c>
      <c r="G19" s="411">
        <v>5.4320000000000013</v>
      </c>
      <c r="H19" s="411">
        <v>5.43</v>
      </c>
      <c r="I19" s="411">
        <v>5.4420000000000002</v>
      </c>
      <c r="J19" s="411">
        <v>5.4400000000000013</v>
      </c>
      <c r="K19" s="411">
        <v>5.4300000000000006</v>
      </c>
      <c r="L19" s="411">
        <v>5.4205000000000005</v>
      </c>
      <c r="M19" s="411">
        <v>5.4220000000000006</v>
      </c>
      <c r="N19" s="411">
        <v>5.4400000000000013</v>
      </c>
    </row>
    <row r="20" spans="1:14" ht="12" customHeight="1">
      <c r="A20" s="73" t="s">
        <v>35</v>
      </c>
      <c r="B20" s="728">
        <v>5.9469000970397854</v>
      </c>
      <c r="C20" s="411">
        <v>5.9540000000000006</v>
      </c>
      <c r="D20" s="411">
        <v>5.9299999999999988</v>
      </c>
      <c r="E20" s="411">
        <v>5.9430000000000005</v>
      </c>
      <c r="F20" s="411">
        <v>5.9439999999999991</v>
      </c>
      <c r="G20" s="411">
        <v>5.95</v>
      </c>
      <c r="H20" s="411">
        <v>5.952</v>
      </c>
      <c r="I20" s="411">
        <v>5.9619999999999989</v>
      </c>
      <c r="J20" s="411">
        <v>5.9509999999999996</v>
      </c>
      <c r="K20" s="411">
        <v>5.94</v>
      </c>
      <c r="L20" s="411">
        <v>5.9420000000000002</v>
      </c>
      <c r="M20" s="411">
        <v>5.944</v>
      </c>
      <c r="N20" s="411">
        <v>5.9500000000000011</v>
      </c>
    </row>
    <row r="21" spans="1:14" ht="12" customHeight="1">
      <c r="A21" s="73" t="s">
        <v>36</v>
      </c>
      <c r="B21" s="728">
        <v>5.2523381975089984</v>
      </c>
      <c r="C21" s="411">
        <v>5.2830000000000013</v>
      </c>
      <c r="D21" s="411">
        <v>5.26</v>
      </c>
      <c r="E21" s="411">
        <v>5.2710000000000008</v>
      </c>
      <c r="F21" s="411">
        <v>5.2649999999999997</v>
      </c>
      <c r="G21" s="411">
        <v>5.2619999999999987</v>
      </c>
      <c r="H21" s="411">
        <v>5.26</v>
      </c>
      <c r="I21" s="411">
        <v>5.2590000000000003</v>
      </c>
      <c r="J21" s="411">
        <v>5.24</v>
      </c>
      <c r="K21" s="411">
        <v>5.2240000000000002</v>
      </c>
      <c r="L21" s="411">
        <v>5.2320000000000002</v>
      </c>
      <c r="M21" s="411">
        <v>5.2339999999999991</v>
      </c>
      <c r="N21" s="411">
        <v>5.2400000000000011</v>
      </c>
    </row>
    <row r="22" spans="1:14" ht="12" customHeight="1">
      <c r="A22" s="73" t="s">
        <v>37</v>
      </c>
      <c r="B22" s="728">
        <v>5.5564864290417795</v>
      </c>
      <c r="C22" s="411">
        <v>5.5399999999999991</v>
      </c>
      <c r="D22" s="411">
        <v>5.5300000000000011</v>
      </c>
      <c r="E22" s="411">
        <v>5.5429999999999993</v>
      </c>
      <c r="F22" s="411">
        <v>5.5380000000000003</v>
      </c>
      <c r="G22" s="411">
        <v>5.5720000000000001</v>
      </c>
      <c r="H22" s="411">
        <v>5.5549999999999997</v>
      </c>
      <c r="I22" s="411">
        <v>5.5749999999999993</v>
      </c>
      <c r="J22" s="411">
        <v>5.57</v>
      </c>
      <c r="K22" s="411">
        <v>5.5599999999999987</v>
      </c>
      <c r="L22" s="411">
        <v>5.5650000000000013</v>
      </c>
      <c r="M22" s="411">
        <v>5.56</v>
      </c>
      <c r="N22" s="411">
        <v>5.5700000000000012</v>
      </c>
    </row>
    <row r="23" spans="1:14" ht="12" customHeight="1">
      <c r="A23" s="73" t="s">
        <v>38</v>
      </c>
      <c r="B23" s="728">
        <v>5.2475581023198616</v>
      </c>
      <c r="C23" s="411">
        <v>5.2509999999999994</v>
      </c>
      <c r="D23" s="411">
        <v>5.24</v>
      </c>
      <c r="E23" s="411">
        <v>5.2509999999999994</v>
      </c>
      <c r="F23" s="411">
        <v>5.25</v>
      </c>
      <c r="G23" s="411">
        <v>5.2599999999999989</v>
      </c>
      <c r="H23" s="411">
        <v>5.2540000000000004</v>
      </c>
      <c r="I23" s="411">
        <v>5.2439999999999998</v>
      </c>
      <c r="J23" s="411">
        <v>5.24</v>
      </c>
      <c r="K23" s="411">
        <v>5.23</v>
      </c>
      <c r="L23" s="411">
        <v>5.2454999999999998</v>
      </c>
      <c r="M23" s="411">
        <v>5.25</v>
      </c>
      <c r="N23" s="411">
        <v>5.2599999999999989</v>
      </c>
    </row>
    <row r="24" spans="1:14" ht="12" customHeight="1">
      <c r="A24" s="73" t="s">
        <v>39</v>
      </c>
      <c r="B24" s="728">
        <v>5.31900336618311</v>
      </c>
      <c r="C24" s="411">
        <v>5.31</v>
      </c>
      <c r="D24" s="411">
        <v>5.3000000000000007</v>
      </c>
      <c r="E24" s="411">
        <v>5.32</v>
      </c>
      <c r="F24" s="411">
        <v>5.3100000000000014</v>
      </c>
      <c r="G24" s="411">
        <v>5.3240000000000007</v>
      </c>
      <c r="H24" s="411">
        <v>5.3170000000000002</v>
      </c>
      <c r="I24" s="411">
        <v>5.3339999999999996</v>
      </c>
      <c r="J24" s="411">
        <v>5.32</v>
      </c>
      <c r="K24" s="411">
        <v>5.3319999999999999</v>
      </c>
      <c r="L24" s="411">
        <v>5.3049999999999997</v>
      </c>
      <c r="M24" s="411">
        <v>5.3199999999999994</v>
      </c>
      <c r="N24" s="411">
        <v>5.330000000000001</v>
      </c>
    </row>
    <row r="25" spans="1:14" ht="12" customHeight="1">
      <c r="A25" s="73" t="s">
        <v>40</v>
      </c>
      <c r="B25" s="728">
        <v>5.4482248689473423</v>
      </c>
      <c r="C25" s="415">
        <v>5.472999999999999</v>
      </c>
      <c r="D25" s="415">
        <v>5.4539999999999997</v>
      </c>
      <c r="E25" s="415">
        <v>5.4520000000000008</v>
      </c>
      <c r="F25" s="415">
        <v>5.45</v>
      </c>
      <c r="G25" s="415">
        <v>5.4510000000000005</v>
      </c>
      <c r="H25" s="415">
        <v>5.4499999999999993</v>
      </c>
      <c r="I25" s="415">
        <v>5.4480000000000004</v>
      </c>
      <c r="J25" s="415">
        <v>5.4409999999999998</v>
      </c>
      <c r="K25" s="415">
        <v>5.4400000000000013</v>
      </c>
      <c r="L25" s="415">
        <v>5.4349999999999987</v>
      </c>
      <c r="M25" s="415">
        <v>5.4420000000000002</v>
      </c>
      <c r="N25" s="415">
        <v>5.4429999999999996</v>
      </c>
    </row>
    <row r="26" spans="1:14" ht="12" customHeight="1">
      <c r="A26" s="73" t="s">
        <v>41</v>
      </c>
      <c r="B26" s="728">
        <v>4.8349673926738914</v>
      </c>
      <c r="C26" s="411">
        <v>4.8470458708955348</v>
      </c>
      <c r="D26" s="411">
        <v>4.8378092537861024</v>
      </c>
      <c r="E26" s="411">
        <v>4.8464022570585525</v>
      </c>
      <c r="F26" s="411">
        <v>4.8420077652879101</v>
      </c>
      <c r="G26" s="411">
        <v>4.8463139048767054</v>
      </c>
      <c r="H26" s="411">
        <v>4.8354141942541391</v>
      </c>
      <c r="I26" s="411">
        <v>4.8265442541871399</v>
      </c>
      <c r="J26" s="411">
        <v>4.8210943791921395</v>
      </c>
      <c r="K26" s="411">
        <v>4.8159540549107209</v>
      </c>
      <c r="L26" s="411">
        <v>4.8282507562644446</v>
      </c>
      <c r="M26" s="411">
        <v>4.8328862625094047</v>
      </c>
      <c r="N26" s="411">
        <v>4.84</v>
      </c>
    </row>
    <row r="27" spans="1:14" ht="12" customHeight="1">
      <c r="A27" s="73" t="s">
        <v>100</v>
      </c>
      <c r="B27" s="728">
        <v>4.8393757697554278</v>
      </c>
      <c r="C27" s="411">
        <v>4.8499999999999996</v>
      </c>
      <c r="D27" s="411">
        <v>4.843</v>
      </c>
      <c r="E27" s="411">
        <v>4.8510000000000009</v>
      </c>
      <c r="F27" s="411">
        <v>4.8470000000000004</v>
      </c>
      <c r="G27" s="411">
        <v>4.8499999999999996</v>
      </c>
      <c r="H27" s="411">
        <v>4.84</v>
      </c>
      <c r="I27" s="411">
        <v>4.8270000000000008</v>
      </c>
      <c r="J27" s="411">
        <v>4.8220000000000001</v>
      </c>
      <c r="K27" s="411">
        <v>4.82</v>
      </c>
      <c r="L27" s="411">
        <v>4.8365000000000009</v>
      </c>
      <c r="M27" s="411">
        <v>4.8419999999999987</v>
      </c>
      <c r="N27" s="411">
        <v>4.8440000000000003</v>
      </c>
    </row>
    <row r="28" spans="1:14" ht="12" customHeight="1">
      <c r="A28" s="73" t="s">
        <v>101</v>
      </c>
      <c r="B28" s="728">
        <v>4.8298678197731624</v>
      </c>
      <c r="C28" s="411">
        <v>4.8440000000000012</v>
      </c>
      <c r="D28" s="411">
        <v>4.8319999999999999</v>
      </c>
      <c r="E28" s="411">
        <v>4.8410000000000002</v>
      </c>
      <c r="F28" s="411">
        <v>4.8360000000000003</v>
      </c>
      <c r="G28" s="411">
        <v>4.8419999999999987</v>
      </c>
      <c r="H28" s="411">
        <v>4.83</v>
      </c>
      <c r="I28" s="411">
        <v>4.8260000000000005</v>
      </c>
      <c r="J28" s="411">
        <v>4.82</v>
      </c>
      <c r="K28" s="411">
        <v>4.8109999999999999</v>
      </c>
      <c r="L28" s="411">
        <v>4.8179999999999987</v>
      </c>
      <c r="M28" s="411">
        <v>4.8230000000000004</v>
      </c>
      <c r="N28" s="411">
        <v>4.830000000000001</v>
      </c>
    </row>
    <row r="29" spans="1:14" ht="12" customHeight="1">
      <c r="A29" s="73" t="s">
        <v>44</v>
      </c>
      <c r="B29" s="728">
        <v>5.5657022641635647</v>
      </c>
      <c r="C29" s="411">
        <v>5.5640000000000001</v>
      </c>
      <c r="D29" s="411">
        <v>5.5520000000000005</v>
      </c>
      <c r="E29" s="411">
        <v>5.5640000000000001</v>
      </c>
      <c r="F29" s="411">
        <v>5.5650000000000004</v>
      </c>
      <c r="G29" s="411">
        <v>5.58</v>
      </c>
      <c r="H29" s="411">
        <v>5.57</v>
      </c>
      <c r="I29" s="411">
        <v>5.5640000000000001</v>
      </c>
      <c r="J29" s="411">
        <v>5.5600000000000005</v>
      </c>
      <c r="K29" s="411">
        <v>5.5700000000000012</v>
      </c>
      <c r="L29" s="411">
        <v>5.5579999999999998</v>
      </c>
      <c r="M29" s="411">
        <v>5.5599999999999987</v>
      </c>
      <c r="N29" s="411">
        <v>5.58</v>
      </c>
    </row>
    <row r="30" spans="1:14" ht="12" customHeight="1">
      <c r="A30" s="73" t="s">
        <v>45</v>
      </c>
      <c r="B30" s="728">
        <v>5.7267341300704286</v>
      </c>
      <c r="C30" s="411">
        <v>5.7329999999999997</v>
      </c>
      <c r="D30" s="411">
        <v>5.72</v>
      </c>
      <c r="E30" s="411">
        <v>5.74</v>
      </c>
      <c r="F30" s="411">
        <v>5.73</v>
      </c>
      <c r="G30" s="411">
        <v>5.7229999999999999</v>
      </c>
      <c r="H30" s="411">
        <v>5.7199999999999989</v>
      </c>
      <c r="I30" s="411">
        <v>5.7350000000000012</v>
      </c>
      <c r="J30" s="411">
        <v>5.73</v>
      </c>
      <c r="K30" s="411">
        <v>5.7140000000000004</v>
      </c>
      <c r="L30" s="411">
        <v>5.7264999999999988</v>
      </c>
      <c r="M30" s="411">
        <v>5.72</v>
      </c>
      <c r="N30" s="411">
        <v>5.7320000000000002</v>
      </c>
    </row>
    <row r="31" spans="1:14" ht="12" customHeight="1">
      <c r="A31" s="73" t="s">
        <v>46</v>
      </c>
      <c r="B31" s="728">
        <v>5.3615069797748687</v>
      </c>
      <c r="C31" s="411">
        <v>5.3739999999999997</v>
      </c>
      <c r="D31" s="411">
        <v>5.3599999999999994</v>
      </c>
      <c r="E31" s="411">
        <v>5.3719999999999999</v>
      </c>
      <c r="F31" s="411">
        <v>5.3659999999999997</v>
      </c>
      <c r="G31" s="411">
        <v>5.3640000000000008</v>
      </c>
      <c r="H31" s="411">
        <v>5.365000000000002</v>
      </c>
      <c r="I31" s="411">
        <v>5.38</v>
      </c>
      <c r="J31" s="411">
        <v>5.36</v>
      </c>
      <c r="K31" s="411">
        <v>5.3499999999999988</v>
      </c>
      <c r="L31" s="411">
        <v>5.3470000000000004</v>
      </c>
      <c r="M31" s="411">
        <v>5.35</v>
      </c>
      <c r="N31" s="411">
        <v>5.3520000000000003</v>
      </c>
    </row>
    <row r="32" spans="1:14" ht="12" customHeight="1">
      <c r="A32" s="73" t="s">
        <v>47</v>
      </c>
      <c r="B32" s="728">
        <v>4.6356905546540688</v>
      </c>
      <c r="C32" s="411">
        <v>4.6500000000000012</v>
      </c>
      <c r="D32" s="411">
        <v>4.644000000000001</v>
      </c>
      <c r="E32" s="411">
        <v>4.6520000000000001</v>
      </c>
      <c r="F32" s="411">
        <v>4.6479999999999997</v>
      </c>
      <c r="G32" s="411">
        <v>4.644000000000001</v>
      </c>
      <c r="H32" s="411">
        <v>4.6399999999999997</v>
      </c>
      <c r="I32" s="411">
        <v>4.6409999999999991</v>
      </c>
      <c r="J32" s="411">
        <v>4.6300000000000008</v>
      </c>
      <c r="K32" s="411">
        <v>4.6219999999999999</v>
      </c>
      <c r="L32" s="411">
        <v>4.617</v>
      </c>
      <c r="M32" s="411">
        <v>4.62</v>
      </c>
      <c r="N32" s="411">
        <v>4.6320000000000006</v>
      </c>
    </row>
    <row r="33" spans="1:14" ht="12" customHeight="1">
      <c r="A33" s="73" t="s">
        <v>48</v>
      </c>
      <c r="B33" s="728">
        <v>4.8600121398092426</v>
      </c>
      <c r="C33" s="411">
        <v>4.8610000000000007</v>
      </c>
      <c r="D33" s="411">
        <v>4.870000000000001</v>
      </c>
      <c r="E33" s="411">
        <v>4.8819999999999988</v>
      </c>
      <c r="F33" s="411">
        <v>4.8759999999999994</v>
      </c>
      <c r="G33" s="411">
        <v>4.8719999999999999</v>
      </c>
      <c r="H33" s="411">
        <v>4.8710000000000004</v>
      </c>
      <c r="I33" s="411">
        <v>4.8619999999999992</v>
      </c>
      <c r="J33" s="411">
        <v>4.8499999999999988</v>
      </c>
      <c r="K33" s="411">
        <v>4.8419999999999987</v>
      </c>
      <c r="L33" s="411">
        <v>4.8454999999999995</v>
      </c>
      <c r="M33" s="411">
        <v>4.8520000000000012</v>
      </c>
      <c r="N33" s="411">
        <v>4.8599999999999994</v>
      </c>
    </row>
    <row r="34" spans="1:14" ht="12" customHeight="1" thickBot="1">
      <c r="A34" s="121" t="s">
        <v>49</v>
      </c>
      <c r="B34" s="729">
        <v>5.1132032976770221</v>
      </c>
      <c r="C34" s="412">
        <v>5.1340000000000003</v>
      </c>
      <c r="D34" s="412">
        <v>5.12</v>
      </c>
      <c r="E34" s="412">
        <v>5.1129999999999995</v>
      </c>
      <c r="F34" s="412">
        <v>5.1159999999999997</v>
      </c>
      <c r="G34" s="412">
        <v>5.1239999999999997</v>
      </c>
      <c r="H34" s="412">
        <v>5.12</v>
      </c>
      <c r="I34" s="412">
        <v>5.1050000000000004</v>
      </c>
      <c r="J34" s="412">
        <v>5.1020000000000003</v>
      </c>
      <c r="K34" s="412">
        <v>5.1009999999999991</v>
      </c>
      <c r="L34" s="412">
        <v>5.1070000000000011</v>
      </c>
      <c r="M34" s="412">
        <v>5.1100000000000003</v>
      </c>
      <c r="N34" s="412">
        <v>5.1039999999999992</v>
      </c>
    </row>
    <row r="35" spans="1:14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14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14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14" ht="13.25" customHeight="1">
      <c r="A38" s="865"/>
      <c r="B38" s="796"/>
      <c r="C38" s="796"/>
      <c r="D38" s="796"/>
    </row>
    <row r="39" spans="1:14" ht="13.25" customHeight="1">
      <c r="A39" s="24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Hoja104">
    <tabColor theme="9" tint="0.59999389629810485"/>
  </sheetPr>
  <dimension ref="A1:N39"/>
  <sheetViews>
    <sheetView showGridLines="0" zoomScaleNormal="100" workbookViewId="0">
      <selection activeCell="C28" sqref="C28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14" ht="17" customHeight="1">
      <c r="A1" s="417" t="s">
        <v>613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14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14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14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14" ht="15" customHeight="1">
      <c r="A5" s="723" t="s">
        <v>103</v>
      </c>
      <c r="B5" s="725">
        <v>7.05</v>
      </c>
      <c r="C5" s="724">
        <v>7.01</v>
      </c>
      <c r="D5" s="724">
        <v>6.98</v>
      </c>
      <c r="E5" s="724">
        <v>6.99</v>
      </c>
      <c r="F5" s="724">
        <v>7.01</v>
      </c>
      <c r="G5" s="724">
        <v>7.02</v>
      </c>
      <c r="H5" s="724">
        <v>7.01</v>
      </c>
      <c r="I5" s="724">
        <v>7.02</v>
      </c>
      <c r="J5" s="724">
        <v>7.07</v>
      </c>
      <c r="K5" s="724">
        <v>7.08</v>
      </c>
      <c r="L5" s="724">
        <v>7.09</v>
      </c>
      <c r="M5" s="724">
        <v>7.13</v>
      </c>
      <c r="N5" s="724">
        <v>7.17</v>
      </c>
    </row>
    <row r="6" spans="1:14" ht="12" customHeight="1">
      <c r="A6" s="73" t="s">
        <v>21</v>
      </c>
      <c r="B6" s="728">
        <v>6.97</v>
      </c>
      <c r="C6" s="411">
        <v>6.93</v>
      </c>
      <c r="D6" s="411">
        <v>6.9</v>
      </c>
      <c r="E6" s="411">
        <v>6.92</v>
      </c>
      <c r="F6" s="411">
        <v>6.94</v>
      </c>
      <c r="G6" s="411">
        <v>6.93</v>
      </c>
      <c r="H6" s="411">
        <v>6.93</v>
      </c>
      <c r="I6" s="411">
        <v>6.95</v>
      </c>
      <c r="J6" s="411">
        <v>6.96</v>
      </c>
      <c r="K6" s="411">
        <v>6.98</v>
      </c>
      <c r="L6" s="411">
        <v>7</v>
      </c>
      <c r="M6" s="411">
        <v>7.05</v>
      </c>
      <c r="N6" s="411">
        <v>7.15</v>
      </c>
    </row>
    <row r="7" spans="1:14" ht="12" customHeight="1">
      <c r="A7" s="73" t="s">
        <v>22</v>
      </c>
      <c r="B7" s="728">
        <v>6.36</v>
      </c>
      <c r="C7" s="411">
        <v>6.3</v>
      </c>
      <c r="D7" s="411">
        <v>6.28</v>
      </c>
      <c r="E7" s="411">
        <v>6.3</v>
      </c>
      <c r="F7" s="411">
        <v>6.29</v>
      </c>
      <c r="G7" s="411">
        <v>6.32</v>
      </c>
      <c r="H7" s="411">
        <v>6.31</v>
      </c>
      <c r="I7" s="411">
        <v>6.32</v>
      </c>
      <c r="J7" s="411">
        <v>6.37</v>
      </c>
      <c r="K7" s="411">
        <v>6.4</v>
      </c>
      <c r="L7" s="411">
        <v>6.42</v>
      </c>
      <c r="M7" s="411">
        <v>6.48</v>
      </c>
      <c r="N7" s="411">
        <v>6.54</v>
      </c>
    </row>
    <row r="8" spans="1:14" ht="12" customHeight="1">
      <c r="A8" s="73" t="s">
        <v>23</v>
      </c>
      <c r="B8" s="728">
        <v>6.32</v>
      </c>
      <c r="C8" s="411">
        <v>6.28</v>
      </c>
      <c r="D8" s="411">
        <v>6.26</v>
      </c>
      <c r="E8" s="411">
        <v>6.27</v>
      </c>
      <c r="F8" s="411">
        <v>6.25</v>
      </c>
      <c r="G8" s="411">
        <v>6.26</v>
      </c>
      <c r="H8" s="411">
        <v>6.25</v>
      </c>
      <c r="I8" s="411">
        <v>6.26</v>
      </c>
      <c r="J8" s="411">
        <v>6.31</v>
      </c>
      <c r="K8" s="411">
        <v>6.33</v>
      </c>
      <c r="L8" s="411">
        <v>6.35</v>
      </c>
      <c r="M8" s="411">
        <v>6.4</v>
      </c>
      <c r="N8" s="411">
        <v>6.51</v>
      </c>
    </row>
    <row r="9" spans="1:14" ht="12" customHeight="1">
      <c r="A9" s="73" t="s">
        <v>24</v>
      </c>
      <c r="B9" s="728">
        <v>7.15</v>
      </c>
      <c r="C9" s="411">
        <v>7.11</v>
      </c>
      <c r="D9" s="411">
        <v>7.1</v>
      </c>
      <c r="E9" s="411">
        <v>7.11</v>
      </c>
      <c r="F9" s="411">
        <v>7.1</v>
      </c>
      <c r="G9" s="411">
        <v>7.14</v>
      </c>
      <c r="H9" s="411">
        <v>7.13</v>
      </c>
      <c r="I9" s="411">
        <v>7.14</v>
      </c>
      <c r="J9" s="411">
        <v>7.16</v>
      </c>
      <c r="K9" s="411">
        <v>7.15</v>
      </c>
      <c r="L9" s="411">
        <v>7.18</v>
      </c>
      <c r="M9" s="411">
        <v>7.22</v>
      </c>
      <c r="N9" s="411">
        <v>7.26</v>
      </c>
    </row>
    <row r="10" spans="1:14" ht="12" customHeight="1">
      <c r="A10" s="73" t="s">
        <v>25</v>
      </c>
      <c r="B10" s="728">
        <v>6.2</v>
      </c>
      <c r="C10" s="411">
        <v>6.17</v>
      </c>
      <c r="D10" s="411">
        <v>6.15</v>
      </c>
      <c r="E10" s="411">
        <v>6.18</v>
      </c>
      <c r="F10" s="411">
        <v>6.28</v>
      </c>
      <c r="G10" s="411">
        <v>6.28</v>
      </c>
      <c r="H10" s="411">
        <v>6.2</v>
      </c>
      <c r="I10" s="411">
        <v>6.18</v>
      </c>
      <c r="J10" s="411">
        <v>6.19</v>
      </c>
      <c r="K10" s="411">
        <v>6.21</v>
      </c>
      <c r="L10" s="411">
        <v>6.22</v>
      </c>
      <c r="M10" s="411">
        <v>6.2</v>
      </c>
      <c r="N10" s="411">
        <v>6.22</v>
      </c>
    </row>
    <row r="11" spans="1:14" ht="12" customHeight="1">
      <c r="A11" s="73" t="s">
        <v>97</v>
      </c>
      <c r="B11" s="728">
        <v>6.55</v>
      </c>
      <c r="C11" s="411">
        <v>6.52</v>
      </c>
      <c r="D11" s="411">
        <v>6.5</v>
      </c>
      <c r="E11" s="411">
        <v>6.51</v>
      </c>
      <c r="F11" s="411">
        <v>6.53</v>
      </c>
      <c r="G11" s="411">
        <v>6.52</v>
      </c>
      <c r="H11" s="411">
        <v>6.52</v>
      </c>
      <c r="I11" s="411">
        <v>6.52</v>
      </c>
      <c r="J11" s="411">
        <v>6.54</v>
      </c>
      <c r="K11" s="411">
        <v>6.56</v>
      </c>
      <c r="L11" s="411">
        <v>6.57</v>
      </c>
      <c r="M11" s="411">
        <v>6.61</v>
      </c>
      <c r="N11" s="411">
        <v>6.63</v>
      </c>
    </row>
    <row r="12" spans="1:14" ht="12" customHeight="1">
      <c r="A12" s="73" t="s">
        <v>98</v>
      </c>
      <c r="B12" s="728">
        <v>5.49</v>
      </c>
      <c r="C12" s="411">
        <v>5.45</v>
      </c>
      <c r="D12" s="411">
        <v>5.43</v>
      </c>
      <c r="E12" s="411">
        <v>5.44</v>
      </c>
      <c r="F12" s="411">
        <v>5.46</v>
      </c>
      <c r="G12" s="411">
        <v>5.46</v>
      </c>
      <c r="H12" s="411">
        <v>5.46</v>
      </c>
      <c r="I12" s="411">
        <v>5.46</v>
      </c>
      <c r="J12" s="411">
        <v>5.48</v>
      </c>
      <c r="K12" s="411">
        <v>5.49</v>
      </c>
      <c r="L12" s="411">
        <v>5.49</v>
      </c>
      <c r="M12" s="411">
        <v>5.58</v>
      </c>
      <c r="N12" s="411">
        <v>5.6</v>
      </c>
    </row>
    <row r="13" spans="1:14" ht="12" customHeight="1">
      <c r="A13" s="73" t="s">
        <v>127</v>
      </c>
      <c r="B13" s="728">
        <v>6.6</v>
      </c>
      <c r="C13" s="411">
        <v>6.55</v>
      </c>
      <c r="D13" s="411">
        <v>6.53</v>
      </c>
      <c r="E13" s="411">
        <v>6.54</v>
      </c>
      <c r="F13" s="411">
        <v>6.57</v>
      </c>
      <c r="G13" s="411">
        <v>6.58</v>
      </c>
      <c r="H13" s="411">
        <v>6.57</v>
      </c>
      <c r="I13" s="411">
        <v>6.59</v>
      </c>
      <c r="J13" s="411">
        <v>6.6</v>
      </c>
      <c r="K13" s="411">
        <v>6.6</v>
      </c>
      <c r="L13" s="411">
        <v>6.62</v>
      </c>
      <c r="M13" s="411">
        <v>6.68</v>
      </c>
      <c r="N13" s="411">
        <v>6.73</v>
      </c>
    </row>
    <row r="14" spans="1:14" ht="12" customHeight="1">
      <c r="A14" s="73" t="s">
        <v>29</v>
      </c>
      <c r="B14" s="728">
        <v>6.51</v>
      </c>
      <c r="C14" s="411">
        <v>6.46</v>
      </c>
      <c r="D14" s="411">
        <v>6.45</v>
      </c>
      <c r="E14" s="411">
        <v>6.46</v>
      </c>
      <c r="F14" s="411">
        <v>6.45</v>
      </c>
      <c r="G14" s="411">
        <v>6.45</v>
      </c>
      <c r="H14" s="411">
        <v>6.45</v>
      </c>
      <c r="I14" s="411">
        <v>6.47</v>
      </c>
      <c r="J14" s="411">
        <v>6.51</v>
      </c>
      <c r="K14" s="411">
        <v>6.53</v>
      </c>
      <c r="L14" s="411">
        <v>6.55</v>
      </c>
      <c r="M14" s="411">
        <v>6.62</v>
      </c>
      <c r="N14" s="411">
        <v>6.65</v>
      </c>
    </row>
    <row r="15" spans="1:14" ht="12" customHeight="1">
      <c r="A15" s="73" t="s">
        <v>30</v>
      </c>
      <c r="B15" s="728">
        <v>6.9</v>
      </c>
      <c r="C15" s="411">
        <v>6.9</v>
      </c>
      <c r="D15" s="411">
        <v>6.8</v>
      </c>
      <c r="E15" s="411">
        <v>6.83</v>
      </c>
      <c r="F15" s="411">
        <v>6.86</v>
      </c>
      <c r="G15" s="411">
        <v>6.88</v>
      </c>
      <c r="H15" s="411">
        <v>6.86</v>
      </c>
      <c r="I15" s="411">
        <v>6.88</v>
      </c>
      <c r="J15" s="411">
        <v>6.92</v>
      </c>
      <c r="K15" s="411">
        <v>6.92</v>
      </c>
      <c r="L15" s="411">
        <v>6.93</v>
      </c>
      <c r="M15" s="411">
        <v>7.02</v>
      </c>
      <c r="N15" s="411">
        <v>7.05</v>
      </c>
    </row>
    <row r="16" spans="1:14" ht="12" customHeight="1">
      <c r="A16" s="73" t="s">
        <v>31</v>
      </c>
      <c r="B16" s="728">
        <v>7.13</v>
      </c>
      <c r="C16" s="411">
        <v>7.05</v>
      </c>
      <c r="D16" s="411">
        <v>7.02</v>
      </c>
      <c r="E16" s="411">
        <v>7.04</v>
      </c>
      <c r="F16" s="411">
        <v>7.06</v>
      </c>
      <c r="G16" s="411">
        <v>7.1</v>
      </c>
      <c r="H16" s="411">
        <v>7.08</v>
      </c>
      <c r="I16" s="411">
        <v>7.1</v>
      </c>
      <c r="J16" s="411">
        <v>7.15</v>
      </c>
      <c r="K16" s="411">
        <v>7.16</v>
      </c>
      <c r="L16" s="411">
        <v>7.18</v>
      </c>
      <c r="M16" s="411">
        <v>7.24</v>
      </c>
      <c r="N16" s="411">
        <v>7.28</v>
      </c>
    </row>
    <row r="17" spans="1:14" ht="12" customHeight="1">
      <c r="A17" s="73" t="s">
        <v>32</v>
      </c>
      <c r="B17" s="728">
        <v>6.77</v>
      </c>
      <c r="C17" s="411">
        <v>6.7</v>
      </c>
      <c r="D17" s="411">
        <v>6.68</v>
      </c>
      <c r="E17" s="411">
        <v>6.69</v>
      </c>
      <c r="F17" s="411">
        <v>6.72</v>
      </c>
      <c r="G17" s="411">
        <v>6.74</v>
      </c>
      <c r="H17" s="411">
        <v>6.73</v>
      </c>
      <c r="I17" s="411">
        <v>6.75</v>
      </c>
      <c r="J17" s="411">
        <v>6.8</v>
      </c>
      <c r="K17" s="411">
        <v>6.82</v>
      </c>
      <c r="L17" s="411">
        <v>6.83</v>
      </c>
      <c r="M17" s="411">
        <v>6.86</v>
      </c>
      <c r="N17" s="411">
        <v>6.88</v>
      </c>
    </row>
    <row r="18" spans="1:14" ht="12" customHeight="1">
      <c r="A18" s="73" t="s">
        <v>33</v>
      </c>
      <c r="B18" s="728">
        <v>7.01</v>
      </c>
      <c r="C18" s="411">
        <v>6.97</v>
      </c>
      <c r="D18" s="411">
        <v>6.95</v>
      </c>
      <c r="E18" s="411">
        <v>6.97</v>
      </c>
      <c r="F18" s="411">
        <v>6.98</v>
      </c>
      <c r="G18" s="411">
        <v>6.98</v>
      </c>
      <c r="H18" s="411">
        <v>6.98</v>
      </c>
      <c r="I18" s="411">
        <v>6.98</v>
      </c>
      <c r="J18" s="411">
        <v>7.02</v>
      </c>
      <c r="K18" s="411">
        <v>7.02</v>
      </c>
      <c r="L18" s="411">
        <v>7.03</v>
      </c>
      <c r="M18" s="411">
        <v>7.06</v>
      </c>
      <c r="N18" s="411">
        <v>7.09</v>
      </c>
    </row>
    <row r="19" spans="1:14" ht="12" customHeight="1">
      <c r="A19" s="73" t="s">
        <v>34</v>
      </c>
      <c r="B19" s="728">
        <v>6.44</v>
      </c>
      <c r="C19" s="411">
        <v>6.39</v>
      </c>
      <c r="D19" s="411">
        <v>6.39</v>
      </c>
      <c r="E19" s="411">
        <v>6.4</v>
      </c>
      <c r="F19" s="411">
        <v>6.43</v>
      </c>
      <c r="G19" s="411">
        <v>6.42</v>
      </c>
      <c r="H19" s="411">
        <v>6.42</v>
      </c>
      <c r="I19" s="411">
        <v>6.43</v>
      </c>
      <c r="J19" s="411">
        <v>6.45</v>
      </c>
      <c r="K19" s="411">
        <v>6.46</v>
      </c>
      <c r="L19" s="411">
        <v>6.47</v>
      </c>
      <c r="M19" s="411">
        <v>6.49</v>
      </c>
      <c r="N19" s="411">
        <v>6.52</v>
      </c>
    </row>
    <row r="20" spans="1:14" ht="12" customHeight="1">
      <c r="A20" s="73" t="s">
        <v>35</v>
      </c>
      <c r="B20" s="728">
        <v>6.98</v>
      </c>
      <c r="C20" s="411">
        <v>6.93</v>
      </c>
      <c r="D20" s="411">
        <v>6.92</v>
      </c>
      <c r="E20" s="411">
        <v>6.93</v>
      </c>
      <c r="F20" s="411">
        <v>6.95</v>
      </c>
      <c r="G20" s="411">
        <v>6.96</v>
      </c>
      <c r="H20" s="411">
        <v>6.95</v>
      </c>
      <c r="I20" s="411">
        <v>6.96</v>
      </c>
      <c r="J20" s="411">
        <v>7</v>
      </c>
      <c r="K20" s="411">
        <v>7.01</v>
      </c>
      <c r="L20" s="411">
        <v>7.03</v>
      </c>
      <c r="M20" s="411">
        <v>7.05</v>
      </c>
      <c r="N20" s="411">
        <v>7.08</v>
      </c>
    </row>
    <row r="21" spans="1:14" ht="12" customHeight="1">
      <c r="A21" s="73" t="s">
        <v>36</v>
      </c>
      <c r="B21" s="728">
        <v>5.89</v>
      </c>
      <c r="C21" s="411">
        <v>5.86</v>
      </c>
      <c r="D21" s="411">
        <v>5.85</v>
      </c>
      <c r="E21" s="411">
        <v>5.86</v>
      </c>
      <c r="F21" s="411">
        <v>5.88</v>
      </c>
      <c r="G21" s="411">
        <v>5.87</v>
      </c>
      <c r="H21" s="411">
        <v>5.86</v>
      </c>
      <c r="I21" s="411">
        <v>5.87</v>
      </c>
      <c r="J21" s="411">
        <v>5.91</v>
      </c>
      <c r="K21" s="411">
        <v>5.91</v>
      </c>
      <c r="L21" s="411">
        <v>5.92</v>
      </c>
      <c r="M21" s="411">
        <v>5.94</v>
      </c>
      <c r="N21" s="411">
        <v>5.96</v>
      </c>
    </row>
    <row r="22" spans="1:14" ht="12" customHeight="1">
      <c r="A22" s="73" t="s">
        <v>37</v>
      </c>
      <c r="B22" s="728">
        <v>6.12</v>
      </c>
      <c r="C22" s="411">
        <v>6.06</v>
      </c>
      <c r="D22" s="411">
        <v>6.04</v>
      </c>
      <c r="E22" s="411">
        <v>6.05</v>
      </c>
      <c r="F22" s="411">
        <v>6.07</v>
      </c>
      <c r="G22" s="411">
        <v>6.1</v>
      </c>
      <c r="H22" s="411">
        <v>6.09</v>
      </c>
      <c r="I22" s="411">
        <v>6.11</v>
      </c>
      <c r="J22" s="411">
        <v>6.15</v>
      </c>
      <c r="K22" s="411">
        <v>6.15</v>
      </c>
      <c r="L22" s="411">
        <v>6.17</v>
      </c>
      <c r="M22" s="411">
        <v>6.2</v>
      </c>
      <c r="N22" s="411">
        <v>6.22</v>
      </c>
    </row>
    <row r="23" spans="1:14" ht="12" customHeight="1">
      <c r="A23" s="73" t="s">
        <v>38</v>
      </c>
      <c r="B23" s="728">
        <v>5.88</v>
      </c>
      <c r="C23" s="411">
        <v>5.83</v>
      </c>
      <c r="D23" s="411">
        <v>5.8</v>
      </c>
      <c r="E23" s="411">
        <v>5.82</v>
      </c>
      <c r="F23" s="411">
        <v>5.84</v>
      </c>
      <c r="G23" s="411">
        <v>5.85</v>
      </c>
      <c r="H23" s="411">
        <v>5.85</v>
      </c>
      <c r="I23" s="411">
        <v>5.86</v>
      </c>
      <c r="J23" s="411">
        <v>5.9</v>
      </c>
      <c r="K23" s="411">
        <v>5.91</v>
      </c>
      <c r="L23" s="411">
        <v>5.92</v>
      </c>
      <c r="M23" s="411">
        <v>5.95</v>
      </c>
      <c r="N23" s="411">
        <v>5.98</v>
      </c>
    </row>
    <row r="24" spans="1:14" ht="12" customHeight="1">
      <c r="A24" s="73" t="s">
        <v>39</v>
      </c>
      <c r="B24" s="728">
        <v>6.49</v>
      </c>
      <c r="C24" s="411">
        <v>6.41</v>
      </c>
      <c r="D24" s="411">
        <v>6.4</v>
      </c>
      <c r="E24" s="411">
        <v>6.42</v>
      </c>
      <c r="F24" s="411">
        <v>6.46</v>
      </c>
      <c r="G24" s="411">
        <v>6.45</v>
      </c>
      <c r="H24" s="411">
        <v>6.45</v>
      </c>
      <c r="I24" s="411">
        <v>6.47</v>
      </c>
      <c r="J24" s="411">
        <v>6.51</v>
      </c>
      <c r="K24" s="411">
        <v>6.53</v>
      </c>
      <c r="L24" s="411">
        <v>6.55</v>
      </c>
      <c r="M24" s="411">
        <v>6.62</v>
      </c>
      <c r="N24" s="411">
        <v>6.65</v>
      </c>
    </row>
    <row r="25" spans="1:14" ht="12" customHeight="1">
      <c r="A25" s="73" t="s">
        <v>40</v>
      </c>
      <c r="B25" s="728">
        <v>6.34</v>
      </c>
      <c r="C25" s="411">
        <v>6.3</v>
      </c>
      <c r="D25" s="411">
        <v>6.28</v>
      </c>
      <c r="E25" s="411">
        <v>6.29</v>
      </c>
      <c r="F25" s="411">
        <v>6.32</v>
      </c>
      <c r="G25" s="411">
        <v>6.33</v>
      </c>
      <c r="H25" s="411">
        <v>6.33</v>
      </c>
      <c r="I25" s="411">
        <v>6.34</v>
      </c>
      <c r="J25" s="411">
        <v>6.35</v>
      </c>
      <c r="K25" s="411">
        <v>6.37</v>
      </c>
      <c r="L25" s="411">
        <v>6.37</v>
      </c>
      <c r="M25" s="411">
        <v>6.4</v>
      </c>
      <c r="N25" s="411">
        <v>6.42</v>
      </c>
    </row>
    <row r="26" spans="1:14" ht="12" customHeight="1">
      <c r="A26" s="73" t="s">
        <v>41</v>
      </c>
      <c r="B26" s="728">
        <v>5.3</v>
      </c>
      <c r="C26" s="411">
        <v>5.28</v>
      </c>
      <c r="D26" s="411">
        <v>5.27</v>
      </c>
      <c r="E26" s="411">
        <v>5.28</v>
      </c>
      <c r="F26" s="411">
        <v>5.3</v>
      </c>
      <c r="G26" s="411">
        <v>5.29</v>
      </c>
      <c r="H26" s="411">
        <v>5.29</v>
      </c>
      <c r="I26" s="411">
        <v>5.31</v>
      </c>
      <c r="J26" s="411">
        <v>5.31</v>
      </c>
      <c r="K26" s="411">
        <v>5.31</v>
      </c>
      <c r="L26" s="411">
        <v>5.32</v>
      </c>
      <c r="M26" s="411">
        <v>5.34</v>
      </c>
      <c r="N26" s="411">
        <v>5.36</v>
      </c>
    </row>
    <row r="27" spans="1:14" ht="12" customHeight="1">
      <c r="A27" s="73" t="s">
        <v>100</v>
      </c>
      <c r="B27" s="728">
        <v>5.28</v>
      </c>
      <c r="C27" s="411">
        <v>5.25</v>
      </c>
      <c r="D27" s="411">
        <v>5.24</v>
      </c>
      <c r="E27" s="411">
        <v>5.25</v>
      </c>
      <c r="F27" s="411">
        <v>5.26</v>
      </c>
      <c r="G27" s="411">
        <v>5.26</v>
      </c>
      <c r="H27" s="411">
        <v>5.26</v>
      </c>
      <c r="I27" s="411">
        <v>5.27</v>
      </c>
      <c r="J27" s="411">
        <v>5.3</v>
      </c>
      <c r="K27" s="411">
        <v>5.3</v>
      </c>
      <c r="L27" s="411">
        <v>5.31</v>
      </c>
      <c r="M27" s="411">
        <v>5.33</v>
      </c>
      <c r="N27" s="411">
        <v>5.35</v>
      </c>
    </row>
    <row r="28" spans="1:14" ht="12" customHeight="1">
      <c r="A28" s="73" t="s">
        <v>101</v>
      </c>
      <c r="B28" s="728">
        <v>5.32</v>
      </c>
      <c r="C28" s="411">
        <v>5.3</v>
      </c>
      <c r="D28" s="411">
        <v>5.28</v>
      </c>
      <c r="E28" s="411">
        <v>5.29</v>
      </c>
      <c r="F28" s="411">
        <v>5.32</v>
      </c>
      <c r="G28" s="411">
        <v>5.3</v>
      </c>
      <c r="H28" s="411">
        <v>5.3</v>
      </c>
      <c r="I28" s="411">
        <v>5.33</v>
      </c>
      <c r="J28" s="411">
        <v>5.32</v>
      </c>
      <c r="K28" s="411">
        <v>5.32</v>
      </c>
      <c r="L28" s="411">
        <v>5.33</v>
      </c>
      <c r="M28" s="411">
        <v>5.35</v>
      </c>
      <c r="N28" s="411">
        <v>5.36</v>
      </c>
    </row>
    <row r="29" spans="1:14" ht="12" customHeight="1">
      <c r="A29" s="73" t="s">
        <v>44</v>
      </c>
      <c r="B29" s="728">
        <v>7.98</v>
      </c>
      <c r="C29" s="411">
        <v>7.95</v>
      </c>
      <c r="D29" s="411">
        <v>7.91</v>
      </c>
      <c r="E29" s="411">
        <v>7.93</v>
      </c>
      <c r="F29" s="411">
        <v>7.95</v>
      </c>
      <c r="G29" s="411">
        <v>7.98</v>
      </c>
      <c r="H29" s="411">
        <v>7.96</v>
      </c>
      <c r="I29" s="411">
        <v>7.98</v>
      </c>
      <c r="J29" s="411">
        <v>8</v>
      </c>
      <c r="K29" s="411">
        <v>8.01</v>
      </c>
      <c r="L29" s="411">
        <v>8.0299999999999994</v>
      </c>
      <c r="M29" s="411">
        <v>8.0299999999999994</v>
      </c>
      <c r="N29" s="411">
        <v>8.0500000000000007</v>
      </c>
    </row>
    <row r="30" spans="1:14" ht="12" customHeight="1">
      <c r="A30" s="73" t="s">
        <v>45</v>
      </c>
      <c r="B30" s="728">
        <v>7.3</v>
      </c>
      <c r="C30" s="411">
        <v>7.27</v>
      </c>
      <c r="D30" s="411">
        <v>7.24</v>
      </c>
      <c r="E30" s="411">
        <v>7.26</v>
      </c>
      <c r="F30" s="411">
        <v>7.27</v>
      </c>
      <c r="G30" s="411">
        <v>7.27</v>
      </c>
      <c r="H30" s="411">
        <v>7.27</v>
      </c>
      <c r="I30" s="411">
        <v>7.29</v>
      </c>
      <c r="J30" s="411">
        <v>7.31</v>
      </c>
      <c r="K30" s="411">
        <v>7.32</v>
      </c>
      <c r="L30" s="411">
        <v>7.34</v>
      </c>
      <c r="M30" s="411">
        <v>7.36</v>
      </c>
      <c r="N30" s="411">
        <v>7.38</v>
      </c>
    </row>
    <row r="31" spans="1:14" ht="12" customHeight="1">
      <c r="A31" s="73" t="s">
        <v>46</v>
      </c>
      <c r="B31" s="728">
        <v>6.78</v>
      </c>
      <c r="C31" s="411">
        <v>6.73</v>
      </c>
      <c r="D31" s="411">
        <v>6.7</v>
      </c>
      <c r="E31" s="411">
        <v>6.72</v>
      </c>
      <c r="F31" s="411">
        <v>6.73</v>
      </c>
      <c r="G31" s="411">
        <v>6.75</v>
      </c>
      <c r="H31" s="411">
        <v>6.74</v>
      </c>
      <c r="I31" s="411">
        <v>6.76</v>
      </c>
      <c r="J31" s="411">
        <v>6.8</v>
      </c>
      <c r="K31" s="411">
        <v>6.81</v>
      </c>
      <c r="L31" s="411">
        <v>6.83</v>
      </c>
      <c r="M31" s="411">
        <v>6.86</v>
      </c>
      <c r="N31" s="411">
        <v>6.87</v>
      </c>
    </row>
    <row r="32" spans="1:14" ht="12" customHeight="1">
      <c r="A32" s="73" t="s">
        <v>47</v>
      </c>
      <c r="B32" s="728">
        <v>6.73</v>
      </c>
      <c r="C32" s="411">
        <v>6.68</v>
      </c>
      <c r="D32" s="411">
        <v>6.65</v>
      </c>
      <c r="E32" s="411">
        <v>6.67</v>
      </c>
      <c r="F32" s="411">
        <v>6.69</v>
      </c>
      <c r="G32" s="411">
        <v>6.7</v>
      </c>
      <c r="H32" s="411">
        <v>6.7</v>
      </c>
      <c r="I32" s="411">
        <v>6.7</v>
      </c>
      <c r="J32" s="411">
        <v>6.75</v>
      </c>
      <c r="K32" s="411">
        <v>6.76</v>
      </c>
      <c r="L32" s="411">
        <v>6.78</v>
      </c>
      <c r="M32" s="411">
        <v>6.8</v>
      </c>
      <c r="N32" s="411">
        <v>6.82</v>
      </c>
    </row>
    <row r="33" spans="1:14" ht="12" customHeight="1">
      <c r="A33" s="73" t="s">
        <v>48</v>
      </c>
      <c r="B33" s="728">
        <v>6.86</v>
      </c>
      <c r="C33" s="411">
        <v>6.8</v>
      </c>
      <c r="D33" s="411">
        <v>6.78</v>
      </c>
      <c r="E33" s="411">
        <v>6.79</v>
      </c>
      <c r="F33" s="411">
        <v>6.82</v>
      </c>
      <c r="G33" s="411">
        <v>6.84</v>
      </c>
      <c r="H33" s="411">
        <v>6.83</v>
      </c>
      <c r="I33" s="411">
        <v>6.85</v>
      </c>
      <c r="J33" s="411">
        <v>6.89</v>
      </c>
      <c r="K33" s="411">
        <v>6.9</v>
      </c>
      <c r="L33" s="411">
        <v>6.92</v>
      </c>
      <c r="M33" s="411">
        <v>6.93</v>
      </c>
      <c r="N33" s="411">
        <v>6.95</v>
      </c>
    </row>
    <row r="34" spans="1:14" ht="12" customHeight="1" thickBot="1">
      <c r="A34" s="121" t="s">
        <v>49</v>
      </c>
      <c r="B34" s="729">
        <v>6.44</v>
      </c>
      <c r="C34" s="412">
        <v>6.38</v>
      </c>
      <c r="D34" s="412">
        <v>6.35</v>
      </c>
      <c r="E34" s="412">
        <v>6.37</v>
      </c>
      <c r="F34" s="412">
        <v>6.39</v>
      </c>
      <c r="G34" s="412">
        <v>6.42</v>
      </c>
      <c r="H34" s="412">
        <v>6.41</v>
      </c>
      <c r="I34" s="412">
        <v>6.43</v>
      </c>
      <c r="J34" s="412">
        <v>6.46</v>
      </c>
      <c r="K34" s="412">
        <v>6.46</v>
      </c>
      <c r="L34" s="412">
        <v>6.48</v>
      </c>
      <c r="M34" s="412">
        <v>6.51</v>
      </c>
      <c r="N34" s="412">
        <v>6.53</v>
      </c>
    </row>
    <row r="35" spans="1:14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14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14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14" ht="13.25" customHeight="1">
      <c r="A38" s="865"/>
      <c r="B38" s="796"/>
      <c r="C38" s="796"/>
      <c r="D38" s="796"/>
    </row>
    <row r="39" spans="1:14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105">
    <tabColor theme="9" tint="0.59999389629810485"/>
  </sheetPr>
  <dimension ref="A1:AB39"/>
  <sheetViews>
    <sheetView showGridLines="0" topLeftCell="B1" zoomScaleNormal="100" workbookViewId="0">
      <selection activeCell="A5" sqref="A5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8" ht="17" customHeight="1">
      <c r="A1" s="418" t="s">
        <v>612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8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8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8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8" ht="15" customHeight="1">
      <c r="A5" s="723" t="s">
        <v>103</v>
      </c>
      <c r="B5" s="724">
        <v>5.92</v>
      </c>
      <c r="C5" s="724">
        <v>5.89</v>
      </c>
      <c r="D5" s="724">
        <v>5.89</v>
      </c>
      <c r="E5" s="724">
        <v>5.9</v>
      </c>
      <c r="F5" s="724">
        <v>5.91</v>
      </c>
      <c r="G5" s="724">
        <v>5.92</v>
      </c>
      <c r="H5" s="724">
        <v>5.92</v>
      </c>
      <c r="I5" s="724">
        <v>5.93</v>
      </c>
      <c r="J5" s="724">
        <v>5.92</v>
      </c>
      <c r="K5" s="724">
        <v>5.93</v>
      </c>
      <c r="L5" s="724">
        <v>5.94</v>
      </c>
      <c r="M5" s="724">
        <v>5.95</v>
      </c>
      <c r="N5" s="724">
        <v>5.95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spans="1:28" ht="12" customHeight="1">
      <c r="A6" s="73" t="s">
        <v>21</v>
      </c>
      <c r="B6" s="728">
        <v>5.93</v>
      </c>
      <c r="C6" s="411">
        <v>5.9</v>
      </c>
      <c r="D6" s="411">
        <v>5.9</v>
      </c>
      <c r="E6" s="411">
        <v>5.92</v>
      </c>
      <c r="F6" s="411">
        <v>5.92</v>
      </c>
      <c r="G6" s="411">
        <v>5.93</v>
      </c>
      <c r="H6" s="411">
        <v>5.93</v>
      </c>
      <c r="I6" s="411">
        <v>5.94</v>
      </c>
      <c r="J6" s="411">
        <v>5.93</v>
      </c>
      <c r="K6" s="411">
        <v>5.94</v>
      </c>
      <c r="L6" s="411">
        <v>5.95</v>
      </c>
      <c r="M6" s="411">
        <v>5.96</v>
      </c>
      <c r="N6" s="411">
        <v>5.96</v>
      </c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</row>
    <row r="7" spans="1:28" ht="12" customHeight="1">
      <c r="A7" s="73" t="s">
        <v>22</v>
      </c>
      <c r="B7" s="728">
        <v>5.95</v>
      </c>
      <c r="C7" s="411">
        <v>5.92</v>
      </c>
      <c r="D7" s="411">
        <v>5.91</v>
      </c>
      <c r="E7" s="411">
        <v>5.93</v>
      </c>
      <c r="F7" s="411">
        <v>5.95</v>
      </c>
      <c r="G7" s="411">
        <v>5.96</v>
      </c>
      <c r="H7" s="411">
        <v>5.95</v>
      </c>
      <c r="I7" s="411">
        <v>5.95</v>
      </c>
      <c r="J7" s="411">
        <v>5.94</v>
      </c>
      <c r="K7" s="411">
        <v>5.95</v>
      </c>
      <c r="L7" s="411">
        <v>5.96</v>
      </c>
      <c r="M7" s="411">
        <v>5.98</v>
      </c>
      <c r="N7" s="411">
        <v>5.98</v>
      </c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 spans="1:28" ht="12" customHeight="1">
      <c r="A8" s="73" t="s">
        <v>23</v>
      </c>
      <c r="B8" s="728">
        <v>6</v>
      </c>
      <c r="C8" s="411">
        <v>5.97</v>
      </c>
      <c r="D8" s="411">
        <v>5.96</v>
      </c>
      <c r="E8" s="411">
        <v>5.96</v>
      </c>
      <c r="F8" s="411">
        <v>5.98</v>
      </c>
      <c r="G8" s="411">
        <v>5.99</v>
      </c>
      <c r="H8" s="411">
        <v>5.99</v>
      </c>
      <c r="I8" s="411">
        <v>6.01</v>
      </c>
      <c r="J8" s="411">
        <v>6.02</v>
      </c>
      <c r="K8" s="411">
        <v>6.03</v>
      </c>
      <c r="L8" s="411">
        <v>6.04</v>
      </c>
      <c r="M8" s="411">
        <v>6.06</v>
      </c>
      <c r="N8" s="411">
        <v>6.07</v>
      </c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</row>
    <row r="9" spans="1:28" ht="12" customHeight="1">
      <c r="A9" s="73" t="s">
        <v>24</v>
      </c>
      <c r="B9" s="728">
        <v>6.38</v>
      </c>
      <c r="C9" s="411">
        <v>6.32</v>
      </c>
      <c r="D9" s="411">
        <v>6.34</v>
      </c>
      <c r="E9" s="411">
        <v>6.35</v>
      </c>
      <c r="F9" s="411">
        <v>6.38</v>
      </c>
      <c r="G9" s="411">
        <v>6.4</v>
      </c>
      <c r="H9" s="411">
        <v>6.38</v>
      </c>
      <c r="I9" s="411">
        <v>6.4</v>
      </c>
      <c r="J9" s="411">
        <v>6.38</v>
      </c>
      <c r="K9" s="411">
        <v>6.39</v>
      </c>
      <c r="L9" s="411">
        <v>6.41</v>
      </c>
      <c r="M9" s="411">
        <v>6.42</v>
      </c>
      <c r="N9" s="411">
        <v>6.43</v>
      </c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</row>
    <row r="10" spans="1:28" ht="12" customHeight="1">
      <c r="A10" s="73" t="s">
        <v>25</v>
      </c>
      <c r="B10" s="728">
        <v>6.13</v>
      </c>
      <c r="C10" s="411">
        <v>6.09</v>
      </c>
      <c r="D10" s="411">
        <v>6.1</v>
      </c>
      <c r="E10" s="411">
        <v>6.11</v>
      </c>
      <c r="F10" s="411">
        <v>6.12</v>
      </c>
      <c r="G10" s="411">
        <v>6.13</v>
      </c>
      <c r="H10" s="411">
        <v>6.13</v>
      </c>
      <c r="I10" s="411">
        <v>6.15</v>
      </c>
      <c r="J10" s="411">
        <v>6.14</v>
      </c>
      <c r="K10" s="411">
        <v>6.14</v>
      </c>
      <c r="L10" s="411">
        <v>6.15</v>
      </c>
      <c r="M10" s="411">
        <v>6.16</v>
      </c>
      <c r="N10" s="411">
        <v>6.16</v>
      </c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spans="1:28" ht="12" customHeight="1">
      <c r="A11" s="73" t="s">
        <v>97</v>
      </c>
      <c r="B11" s="728">
        <v>6.13</v>
      </c>
      <c r="C11" s="411">
        <v>6.09</v>
      </c>
      <c r="D11" s="411">
        <v>6.1</v>
      </c>
      <c r="E11" s="411">
        <v>6.1</v>
      </c>
      <c r="F11" s="411">
        <v>6.11</v>
      </c>
      <c r="G11" s="411">
        <v>6.12</v>
      </c>
      <c r="H11" s="411">
        <v>6.13</v>
      </c>
      <c r="I11" s="411">
        <v>6.15</v>
      </c>
      <c r="J11" s="411">
        <v>6.14</v>
      </c>
      <c r="K11" s="411">
        <v>6.15</v>
      </c>
      <c r="L11" s="411">
        <v>6.15</v>
      </c>
      <c r="M11" s="411">
        <v>6.16</v>
      </c>
      <c r="N11" s="411">
        <v>6.16</v>
      </c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spans="1:28" ht="12" customHeight="1">
      <c r="A12" s="73" t="s">
        <v>98</v>
      </c>
      <c r="B12" s="728">
        <v>6.12</v>
      </c>
      <c r="C12" s="411">
        <v>6.09</v>
      </c>
      <c r="D12" s="411">
        <v>6.09</v>
      </c>
      <c r="E12" s="411">
        <v>6.1</v>
      </c>
      <c r="F12" s="411">
        <v>6.12</v>
      </c>
      <c r="G12" s="411">
        <v>6.12</v>
      </c>
      <c r="H12" s="411">
        <v>6.12</v>
      </c>
      <c r="I12" s="411">
        <v>6.14</v>
      </c>
      <c r="J12" s="411">
        <v>6.12</v>
      </c>
      <c r="K12" s="411">
        <v>6.11</v>
      </c>
      <c r="L12" s="411">
        <v>6.13</v>
      </c>
      <c r="M12" s="411">
        <v>6.14</v>
      </c>
      <c r="N12" s="411">
        <v>6.15</v>
      </c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spans="1:28" ht="12" customHeight="1">
      <c r="A13" s="73" t="s">
        <v>127</v>
      </c>
      <c r="B13" s="728">
        <v>6.15</v>
      </c>
      <c r="C13" s="411">
        <v>6.1</v>
      </c>
      <c r="D13" s="411">
        <v>6.1</v>
      </c>
      <c r="E13" s="411">
        <v>6.12</v>
      </c>
      <c r="F13" s="411">
        <v>6.14</v>
      </c>
      <c r="G13" s="411">
        <v>6.14</v>
      </c>
      <c r="H13" s="411">
        <v>6.14</v>
      </c>
      <c r="I13" s="411">
        <v>6.16</v>
      </c>
      <c r="J13" s="411">
        <v>6.15</v>
      </c>
      <c r="K13" s="411">
        <v>6.16</v>
      </c>
      <c r="L13" s="411">
        <v>6.17</v>
      </c>
      <c r="M13" s="411">
        <v>6.18</v>
      </c>
      <c r="N13" s="411">
        <v>6.19</v>
      </c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spans="1:28" ht="12" customHeight="1">
      <c r="A14" s="73" t="s">
        <v>29</v>
      </c>
      <c r="B14" s="728">
        <v>5.77</v>
      </c>
      <c r="C14" s="411">
        <v>5.73</v>
      </c>
      <c r="D14" s="411">
        <v>5.74</v>
      </c>
      <c r="E14" s="411">
        <v>5.75</v>
      </c>
      <c r="F14" s="411">
        <v>5.78</v>
      </c>
      <c r="G14" s="411">
        <v>5.77</v>
      </c>
      <c r="H14" s="411">
        <v>5.77</v>
      </c>
      <c r="I14" s="411">
        <v>5.79</v>
      </c>
      <c r="J14" s="411">
        <v>5.78</v>
      </c>
      <c r="K14" s="411">
        <v>5.77</v>
      </c>
      <c r="L14" s="411">
        <v>5.77</v>
      </c>
      <c r="M14" s="411">
        <v>5.79</v>
      </c>
      <c r="N14" s="411">
        <v>5.8</v>
      </c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spans="1:28" ht="12" customHeight="1">
      <c r="A15" s="73" t="s">
        <v>30</v>
      </c>
      <c r="B15" s="728">
        <v>5.56</v>
      </c>
      <c r="C15" s="411">
        <v>5.53</v>
      </c>
      <c r="D15" s="411">
        <v>5.54</v>
      </c>
      <c r="E15" s="411">
        <v>5.55</v>
      </c>
      <c r="F15" s="411">
        <v>5.57</v>
      </c>
      <c r="G15" s="411">
        <v>5.58</v>
      </c>
      <c r="H15" s="411">
        <v>5.57</v>
      </c>
      <c r="I15" s="411">
        <v>5.58</v>
      </c>
      <c r="J15" s="411">
        <v>5.56</v>
      </c>
      <c r="K15" s="411">
        <v>5.55</v>
      </c>
      <c r="L15" s="411">
        <v>5.55</v>
      </c>
      <c r="M15" s="411">
        <v>5.56</v>
      </c>
      <c r="N15" s="411">
        <v>5.58</v>
      </c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spans="1:28" ht="12" customHeight="1">
      <c r="A16" s="73" t="s">
        <v>31</v>
      </c>
      <c r="B16" s="728">
        <v>6.3</v>
      </c>
      <c r="C16" s="411">
        <v>6.23</v>
      </c>
      <c r="D16" s="411">
        <v>6.24</v>
      </c>
      <c r="E16" s="411">
        <v>6.25</v>
      </c>
      <c r="F16" s="411">
        <v>6.29</v>
      </c>
      <c r="G16" s="411">
        <v>6.32</v>
      </c>
      <c r="H16" s="411">
        <v>6.3</v>
      </c>
      <c r="I16" s="411">
        <v>6.32</v>
      </c>
      <c r="J16" s="411">
        <v>6.31</v>
      </c>
      <c r="K16" s="411">
        <v>6.32</v>
      </c>
      <c r="L16" s="411">
        <v>6.33</v>
      </c>
      <c r="M16" s="411">
        <v>6.34</v>
      </c>
      <c r="N16" s="411">
        <v>6.35</v>
      </c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 spans="1:28" ht="12" customHeight="1">
      <c r="A17" s="73" t="s">
        <v>32</v>
      </c>
      <c r="B17" s="728">
        <v>5.69</v>
      </c>
      <c r="C17" s="411">
        <v>5.64</v>
      </c>
      <c r="D17" s="411">
        <v>5.65</v>
      </c>
      <c r="E17" s="411">
        <v>5.66</v>
      </c>
      <c r="F17" s="411">
        <v>5.68</v>
      </c>
      <c r="G17" s="411">
        <v>5.7</v>
      </c>
      <c r="H17" s="411">
        <v>5.69</v>
      </c>
      <c r="I17" s="411">
        <v>5.71</v>
      </c>
      <c r="J17" s="411">
        <v>5.68</v>
      </c>
      <c r="K17" s="411">
        <v>5.7</v>
      </c>
      <c r="L17" s="411">
        <v>5.7</v>
      </c>
      <c r="M17" s="411">
        <v>5.72</v>
      </c>
      <c r="N17" s="411">
        <v>5.74</v>
      </c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</row>
    <row r="18" spans="1:28" ht="12" customHeight="1">
      <c r="A18" s="73" t="s">
        <v>33</v>
      </c>
      <c r="B18" s="728">
        <v>5.72</v>
      </c>
      <c r="C18" s="411">
        <v>5.7</v>
      </c>
      <c r="D18" s="411">
        <v>5.7</v>
      </c>
      <c r="E18" s="411">
        <v>5.7</v>
      </c>
      <c r="F18" s="411">
        <v>5.73</v>
      </c>
      <c r="G18" s="411">
        <v>5.72</v>
      </c>
      <c r="H18" s="411">
        <v>5.72</v>
      </c>
      <c r="I18" s="411">
        <v>5.73</v>
      </c>
      <c r="J18" s="411">
        <v>5.71</v>
      </c>
      <c r="K18" s="411">
        <v>5.7</v>
      </c>
      <c r="L18" s="411">
        <v>5.7</v>
      </c>
      <c r="M18" s="411">
        <v>5.72</v>
      </c>
      <c r="N18" s="411">
        <v>5.74</v>
      </c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1:28" ht="12" customHeight="1">
      <c r="A19" s="73" t="s">
        <v>34</v>
      </c>
      <c r="B19" s="728">
        <v>5.56</v>
      </c>
      <c r="C19" s="411">
        <v>5.58</v>
      </c>
      <c r="D19" s="411">
        <v>5.56</v>
      </c>
      <c r="E19" s="411">
        <v>5.57</v>
      </c>
      <c r="F19" s="411">
        <v>5.57</v>
      </c>
      <c r="G19" s="411">
        <v>5.56</v>
      </c>
      <c r="H19" s="411">
        <v>5.56</v>
      </c>
      <c r="I19" s="411">
        <v>5.57</v>
      </c>
      <c r="J19" s="411">
        <v>5.55</v>
      </c>
      <c r="K19" s="411">
        <v>5.54</v>
      </c>
      <c r="L19" s="411">
        <v>5.54</v>
      </c>
      <c r="M19" s="411">
        <v>5.55</v>
      </c>
      <c r="N19" s="411">
        <v>5.56</v>
      </c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1:28" ht="12" customHeight="1">
      <c r="A20" s="73" t="s">
        <v>35</v>
      </c>
      <c r="B20" s="728">
        <v>6.38</v>
      </c>
      <c r="C20" s="411">
        <v>6.33</v>
      </c>
      <c r="D20" s="411">
        <v>6.34</v>
      </c>
      <c r="E20" s="411">
        <v>6.35</v>
      </c>
      <c r="F20" s="411">
        <v>6.38</v>
      </c>
      <c r="G20" s="411">
        <v>6.39</v>
      </c>
      <c r="H20" s="411">
        <v>6.38</v>
      </c>
      <c r="I20" s="411">
        <v>6.39</v>
      </c>
      <c r="J20" s="411">
        <v>6.38</v>
      </c>
      <c r="K20" s="411">
        <v>6.38</v>
      </c>
      <c r="L20" s="411">
        <v>6.38</v>
      </c>
      <c r="M20" s="411">
        <v>6.4</v>
      </c>
      <c r="N20" s="411">
        <v>6.41</v>
      </c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</row>
    <row r="21" spans="1:28" ht="12" customHeight="1">
      <c r="A21" s="73" t="s">
        <v>36</v>
      </c>
      <c r="B21" s="728">
        <v>5.38</v>
      </c>
      <c r="C21" s="411">
        <v>5.39</v>
      </c>
      <c r="D21" s="411">
        <v>5.37</v>
      </c>
      <c r="E21" s="411">
        <v>5.38</v>
      </c>
      <c r="F21" s="411">
        <v>5.39</v>
      </c>
      <c r="G21" s="411">
        <v>5.38</v>
      </c>
      <c r="H21" s="411">
        <v>5.39</v>
      </c>
      <c r="I21" s="411">
        <v>5.39</v>
      </c>
      <c r="J21" s="411">
        <v>5.37</v>
      </c>
      <c r="K21" s="411">
        <v>5.36</v>
      </c>
      <c r="L21" s="411">
        <v>5.36</v>
      </c>
      <c r="M21" s="411">
        <v>5.36</v>
      </c>
      <c r="N21" s="411">
        <v>5.36</v>
      </c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1:28" ht="12" customHeight="1">
      <c r="A22" s="73" t="s">
        <v>37</v>
      </c>
      <c r="B22" s="728">
        <v>5.96</v>
      </c>
      <c r="C22" s="411">
        <v>5.88</v>
      </c>
      <c r="D22" s="411">
        <v>5.9</v>
      </c>
      <c r="E22" s="411">
        <v>5.92</v>
      </c>
      <c r="F22" s="411">
        <v>5.95</v>
      </c>
      <c r="G22" s="411">
        <v>5.97</v>
      </c>
      <c r="H22" s="411">
        <v>5.96</v>
      </c>
      <c r="I22" s="411">
        <v>5.98</v>
      </c>
      <c r="J22" s="411">
        <v>5.96</v>
      </c>
      <c r="K22" s="411">
        <v>5.97</v>
      </c>
      <c r="L22" s="411">
        <v>5.98</v>
      </c>
      <c r="M22" s="411">
        <v>5.98</v>
      </c>
      <c r="N22" s="411">
        <v>5.99</v>
      </c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1:28" ht="12" customHeight="1">
      <c r="A23" s="73" t="s">
        <v>38</v>
      </c>
      <c r="B23" s="728">
        <v>5.74</v>
      </c>
      <c r="C23" s="411">
        <v>5.7</v>
      </c>
      <c r="D23" s="411">
        <v>5.72</v>
      </c>
      <c r="E23" s="411">
        <v>5.73</v>
      </c>
      <c r="F23" s="411">
        <v>5.75</v>
      </c>
      <c r="G23" s="411">
        <v>5.76</v>
      </c>
      <c r="H23" s="411">
        <v>5.75</v>
      </c>
      <c r="I23" s="411">
        <v>5.75</v>
      </c>
      <c r="J23" s="411">
        <v>5.73</v>
      </c>
      <c r="K23" s="411">
        <v>5.72</v>
      </c>
      <c r="L23" s="411">
        <v>5.73</v>
      </c>
      <c r="M23" s="411">
        <v>5.74</v>
      </c>
      <c r="N23" s="411">
        <v>5.76</v>
      </c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1:28" ht="12" customHeight="1">
      <c r="A24" s="73" t="s">
        <v>39</v>
      </c>
      <c r="B24" s="728">
        <v>5.95</v>
      </c>
      <c r="C24" s="411">
        <v>5.89</v>
      </c>
      <c r="D24" s="411">
        <v>5.9</v>
      </c>
      <c r="E24" s="411">
        <v>5.92</v>
      </c>
      <c r="F24" s="411">
        <v>5.96</v>
      </c>
      <c r="G24" s="411">
        <v>5.98</v>
      </c>
      <c r="H24" s="411">
        <v>5.97</v>
      </c>
      <c r="I24" s="411">
        <v>5.98</v>
      </c>
      <c r="J24" s="411">
        <v>5.96</v>
      </c>
      <c r="K24" s="411">
        <v>5.96</v>
      </c>
      <c r="L24" s="411">
        <v>5.96</v>
      </c>
      <c r="M24" s="411">
        <v>5.97</v>
      </c>
      <c r="N24" s="411">
        <v>5.98</v>
      </c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1:28" ht="12" customHeight="1">
      <c r="A25" s="73" t="s">
        <v>40</v>
      </c>
      <c r="B25" s="728">
        <v>5.47</v>
      </c>
      <c r="C25" s="411">
        <v>5.49</v>
      </c>
      <c r="D25" s="411">
        <v>5.47</v>
      </c>
      <c r="E25" s="415">
        <v>5.48</v>
      </c>
      <c r="F25" s="411">
        <v>5.49</v>
      </c>
      <c r="G25" s="411">
        <v>5.48</v>
      </c>
      <c r="H25" s="411">
        <v>5.48</v>
      </c>
      <c r="I25" s="411">
        <v>5.48</v>
      </c>
      <c r="J25" s="411">
        <v>5.46</v>
      </c>
      <c r="K25" s="411">
        <v>5.45</v>
      </c>
      <c r="L25" s="411">
        <v>5.45</v>
      </c>
      <c r="M25" s="411">
        <v>5.46</v>
      </c>
      <c r="N25" s="411">
        <v>5.47</v>
      </c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1:28" ht="12" customHeight="1">
      <c r="A26" s="73" t="s">
        <v>41</v>
      </c>
      <c r="B26" s="728">
        <v>5.17</v>
      </c>
      <c r="C26" s="411">
        <v>5.18</v>
      </c>
      <c r="D26" s="411">
        <v>5.17</v>
      </c>
      <c r="E26" s="411">
        <v>5.18</v>
      </c>
      <c r="F26" s="411">
        <v>5.19</v>
      </c>
      <c r="G26" s="411">
        <v>5.18</v>
      </c>
      <c r="H26" s="411">
        <v>5.18</v>
      </c>
      <c r="I26" s="411">
        <v>5.18</v>
      </c>
      <c r="J26" s="411">
        <v>5.15</v>
      </c>
      <c r="K26" s="411">
        <v>5.16</v>
      </c>
      <c r="L26" s="411">
        <v>5.16</v>
      </c>
      <c r="M26" s="411">
        <v>5.16</v>
      </c>
      <c r="N26" s="411">
        <v>5.16</v>
      </c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1:28" ht="12" customHeight="1">
      <c r="A27" s="73" t="s">
        <v>100</v>
      </c>
      <c r="B27" s="728">
        <v>5.17</v>
      </c>
      <c r="C27" s="411">
        <v>5.18</v>
      </c>
      <c r="D27" s="411">
        <v>5.16</v>
      </c>
      <c r="E27" s="411">
        <v>5.17</v>
      </c>
      <c r="F27" s="411">
        <v>5.18</v>
      </c>
      <c r="G27" s="411">
        <v>5.17</v>
      </c>
      <c r="H27" s="411">
        <v>5.17</v>
      </c>
      <c r="I27" s="411">
        <v>5.17</v>
      </c>
      <c r="J27" s="411">
        <v>5.15</v>
      </c>
      <c r="K27" s="411">
        <v>5.15</v>
      </c>
      <c r="L27" s="411">
        <v>5.15</v>
      </c>
      <c r="M27" s="411">
        <v>5.15</v>
      </c>
      <c r="N27" s="411">
        <v>5.16</v>
      </c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1:28" ht="12" customHeight="1">
      <c r="A28" s="73" t="s">
        <v>101</v>
      </c>
      <c r="B28" s="728">
        <v>5.17</v>
      </c>
      <c r="C28" s="411">
        <v>5.17</v>
      </c>
      <c r="D28" s="411">
        <v>5.17</v>
      </c>
      <c r="E28" s="411">
        <v>5.18</v>
      </c>
      <c r="F28" s="411">
        <v>5.19</v>
      </c>
      <c r="G28" s="411">
        <v>5.18</v>
      </c>
      <c r="H28" s="411">
        <v>5.18</v>
      </c>
      <c r="I28" s="411">
        <v>5.18</v>
      </c>
      <c r="J28" s="411">
        <v>5.15</v>
      </c>
      <c r="K28" s="411">
        <v>5.16</v>
      </c>
      <c r="L28" s="411">
        <v>5.16</v>
      </c>
      <c r="M28" s="411">
        <v>5.16</v>
      </c>
      <c r="N28" s="411">
        <v>5.16</v>
      </c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1:28" ht="12" customHeight="1">
      <c r="A29" s="73" t="s">
        <v>44</v>
      </c>
      <c r="B29" s="728">
        <v>6.15</v>
      </c>
      <c r="C29" s="411">
        <v>6.1</v>
      </c>
      <c r="D29" s="411">
        <v>6.1</v>
      </c>
      <c r="E29" s="411">
        <v>6.12</v>
      </c>
      <c r="F29" s="411">
        <v>6.14</v>
      </c>
      <c r="G29" s="411">
        <v>6.16</v>
      </c>
      <c r="H29" s="411">
        <v>6.15</v>
      </c>
      <c r="I29" s="411">
        <v>6.17</v>
      </c>
      <c r="J29" s="411">
        <v>6.14</v>
      </c>
      <c r="K29" s="411">
        <v>6.15</v>
      </c>
      <c r="L29" s="411">
        <v>6.17</v>
      </c>
      <c r="M29" s="411">
        <v>6.18</v>
      </c>
      <c r="N29" s="411">
        <v>6.2</v>
      </c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1:28" ht="12" customHeight="1">
      <c r="A30" s="73" t="s">
        <v>45</v>
      </c>
      <c r="B30" s="728">
        <v>5.84</v>
      </c>
      <c r="C30" s="411">
        <v>5.79</v>
      </c>
      <c r="D30" s="411">
        <v>5.78</v>
      </c>
      <c r="E30" s="411">
        <v>5.8</v>
      </c>
      <c r="F30" s="411">
        <v>5.83</v>
      </c>
      <c r="G30" s="411">
        <v>5.84</v>
      </c>
      <c r="H30" s="411">
        <v>5.83</v>
      </c>
      <c r="I30" s="411">
        <v>5.85</v>
      </c>
      <c r="J30" s="411">
        <v>5.83</v>
      </c>
      <c r="K30" s="411">
        <v>5.85</v>
      </c>
      <c r="L30" s="411">
        <v>5.86</v>
      </c>
      <c r="M30" s="411">
        <v>5.87</v>
      </c>
      <c r="N30" s="411">
        <v>5.89</v>
      </c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1:28" ht="12" customHeight="1">
      <c r="A31" s="73" t="s">
        <v>46</v>
      </c>
      <c r="B31" s="728">
        <v>5.89</v>
      </c>
      <c r="C31" s="411">
        <v>5.84</v>
      </c>
      <c r="D31" s="411">
        <v>5.85</v>
      </c>
      <c r="E31" s="411">
        <v>5.87</v>
      </c>
      <c r="F31" s="411">
        <v>5.88</v>
      </c>
      <c r="G31" s="411">
        <v>5.9</v>
      </c>
      <c r="H31" s="411">
        <v>5.89</v>
      </c>
      <c r="I31" s="411">
        <v>5.91</v>
      </c>
      <c r="J31" s="411">
        <v>5.89</v>
      </c>
      <c r="K31" s="411">
        <v>5.9</v>
      </c>
      <c r="L31" s="411">
        <v>5.92</v>
      </c>
      <c r="M31" s="411">
        <v>5.93</v>
      </c>
      <c r="N31" s="411">
        <v>5.95</v>
      </c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1:28" ht="12" customHeight="1">
      <c r="A32" s="73" t="s">
        <v>47</v>
      </c>
      <c r="B32" s="728">
        <v>5.97</v>
      </c>
      <c r="C32" s="411">
        <v>5.88</v>
      </c>
      <c r="D32" s="411">
        <v>5.87</v>
      </c>
      <c r="E32" s="411">
        <v>5.98</v>
      </c>
      <c r="F32" s="411">
        <v>5.99</v>
      </c>
      <c r="G32" s="411">
        <v>5.98</v>
      </c>
      <c r="H32" s="411">
        <v>5.98</v>
      </c>
      <c r="I32" s="411">
        <v>6</v>
      </c>
      <c r="J32" s="411">
        <v>5.98</v>
      </c>
      <c r="K32" s="411">
        <v>5.97</v>
      </c>
      <c r="L32" s="411">
        <v>5.99</v>
      </c>
      <c r="M32" s="411">
        <v>5.99</v>
      </c>
      <c r="N32" s="411">
        <v>5.99</v>
      </c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1:28" ht="12" customHeight="1">
      <c r="A33" s="73" t="s">
        <v>48</v>
      </c>
      <c r="B33" s="728">
        <v>5.75</v>
      </c>
      <c r="C33" s="411">
        <v>5.69</v>
      </c>
      <c r="D33" s="411">
        <v>5.7</v>
      </c>
      <c r="E33" s="411">
        <v>5.72</v>
      </c>
      <c r="F33" s="411">
        <v>5.75</v>
      </c>
      <c r="G33" s="411">
        <v>5.76</v>
      </c>
      <c r="H33" s="411">
        <v>5.75</v>
      </c>
      <c r="I33" s="411">
        <v>5.77</v>
      </c>
      <c r="J33" s="411">
        <v>5.75</v>
      </c>
      <c r="K33" s="411">
        <v>5.76</v>
      </c>
      <c r="L33" s="411">
        <v>5.77</v>
      </c>
      <c r="M33" s="411">
        <v>5.78</v>
      </c>
      <c r="N33" s="411">
        <v>5.79</v>
      </c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1:28" ht="12" customHeight="1" thickBot="1">
      <c r="A34" s="121" t="s">
        <v>49</v>
      </c>
      <c r="B34" s="729">
        <v>5.76</v>
      </c>
      <c r="C34" s="412">
        <v>5.7</v>
      </c>
      <c r="D34" s="412">
        <v>5.72</v>
      </c>
      <c r="E34" s="412">
        <v>5.74</v>
      </c>
      <c r="F34" s="412">
        <v>5.77</v>
      </c>
      <c r="G34" s="412">
        <v>5.78</v>
      </c>
      <c r="H34" s="412">
        <v>5.77</v>
      </c>
      <c r="I34" s="412">
        <v>5.79</v>
      </c>
      <c r="J34" s="412">
        <v>5.77</v>
      </c>
      <c r="K34" s="412">
        <v>5.76</v>
      </c>
      <c r="L34" s="412">
        <v>5.77</v>
      </c>
      <c r="M34" s="412">
        <v>5.77</v>
      </c>
      <c r="N34" s="412">
        <v>5.78</v>
      </c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1:28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8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8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8" ht="13.25" customHeight="1">
      <c r="A38" s="865"/>
      <c r="B38" s="796"/>
      <c r="C38" s="796"/>
      <c r="D38" s="796"/>
    </row>
    <row r="39" spans="1:28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Hoja106">
    <tabColor theme="9" tint="0.59999389629810485"/>
  </sheetPr>
  <dimension ref="A1:AA39"/>
  <sheetViews>
    <sheetView showGridLines="0" zoomScaleNormal="100" workbookViewId="0">
      <selection activeCell="H25" sqref="H25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7" ht="17" customHeight="1">
      <c r="A1" s="418" t="s">
        <v>611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7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7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7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7" ht="15" customHeight="1">
      <c r="A5" s="723" t="s">
        <v>103</v>
      </c>
      <c r="B5" s="724">
        <v>4.8099999999999996</v>
      </c>
      <c r="C5" s="724">
        <v>4.82</v>
      </c>
      <c r="D5" s="724">
        <v>4.82</v>
      </c>
      <c r="E5" s="724">
        <v>4.82</v>
      </c>
      <c r="F5" s="724">
        <v>4.8</v>
      </c>
      <c r="G5" s="724">
        <v>4.79</v>
      </c>
      <c r="H5" s="724">
        <v>4.8099999999999996</v>
      </c>
      <c r="I5" s="724">
        <v>4.8099999999999996</v>
      </c>
      <c r="J5" s="724">
        <v>4.8099999999999996</v>
      </c>
      <c r="K5" s="724">
        <v>4.8</v>
      </c>
      <c r="L5" s="724">
        <v>4.8</v>
      </c>
      <c r="M5" s="724">
        <v>4.8099999999999996</v>
      </c>
      <c r="N5" s="724">
        <v>4.83</v>
      </c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ht="12" customHeight="1">
      <c r="A6" s="73" t="s">
        <v>21</v>
      </c>
      <c r="B6" s="728">
        <v>4.57</v>
      </c>
      <c r="C6" s="411">
        <v>4.57</v>
      </c>
      <c r="D6" s="411">
        <v>4.58</v>
      </c>
      <c r="E6" s="411">
        <v>4.57</v>
      </c>
      <c r="F6" s="411">
        <v>4.58</v>
      </c>
      <c r="G6" s="411">
        <v>4.57</v>
      </c>
      <c r="H6" s="411">
        <v>4.5599999999999996</v>
      </c>
      <c r="I6" s="411">
        <v>4.57</v>
      </c>
      <c r="J6" s="411">
        <v>4.55</v>
      </c>
      <c r="K6" s="411">
        <v>4.5599999999999996</v>
      </c>
      <c r="L6" s="411">
        <v>4.55</v>
      </c>
      <c r="M6" s="411">
        <v>4.5599999999999996</v>
      </c>
      <c r="N6" s="411">
        <v>4.5599999999999996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 spans="1:27" ht="12" customHeight="1">
      <c r="A7" s="73" t="s">
        <v>22</v>
      </c>
      <c r="B7" s="728">
        <v>4.8600000000000003</v>
      </c>
      <c r="C7" s="411">
        <v>4.8499999999999996</v>
      </c>
      <c r="D7" s="411">
        <v>4.8499999999999996</v>
      </c>
      <c r="E7" s="411">
        <v>4.8499999999999996</v>
      </c>
      <c r="F7" s="411">
        <v>4.8499999999999996</v>
      </c>
      <c r="G7" s="411">
        <v>4.87</v>
      </c>
      <c r="H7" s="411">
        <v>4.8600000000000003</v>
      </c>
      <c r="I7" s="411">
        <v>4.88</v>
      </c>
      <c r="J7" s="411">
        <v>4.8499999999999996</v>
      </c>
      <c r="K7" s="411">
        <v>4.84</v>
      </c>
      <c r="L7" s="411">
        <v>4.8499999999999996</v>
      </c>
      <c r="M7" s="411">
        <v>4.87</v>
      </c>
      <c r="N7" s="411">
        <v>4.88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 spans="1:27" ht="12" customHeight="1">
      <c r="A8" s="73" t="s">
        <v>23</v>
      </c>
      <c r="B8" s="728">
        <v>4.76</v>
      </c>
      <c r="C8" s="411">
        <v>4.76</v>
      </c>
      <c r="D8" s="411">
        <v>4.75</v>
      </c>
      <c r="E8" s="411">
        <v>4.76</v>
      </c>
      <c r="F8" s="411">
        <v>4.75</v>
      </c>
      <c r="G8" s="411">
        <v>4.74</v>
      </c>
      <c r="H8" s="411">
        <v>4.75</v>
      </c>
      <c r="I8" s="411">
        <v>4.7699999999999996</v>
      </c>
      <c r="J8" s="411">
        <v>4.75</v>
      </c>
      <c r="K8" s="411">
        <v>4.76</v>
      </c>
      <c r="L8" s="411">
        <v>4.76</v>
      </c>
      <c r="M8" s="411">
        <v>4.76</v>
      </c>
      <c r="N8" s="411">
        <v>4.7699999999999996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 spans="1:27" ht="12" customHeight="1">
      <c r="A9" s="73" t="s">
        <v>24</v>
      </c>
      <c r="B9" s="728">
        <v>5.58</v>
      </c>
      <c r="C9" s="411">
        <v>5.57</v>
      </c>
      <c r="D9" s="411">
        <v>5.58</v>
      </c>
      <c r="E9" s="411">
        <v>5.57</v>
      </c>
      <c r="F9" s="411">
        <v>5.57</v>
      </c>
      <c r="G9" s="411">
        <v>5.61</v>
      </c>
      <c r="H9" s="411">
        <v>5.59</v>
      </c>
      <c r="I9" s="411">
        <v>5.6</v>
      </c>
      <c r="J9" s="411">
        <v>5.56</v>
      </c>
      <c r="K9" s="411">
        <v>5.56</v>
      </c>
      <c r="L9" s="411">
        <v>5.56</v>
      </c>
      <c r="M9" s="411">
        <v>5.58</v>
      </c>
      <c r="N9" s="411">
        <v>5.6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 spans="1:27" ht="12" customHeight="1">
      <c r="A10" s="73" t="s">
        <v>25</v>
      </c>
      <c r="B10" s="728">
        <v>4.38</v>
      </c>
      <c r="C10" s="411">
        <v>4.38</v>
      </c>
      <c r="D10" s="411">
        <v>4.37</v>
      </c>
      <c r="E10" s="411">
        <v>4.37</v>
      </c>
      <c r="F10" s="411">
        <v>4.3899999999999997</v>
      </c>
      <c r="G10" s="411">
        <v>4.4000000000000004</v>
      </c>
      <c r="H10" s="411">
        <v>4.4000000000000004</v>
      </c>
      <c r="I10" s="411">
        <v>4.4000000000000004</v>
      </c>
      <c r="J10" s="411">
        <v>4.3600000000000003</v>
      </c>
      <c r="K10" s="411">
        <v>4.3499999999999996</v>
      </c>
      <c r="L10" s="411">
        <v>4.3499999999999996</v>
      </c>
      <c r="M10" s="411">
        <v>4.3600000000000003</v>
      </c>
      <c r="N10" s="411">
        <v>4.38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 spans="1:27" ht="12" customHeight="1">
      <c r="A11" s="73" t="s">
        <v>97</v>
      </c>
      <c r="B11" s="728">
        <v>4.32</v>
      </c>
      <c r="C11" s="411">
        <v>4.32</v>
      </c>
      <c r="D11" s="411">
        <v>4.3099999999999996</v>
      </c>
      <c r="E11" s="411">
        <v>4.32</v>
      </c>
      <c r="F11" s="411">
        <v>4.32</v>
      </c>
      <c r="G11" s="411">
        <v>4.3099999999999996</v>
      </c>
      <c r="H11" s="411">
        <v>4.32</v>
      </c>
      <c r="I11" s="411">
        <v>4.33</v>
      </c>
      <c r="J11" s="411">
        <v>4.3099999999999996</v>
      </c>
      <c r="K11" s="411">
        <v>4.3</v>
      </c>
      <c r="L11" s="411">
        <v>4.3</v>
      </c>
      <c r="M11" s="411">
        <v>4.32</v>
      </c>
      <c r="N11" s="411">
        <v>4.33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 spans="1:27" ht="12" customHeight="1">
      <c r="A12" s="73" t="s">
        <v>98</v>
      </c>
      <c r="B12" s="728">
        <v>4.0999999999999996</v>
      </c>
      <c r="C12" s="411">
        <v>4.13</v>
      </c>
      <c r="D12" s="411">
        <v>4.12</v>
      </c>
      <c r="E12" s="411">
        <v>4.13</v>
      </c>
      <c r="F12" s="411">
        <v>4.12</v>
      </c>
      <c r="G12" s="411">
        <v>4.12</v>
      </c>
      <c r="H12" s="411">
        <v>4.12</v>
      </c>
      <c r="I12" s="411">
        <v>4.0999999999999996</v>
      </c>
      <c r="J12" s="411">
        <v>4.08</v>
      </c>
      <c r="K12" s="411">
        <v>4.07</v>
      </c>
      <c r="L12" s="411">
        <v>4.08</v>
      </c>
      <c r="M12" s="411">
        <v>4.09</v>
      </c>
      <c r="N12" s="411">
        <v>4.09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 spans="1:27" ht="12" customHeight="1">
      <c r="A13" s="73" t="s">
        <v>127</v>
      </c>
      <c r="B13" s="728">
        <v>4.5199999999999996</v>
      </c>
      <c r="C13" s="411">
        <v>4.54</v>
      </c>
      <c r="D13" s="411">
        <v>4.5199999999999996</v>
      </c>
      <c r="E13" s="411">
        <v>4.53</v>
      </c>
      <c r="F13" s="411">
        <v>4.53</v>
      </c>
      <c r="G13" s="411">
        <v>4.5199999999999996</v>
      </c>
      <c r="H13" s="411">
        <v>4.53</v>
      </c>
      <c r="I13" s="411">
        <v>4.5199999999999996</v>
      </c>
      <c r="J13" s="411">
        <v>4.5</v>
      </c>
      <c r="K13" s="411">
        <v>4.49</v>
      </c>
      <c r="L13" s="411">
        <v>4.5</v>
      </c>
      <c r="M13" s="411">
        <v>4.51</v>
      </c>
      <c r="N13" s="411">
        <v>4.5199999999999996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 spans="1:27" ht="12" customHeight="1">
      <c r="A14" s="73" t="s">
        <v>29</v>
      </c>
      <c r="B14" s="728">
        <v>4.58</v>
      </c>
      <c r="C14" s="411">
        <v>4.62</v>
      </c>
      <c r="D14" s="411">
        <v>4.5999999999999996</v>
      </c>
      <c r="E14" s="411">
        <v>4.6100000000000003</v>
      </c>
      <c r="F14" s="411">
        <v>4.5999999999999996</v>
      </c>
      <c r="G14" s="411">
        <v>4.58</v>
      </c>
      <c r="H14" s="411">
        <v>4.59</v>
      </c>
      <c r="I14" s="411">
        <v>4.58</v>
      </c>
      <c r="J14" s="411">
        <v>4.55</v>
      </c>
      <c r="K14" s="411">
        <v>4.55</v>
      </c>
      <c r="L14" s="411">
        <v>4.54</v>
      </c>
      <c r="M14" s="411">
        <v>4.5599999999999996</v>
      </c>
      <c r="N14" s="411">
        <v>4.5599999999999996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 spans="1:27" ht="12" customHeight="1">
      <c r="A15" s="73" t="s">
        <v>30</v>
      </c>
      <c r="B15" s="728">
        <v>4.4400000000000004</v>
      </c>
      <c r="C15" s="411">
        <v>4.47</v>
      </c>
      <c r="D15" s="411">
        <v>4.45</v>
      </c>
      <c r="E15" s="411">
        <v>4.46</v>
      </c>
      <c r="F15" s="411">
        <v>4.45</v>
      </c>
      <c r="G15" s="411">
        <v>4.4400000000000004</v>
      </c>
      <c r="H15" s="411">
        <v>4.45</v>
      </c>
      <c r="I15" s="411">
        <v>4.4400000000000004</v>
      </c>
      <c r="J15" s="411">
        <v>4.42</v>
      </c>
      <c r="K15" s="411">
        <v>4.42</v>
      </c>
      <c r="L15" s="411">
        <v>4.41</v>
      </c>
      <c r="M15" s="411">
        <v>4.43</v>
      </c>
      <c r="N15" s="411">
        <v>4.4400000000000004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spans="1:27" ht="12" customHeight="1">
      <c r="A16" s="73" t="s">
        <v>31</v>
      </c>
      <c r="B16" s="728">
        <v>5.62</v>
      </c>
      <c r="C16" s="411">
        <v>5.6</v>
      </c>
      <c r="D16" s="411">
        <v>5.6</v>
      </c>
      <c r="E16" s="411">
        <v>5.62</v>
      </c>
      <c r="F16" s="411">
        <v>5.61</v>
      </c>
      <c r="G16" s="411">
        <v>5.63</v>
      </c>
      <c r="H16" s="411">
        <v>5.62</v>
      </c>
      <c r="I16" s="411">
        <v>5.63</v>
      </c>
      <c r="J16" s="411">
        <v>5.62</v>
      </c>
      <c r="K16" s="411">
        <v>5.6</v>
      </c>
      <c r="L16" s="411">
        <v>5.61</v>
      </c>
      <c r="M16" s="411">
        <v>5.63</v>
      </c>
      <c r="N16" s="411">
        <v>5.65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 spans="1:27" ht="12" customHeight="1">
      <c r="A17" s="73" t="s">
        <v>32</v>
      </c>
      <c r="B17" s="728">
        <v>5.23</v>
      </c>
      <c r="C17" s="411">
        <v>5.24</v>
      </c>
      <c r="D17" s="411">
        <v>5.25</v>
      </c>
      <c r="E17" s="411">
        <v>5.25</v>
      </c>
      <c r="F17" s="411">
        <v>5.24</v>
      </c>
      <c r="G17" s="411">
        <v>5.25</v>
      </c>
      <c r="H17" s="411">
        <v>5.24</v>
      </c>
      <c r="I17" s="411">
        <v>5.23</v>
      </c>
      <c r="J17" s="411">
        <v>5.21</v>
      </c>
      <c r="K17" s="411">
        <v>5.21</v>
      </c>
      <c r="L17" s="411">
        <v>5.2</v>
      </c>
      <c r="M17" s="411">
        <v>5.22</v>
      </c>
      <c r="N17" s="411">
        <v>5.23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spans="1:27" ht="12" customHeight="1">
      <c r="A18" s="73" t="s">
        <v>33</v>
      </c>
      <c r="B18" s="728">
        <v>4.9000000000000004</v>
      </c>
      <c r="C18" s="411">
        <v>4.91</v>
      </c>
      <c r="D18" s="411">
        <v>4.93</v>
      </c>
      <c r="E18" s="411">
        <v>4.92</v>
      </c>
      <c r="F18" s="411">
        <v>4.92</v>
      </c>
      <c r="G18" s="411">
        <v>4.9000000000000004</v>
      </c>
      <c r="H18" s="411">
        <v>4.91</v>
      </c>
      <c r="I18" s="411">
        <v>4.9000000000000004</v>
      </c>
      <c r="J18" s="411">
        <v>4.88</v>
      </c>
      <c r="K18" s="411">
        <v>4.8600000000000003</v>
      </c>
      <c r="L18" s="411">
        <v>4.8600000000000003</v>
      </c>
      <c r="M18" s="411">
        <v>4.8899999999999997</v>
      </c>
      <c r="N18" s="411">
        <v>4.9000000000000004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 spans="1:27" ht="12" customHeight="1">
      <c r="A19" s="73" t="s">
        <v>34</v>
      </c>
      <c r="B19" s="728">
        <v>4.0199999999999996</v>
      </c>
      <c r="C19" s="411">
        <v>4.0199999999999996</v>
      </c>
      <c r="D19" s="411">
        <v>4.0199999999999996</v>
      </c>
      <c r="E19" s="411">
        <v>4.0199999999999996</v>
      </c>
      <c r="F19" s="411">
        <v>4.0199999999999996</v>
      </c>
      <c r="G19" s="411">
        <v>4.01</v>
      </c>
      <c r="H19" s="411">
        <v>4.0199999999999996</v>
      </c>
      <c r="I19" s="411">
        <v>4.01</v>
      </c>
      <c r="J19" s="411">
        <v>4</v>
      </c>
      <c r="K19" s="411">
        <v>4.0199999999999996</v>
      </c>
      <c r="L19" s="411">
        <v>4.04</v>
      </c>
      <c r="M19" s="411">
        <v>4.01</v>
      </c>
      <c r="N19" s="411">
        <v>4.01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spans="1:27" ht="12" customHeight="1">
      <c r="A20" s="73" t="s">
        <v>35</v>
      </c>
      <c r="B20" s="728">
        <v>4.7300000000000004</v>
      </c>
      <c r="C20" s="411">
        <v>4.76</v>
      </c>
      <c r="D20" s="411">
        <v>4.75</v>
      </c>
      <c r="E20" s="411">
        <v>4.76</v>
      </c>
      <c r="F20" s="411">
        <v>4.75</v>
      </c>
      <c r="G20" s="411">
        <v>4.7300000000000004</v>
      </c>
      <c r="H20" s="411">
        <v>4.74</v>
      </c>
      <c r="I20" s="411">
        <v>4.74</v>
      </c>
      <c r="J20" s="411">
        <v>4.71</v>
      </c>
      <c r="K20" s="411">
        <v>4.7</v>
      </c>
      <c r="L20" s="411">
        <v>4.7</v>
      </c>
      <c r="M20" s="411">
        <v>4.72</v>
      </c>
      <c r="N20" s="411">
        <v>4.7300000000000004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 spans="1:27" ht="12" customHeight="1">
      <c r="A21" s="73" t="s">
        <v>36</v>
      </c>
      <c r="B21" s="728">
        <v>4.16</v>
      </c>
      <c r="C21" s="411">
        <v>4.1900000000000004</v>
      </c>
      <c r="D21" s="411">
        <v>4.18</v>
      </c>
      <c r="E21" s="411">
        <v>4.1900000000000004</v>
      </c>
      <c r="F21" s="411">
        <v>4.18</v>
      </c>
      <c r="G21" s="411">
        <v>4.16</v>
      </c>
      <c r="H21" s="411">
        <v>4.17</v>
      </c>
      <c r="I21" s="411">
        <v>4.16</v>
      </c>
      <c r="J21" s="411">
        <v>4.1399999999999997</v>
      </c>
      <c r="K21" s="411">
        <v>4.1399999999999997</v>
      </c>
      <c r="L21" s="411">
        <v>4.1399999999999997</v>
      </c>
      <c r="M21" s="411">
        <v>4.1500000000000004</v>
      </c>
      <c r="N21" s="411">
        <v>4.1500000000000004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 spans="1:27" ht="12" customHeight="1">
      <c r="A22" s="73" t="s">
        <v>37</v>
      </c>
      <c r="B22" s="728">
        <v>4.75</v>
      </c>
      <c r="C22" s="411">
        <v>4.76</v>
      </c>
      <c r="D22" s="411">
        <v>4.75</v>
      </c>
      <c r="E22" s="411">
        <v>4.76</v>
      </c>
      <c r="F22" s="411">
        <v>4.75</v>
      </c>
      <c r="G22" s="411">
        <v>4.74</v>
      </c>
      <c r="H22" s="411">
        <v>4.75</v>
      </c>
      <c r="I22" s="411">
        <v>4.76</v>
      </c>
      <c r="J22" s="411">
        <v>4.74</v>
      </c>
      <c r="K22" s="411">
        <v>4.7300000000000004</v>
      </c>
      <c r="L22" s="411">
        <v>4.74</v>
      </c>
      <c r="M22" s="411">
        <v>4.74</v>
      </c>
      <c r="N22" s="411">
        <v>4.75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1:27" ht="12" customHeight="1">
      <c r="A23" s="73" t="s">
        <v>38</v>
      </c>
      <c r="B23" s="728">
        <v>4.21</v>
      </c>
      <c r="C23" s="411">
        <v>4.2300000000000004</v>
      </c>
      <c r="D23" s="411">
        <v>4.22</v>
      </c>
      <c r="E23" s="411">
        <v>4.2300000000000004</v>
      </c>
      <c r="F23" s="411">
        <v>4.2300000000000004</v>
      </c>
      <c r="G23" s="411">
        <v>4.22</v>
      </c>
      <c r="H23" s="411">
        <v>4.22</v>
      </c>
      <c r="I23" s="411">
        <v>4.21</v>
      </c>
      <c r="J23" s="411">
        <v>4.2</v>
      </c>
      <c r="K23" s="411">
        <v>4.2</v>
      </c>
      <c r="L23" s="411">
        <v>4.1900000000000004</v>
      </c>
      <c r="M23" s="411">
        <v>4.21</v>
      </c>
      <c r="N23" s="411">
        <v>4.21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1:27" ht="12" customHeight="1">
      <c r="A24" s="73" t="s">
        <v>39</v>
      </c>
      <c r="B24" s="728">
        <v>4.53</v>
      </c>
      <c r="C24" s="411">
        <v>4.55</v>
      </c>
      <c r="D24" s="411">
        <v>4.51</v>
      </c>
      <c r="E24" s="411">
        <v>4.53</v>
      </c>
      <c r="F24" s="411">
        <v>4.5199999999999996</v>
      </c>
      <c r="G24" s="411">
        <v>4.53</v>
      </c>
      <c r="H24" s="411">
        <v>4.53</v>
      </c>
      <c r="I24" s="411">
        <v>4.54</v>
      </c>
      <c r="J24" s="411">
        <v>4.5199999999999996</v>
      </c>
      <c r="K24" s="411">
        <v>4.5199999999999996</v>
      </c>
      <c r="L24" s="411">
        <v>4.5199999999999996</v>
      </c>
      <c r="M24" s="411">
        <v>4.53</v>
      </c>
      <c r="N24" s="411">
        <v>4.54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1:27" ht="12" customHeight="1">
      <c r="A25" s="73" t="s">
        <v>40</v>
      </c>
      <c r="B25" s="728">
        <v>4.1100000000000003</v>
      </c>
      <c r="C25" s="411">
        <v>4.13</v>
      </c>
      <c r="D25" s="411">
        <v>4.12</v>
      </c>
      <c r="E25" s="415">
        <v>4.13</v>
      </c>
      <c r="F25" s="411">
        <v>4.12</v>
      </c>
      <c r="G25" s="411">
        <v>4.1100000000000003</v>
      </c>
      <c r="H25" s="411">
        <v>4.12</v>
      </c>
      <c r="I25" s="411">
        <v>4.1100000000000003</v>
      </c>
      <c r="J25" s="411">
        <v>4.0999999999999996</v>
      </c>
      <c r="K25" s="411">
        <v>4.0999999999999996</v>
      </c>
      <c r="L25" s="411">
        <v>4.0999999999999996</v>
      </c>
      <c r="M25" s="411">
        <v>4.1100000000000003</v>
      </c>
      <c r="N25" s="411">
        <v>4.1100000000000003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1:27" ht="12" customHeight="1">
      <c r="A26" s="73" t="s">
        <v>41</v>
      </c>
      <c r="B26" s="728">
        <v>3.54</v>
      </c>
      <c r="C26" s="411">
        <v>3.6</v>
      </c>
      <c r="D26" s="411">
        <v>3.4</v>
      </c>
      <c r="E26" s="411">
        <v>3.5</v>
      </c>
      <c r="F26" s="411">
        <v>3.58</v>
      </c>
      <c r="G26" s="411">
        <v>3.56</v>
      </c>
      <c r="H26" s="411">
        <v>3.57</v>
      </c>
      <c r="I26" s="411">
        <v>3.57</v>
      </c>
      <c r="J26" s="411">
        <v>3.56</v>
      </c>
      <c r="K26" s="411">
        <v>3.56</v>
      </c>
      <c r="L26" s="411">
        <v>3.54</v>
      </c>
      <c r="M26" s="411">
        <v>3.55</v>
      </c>
      <c r="N26" s="411">
        <v>3.56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1:27" ht="12" customHeight="1">
      <c r="A27" s="73" t="s">
        <v>100</v>
      </c>
      <c r="B27" s="728">
        <v>3.67</v>
      </c>
      <c r="C27" s="411">
        <v>3.54</v>
      </c>
      <c r="D27" s="411">
        <v>3.82</v>
      </c>
      <c r="E27" s="411">
        <v>3.68</v>
      </c>
      <c r="F27" s="411">
        <v>3.7</v>
      </c>
      <c r="G27" s="411">
        <v>3.69</v>
      </c>
      <c r="H27" s="411">
        <v>3.69</v>
      </c>
      <c r="I27" s="411">
        <v>3.68</v>
      </c>
      <c r="J27" s="411">
        <v>3.66</v>
      </c>
      <c r="K27" s="411">
        <v>3.64</v>
      </c>
      <c r="L27" s="411">
        <v>3.63</v>
      </c>
      <c r="M27" s="411">
        <v>3.64</v>
      </c>
      <c r="N27" s="411">
        <v>3.64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1:27" ht="12" customHeight="1">
      <c r="A28" s="73" t="s">
        <v>101</v>
      </c>
      <c r="B28" s="728">
        <v>3.49</v>
      </c>
      <c r="C28" s="411">
        <v>3.63</v>
      </c>
      <c r="D28" s="411">
        <v>3.23</v>
      </c>
      <c r="E28" s="411">
        <v>3.43</v>
      </c>
      <c r="F28" s="411">
        <v>3.52</v>
      </c>
      <c r="G28" s="411">
        <v>3.5</v>
      </c>
      <c r="H28" s="411">
        <v>3.51</v>
      </c>
      <c r="I28" s="411">
        <v>3.52</v>
      </c>
      <c r="J28" s="411">
        <v>3.5</v>
      </c>
      <c r="K28" s="411">
        <v>3.51</v>
      </c>
      <c r="L28" s="411">
        <v>3.5</v>
      </c>
      <c r="M28" s="411">
        <v>3.51</v>
      </c>
      <c r="N28" s="411">
        <v>3.52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 spans="1:27" ht="12" customHeight="1">
      <c r="A29" s="73" t="s">
        <v>44</v>
      </c>
      <c r="B29" s="728">
        <v>4.9400000000000004</v>
      </c>
      <c r="C29" s="411">
        <v>4.96</v>
      </c>
      <c r="D29" s="411">
        <v>4.95</v>
      </c>
      <c r="E29" s="411">
        <v>4.95</v>
      </c>
      <c r="F29" s="411">
        <v>4.95</v>
      </c>
      <c r="G29" s="411">
        <v>4.96</v>
      </c>
      <c r="H29" s="411">
        <v>4.95</v>
      </c>
      <c r="I29" s="411">
        <v>4.9400000000000004</v>
      </c>
      <c r="J29" s="411">
        <v>4.92</v>
      </c>
      <c r="K29" s="411">
        <v>4.92</v>
      </c>
      <c r="L29" s="411">
        <v>4.93</v>
      </c>
      <c r="M29" s="411">
        <v>4.93</v>
      </c>
      <c r="N29" s="411">
        <v>4.95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 spans="1:27" ht="12" customHeight="1">
      <c r="A30" s="73" t="s">
        <v>45</v>
      </c>
      <c r="B30" s="728">
        <v>0</v>
      </c>
      <c r="C30" s="411">
        <v>0</v>
      </c>
      <c r="D30" s="411">
        <v>0</v>
      </c>
      <c r="E30" s="411">
        <v>0</v>
      </c>
      <c r="F30" s="411">
        <v>0</v>
      </c>
      <c r="G30" s="411">
        <v>0</v>
      </c>
      <c r="H30" s="411">
        <v>0</v>
      </c>
      <c r="I30" s="411">
        <v>0</v>
      </c>
      <c r="J30" s="411">
        <v>0</v>
      </c>
      <c r="K30" s="411">
        <v>0</v>
      </c>
      <c r="L30" s="411">
        <v>0</v>
      </c>
      <c r="M30" s="411">
        <v>0</v>
      </c>
      <c r="N30" s="411">
        <v>0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 spans="1:27" ht="12" customHeight="1">
      <c r="A31" s="73" t="s">
        <v>46</v>
      </c>
      <c r="B31" s="728">
        <v>0</v>
      </c>
      <c r="C31" s="411">
        <v>0</v>
      </c>
      <c r="D31" s="411">
        <v>0</v>
      </c>
      <c r="E31" s="411">
        <v>0</v>
      </c>
      <c r="F31" s="411">
        <v>0</v>
      </c>
      <c r="G31" s="411">
        <v>0</v>
      </c>
      <c r="H31" s="411">
        <v>0</v>
      </c>
      <c r="I31" s="411">
        <v>0</v>
      </c>
      <c r="J31" s="411">
        <v>0</v>
      </c>
      <c r="K31" s="411">
        <v>0</v>
      </c>
      <c r="L31" s="411">
        <v>0</v>
      </c>
      <c r="M31" s="411">
        <v>0</v>
      </c>
      <c r="N31" s="411">
        <v>0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 spans="1:27" ht="12" customHeight="1">
      <c r="A32" s="73" t="s">
        <v>47</v>
      </c>
      <c r="B32" s="728">
        <v>4.84</v>
      </c>
      <c r="C32" s="411">
        <v>4.88</v>
      </c>
      <c r="D32" s="411">
        <v>4.8600000000000003</v>
      </c>
      <c r="E32" s="411">
        <v>4.87</v>
      </c>
      <c r="F32" s="411">
        <v>4.8600000000000003</v>
      </c>
      <c r="G32" s="411">
        <v>4.8499999999999996</v>
      </c>
      <c r="H32" s="411">
        <v>4.8499999999999996</v>
      </c>
      <c r="I32" s="411">
        <v>4.84</v>
      </c>
      <c r="J32" s="411">
        <v>4.82</v>
      </c>
      <c r="K32" s="411">
        <v>4.82</v>
      </c>
      <c r="L32" s="411">
        <v>4.82</v>
      </c>
      <c r="M32" s="411">
        <v>4.83</v>
      </c>
      <c r="N32" s="411">
        <v>4.83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 spans="1:27" ht="12" customHeight="1">
      <c r="A33" s="73" t="s">
        <v>48</v>
      </c>
      <c r="B33" s="728">
        <v>0</v>
      </c>
      <c r="C33" s="411">
        <v>0</v>
      </c>
      <c r="D33" s="411">
        <v>0</v>
      </c>
      <c r="E33" s="411">
        <v>0</v>
      </c>
      <c r="F33" s="411">
        <v>0</v>
      </c>
      <c r="G33" s="411">
        <v>0</v>
      </c>
      <c r="H33" s="411">
        <v>0</v>
      </c>
      <c r="I33" s="411">
        <v>0</v>
      </c>
      <c r="J33" s="411">
        <v>0</v>
      </c>
      <c r="K33" s="411">
        <v>0</v>
      </c>
      <c r="L33" s="411">
        <v>0</v>
      </c>
      <c r="M33" s="411">
        <v>0</v>
      </c>
      <c r="N33" s="411">
        <v>0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 spans="1:27" ht="12" customHeight="1" thickBot="1">
      <c r="A34" s="121" t="s">
        <v>49</v>
      </c>
      <c r="B34" s="729">
        <v>0</v>
      </c>
      <c r="C34" s="412">
        <v>0</v>
      </c>
      <c r="D34" s="412">
        <v>0</v>
      </c>
      <c r="E34" s="412">
        <v>0</v>
      </c>
      <c r="F34" s="412">
        <v>0</v>
      </c>
      <c r="G34" s="412">
        <v>0</v>
      </c>
      <c r="H34" s="412">
        <v>0</v>
      </c>
      <c r="I34" s="412">
        <v>0</v>
      </c>
      <c r="J34" s="412">
        <v>0</v>
      </c>
      <c r="K34" s="412">
        <v>0</v>
      </c>
      <c r="L34" s="412">
        <v>0</v>
      </c>
      <c r="M34" s="412">
        <v>0</v>
      </c>
      <c r="N34" s="412">
        <v>0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 spans="1:27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7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7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7" ht="13.25" customHeight="1">
      <c r="A38" s="865"/>
      <c r="B38" s="796"/>
      <c r="C38" s="796"/>
      <c r="D38" s="796"/>
    </row>
    <row r="39" spans="1:27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107">
    <tabColor theme="9" tint="0.59999389629810485"/>
  </sheetPr>
  <dimension ref="A1:AB39"/>
  <sheetViews>
    <sheetView showGridLines="0" zoomScaleNormal="100" workbookViewId="0">
      <selection activeCell="D25" sqref="D25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8" ht="17" customHeight="1">
      <c r="A1" s="418" t="s">
        <v>610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8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8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8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8" ht="15" customHeight="1">
      <c r="A5" s="723" t="s">
        <v>103</v>
      </c>
      <c r="B5" s="724">
        <v>4.84</v>
      </c>
      <c r="C5" s="724">
        <v>4.7699999999999996</v>
      </c>
      <c r="D5" s="724">
        <v>4.82</v>
      </c>
      <c r="E5" s="724">
        <v>4.84</v>
      </c>
      <c r="F5" s="724">
        <v>4.9000000000000004</v>
      </c>
      <c r="G5" s="724">
        <v>4.88</v>
      </c>
      <c r="H5" s="724">
        <v>4.88</v>
      </c>
      <c r="I5" s="724">
        <v>4.88</v>
      </c>
      <c r="J5" s="724">
        <v>4.8600000000000003</v>
      </c>
      <c r="K5" s="724">
        <v>4.84</v>
      </c>
      <c r="L5" s="724">
        <v>4.83</v>
      </c>
      <c r="M5" s="724">
        <v>4.8</v>
      </c>
      <c r="N5" s="724">
        <v>4.72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spans="1:28" ht="12" customHeight="1">
      <c r="A6" s="73" t="s">
        <v>21</v>
      </c>
      <c r="B6" s="728">
        <v>0</v>
      </c>
      <c r="C6" s="411">
        <v>0</v>
      </c>
      <c r="D6" s="411">
        <v>0</v>
      </c>
      <c r="E6" s="411">
        <v>0</v>
      </c>
      <c r="F6" s="411">
        <v>0</v>
      </c>
      <c r="G6" s="411">
        <v>0</v>
      </c>
      <c r="H6" s="411">
        <v>0</v>
      </c>
      <c r="I6" s="411">
        <v>0</v>
      </c>
      <c r="J6" s="411">
        <v>0</v>
      </c>
      <c r="K6" s="411">
        <v>0</v>
      </c>
      <c r="L6" s="411">
        <v>0</v>
      </c>
      <c r="M6" s="411">
        <v>0</v>
      </c>
      <c r="N6" s="411">
        <v>0</v>
      </c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</row>
    <row r="7" spans="1:28" ht="12" customHeight="1">
      <c r="A7" s="73" t="s">
        <v>22</v>
      </c>
      <c r="B7" s="728">
        <v>0</v>
      </c>
      <c r="C7" s="411">
        <v>0</v>
      </c>
      <c r="D7" s="411">
        <v>0</v>
      </c>
      <c r="E7" s="411">
        <v>0</v>
      </c>
      <c r="F7" s="411">
        <v>0</v>
      </c>
      <c r="G7" s="411">
        <v>0</v>
      </c>
      <c r="H7" s="411">
        <v>0</v>
      </c>
      <c r="I7" s="411">
        <v>0</v>
      </c>
      <c r="J7" s="411">
        <v>0</v>
      </c>
      <c r="K7" s="411">
        <v>0</v>
      </c>
      <c r="L7" s="411">
        <v>0</v>
      </c>
      <c r="M7" s="411">
        <v>0</v>
      </c>
      <c r="N7" s="411">
        <v>0</v>
      </c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 spans="1:28" ht="12" customHeight="1">
      <c r="A8" s="73" t="s">
        <v>23</v>
      </c>
      <c r="B8" s="728">
        <v>0</v>
      </c>
      <c r="C8" s="411">
        <v>0</v>
      </c>
      <c r="D8" s="411">
        <v>0</v>
      </c>
      <c r="E8" s="411">
        <v>0</v>
      </c>
      <c r="F8" s="411">
        <v>0</v>
      </c>
      <c r="G8" s="411">
        <v>0</v>
      </c>
      <c r="H8" s="411">
        <v>0</v>
      </c>
      <c r="I8" s="411">
        <v>0</v>
      </c>
      <c r="J8" s="411">
        <v>0</v>
      </c>
      <c r="K8" s="411">
        <v>0</v>
      </c>
      <c r="L8" s="411">
        <v>0</v>
      </c>
      <c r="M8" s="411">
        <v>0</v>
      </c>
      <c r="N8" s="411">
        <v>0</v>
      </c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</row>
    <row r="9" spans="1:28" ht="12" customHeight="1">
      <c r="A9" s="73" t="s">
        <v>24</v>
      </c>
      <c r="B9" s="728">
        <v>4.43</v>
      </c>
      <c r="C9" s="411">
        <v>4.47</v>
      </c>
      <c r="D9" s="411">
        <v>0</v>
      </c>
      <c r="E9" s="411">
        <v>0</v>
      </c>
      <c r="F9" s="411">
        <v>4.45</v>
      </c>
      <c r="G9" s="411">
        <v>4.4400000000000004</v>
      </c>
      <c r="H9" s="411">
        <v>4.43</v>
      </c>
      <c r="I9" s="411">
        <v>4.42</v>
      </c>
      <c r="J9" s="411">
        <v>4.42</v>
      </c>
      <c r="K9" s="411">
        <v>4.43</v>
      </c>
      <c r="L9" s="411">
        <v>4.42</v>
      </c>
      <c r="M9" s="411">
        <v>4.43</v>
      </c>
      <c r="N9" s="411">
        <v>4.4400000000000004</v>
      </c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</row>
    <row r="10" spans="1:28" ht="12" customHeight="1">
      <c r="A10" s="73" t="s">
        <v>25</v>
      </c>
      <c r="B10" s="728">
        <v>0</v>
      </c>
      <c r="C10" s="411">
        <v>0</v>
      </c>
      <c r="D10" s="411">
        <v>0</v>
      </c>
      <c r="E10" s="411">
        <v>0</v>
      </c>
      <c r="F10" s="411">
        <v>0</v>
      </c>
      <c r="G10" s="411">
        <v>0</v>
      </c>
      <c r="H10" s="411">
        <v>0</v>
      </c>
      <c r="I10" s="411">
        <v>0</v>
      </c>
      <c r="J10" s="411">
        <v>0</v>
      </c>
      <c r="K10" s="411">
        <v>0</v>
      </c>
      <c r="L10" s="411">
        <v>0</v>
      </c>
      <c r="M10" s="411">
        <v>0</v>
      </c>
      <c r="N10" s="411">
        <v>0</v>
      </c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spans="1:28" ht="12" customHeight="1">
      <c r="A11" s="73" t="s">
        <v>97</v>
      </c>
      <c r="B11" s="728">
        <v>0</v>
      </c>
      <c r="C11" s="411">
        <v>0</v>
      </c>
      <c r="D11" s="411">
        <v>0</v>
      </c>
      <c r="E11" s="411">
        <v>0</v>
      </c>
      <c r="F11" s="411">
        <v>0</v>
      </c>
      <c r="G11" s="411">
        <v>0</v>
      </c>
      <c r="H11" s="411">
        <v>0</v>
      </c>
      <c r="I11" s="411">
        <v>0</v>
      </c>
      <c r="J11" s="411">
        <v>0</v>
      </c>
      <c r="K11" s="411">
        <v>0</v>
      </c>
      <c r="L11" s="411">
        <v>0</v>
      </c>
      <c r="M11" s="411">
        <v>0</v>
      </c>
      <c r="N11" s="411">
        <v>0</v>
      </c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spans="1:28" ht="12" customHeight="1">
      <c r="A12" s="73" t="s">
        <v>98</v>
      </c>
      <c r="B12" s="728">
        <v>0</v>
      </c>
      <c r="C12" s="411">
        <v>0</v>
      </c>
      <c r="D12" s="411">
        <v>0</v>
      </c>
      <c r="E12" s="411">
        <v>0</v>
      </c>
      <c r="F12" s="411">
        <v>0</v>
      </c>
      <c r="G12" s="411">
        <v>0</v>
      </c>
      <c r="H12" s="411">
        <v>0</v>
      </c>
      <c r="I12" s="411">
        <v>0</v>
      </c>
      <c r="J12" s="411">
        <v>0</v>
      </c>
      <c r="K12" s="411">
        <v>0</v>
      </c>
      <c r="L12" s="411">
        <v>0</v>
      </c>
      <c r="M12" s="411">
        <v>0</v>
      </c>
      <c r="N12" s="411">
        <v>0</v>
      </c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spans="1:28" ht="12" customHeight="1">
      <c r="A13" s="73" t="s">
        <v>127</v>
      </c>
      <c r="B13" s="728">
        <v>0</v>
      </c>
      <c r="C13" s="411">
        <v>0</v>
      </c>
      <c r="D13" s="411">
        <v>0</v>
      </c>
      <c r="E13" s="411">
        <v>0</v>
      </c>
      <c r="F13" s="411">
        <v>0</v>
      </c>
      <c r="G13" s="411">
        <v>0</v>
      </c>
      <c r="H13" s="411">
        <v>0</v>
      </c>
      <c r="I13" s="411">
        <v>0</v>
      </c>
      <c r="J13" s="411">
        <v>0</v>
      </c>
      <c r="K13" s="411">
        <v>0</v>
      </c>
      <c r="L13" s="411">
        <v>0</v>
      </c>
      <c r="M13" s="411">
        <v>0</v>
      </c>
      <c r="N13" s="411">
        <v>0</v>
      </c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spans="1:28" ht="12" customHeight="1">
      <c r="A14" s="73" t="s">
        <v>29</v>
      </c>
      <c r="B14" s="728">
        <v>0</v>
      </c>
      <c r="C14" s="411">
        <v>0</v>
      </c>
      <c r="D14" s="411">
        <v>0</v>
      </c>
      <c r="E14" s="411">
        <v>0</v>
      </c>
      <c r="F14" s="411">
        <v>0</v>
      </c>
      <c r="G14" s="411">
        <v>0</v>
      </c>
      <c r="H14" s="411">
        <v>0</v>
      </c>
      <c r="I14" s="411">
        <v>0</v>
      </c>
      <c r="J14" s="411">
        <v>0</v>
      </c>
      <c r="K14" s="411">
        <v>0</v>
      </c>
      <c r="L14" s="411">
        <v>0</v>
      </c>
      <c r="M14" s="411">
        <v>0</v>
      </c>
      <c r="N14" s="411">
        <v>0</v>
      </c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spans="1:28" ht="12" customHeight="1">
      <c r="A15" s="73" t="s">
        <v>30</v>
      </c>
      <c r="B15" s="728">
        <v>4.01</v>
      </c>
      <c r="C15" s="411">
        <v>4</v>
      </c>
      <c r="D15" s="411">
        <v>4</v>
      </c>
      <c r="E15" s="411">
        <v>4.0199999999999996</v>
      </c>
      <c r="F15" s="411">
        <v>4.01</v>
      </c>
      <c r="G15" s="411">
        <v>4.0199999999999996</v>
      </c>
      <c r="H15" s="411">
        <v>4.01</v>
      </c>
      <c r="I15" s="411">
        <v>4.01</v>
      </c>
      <c r="J15" s="411">
        <v>4</v>
      </c>
      <c r="K15" s="411">
        <v>4.0199999999999996</v>
      </c>
      <c r="L15" s="411">
        <v>4.01</v>
      </c>
      <c r="M15" s="411">
        <v>4.0199999999999996</v>
      </c>
      <c r="N15" s="411">
        <v>4.0199999999999996</v>
      </c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spans="1:28" ht="12" customHeight="1">
      <c r="A16" s="73" t="s">
        <v>31</v>
      </c>
      <c r="B16" s="728">
        <v>4.13</v>
      </c>
      <c r="C16" s="411">
        <v>4.12</v>
      </c>
      <c r="D16" s="411">
        <v>4.13</v>
      </c>
      <c r="E16" s="411">
        <v>4.1399999999999997</v>
      </c>
      <c r="F16" s="411">
        <v>4.1399999999999997</v>
      </c>
      <c r="G16" s="411">
        <v>4.13</v>
      </c>
      <c r="H16" s="411">
        <v>4.13</v>
      </c>
      <c r="I16" s="411">
        <v>4.1399999999999997</v>
      </c>
      <c r="J16" s="411">
        <v>4.12</v>
      </c>
      <c r="K16" s="411">
        <v>4.13</v>
      </c>
      <c r="L16" s="411">
        <v>4.13</v>
      </c>
      <c r="M16" s="411">
        <v>4.13</v>
      </c>
      <c r="N16" s="411">
        <v>4.1399999999999997</v>
      </c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 spans="1:28" ht="12" customHeight="1">
      <c r="A17" s="73" t="s">
        <v>32</v>
      </c>
      <c r="B17" s="728">
        <v>0</v>
      </c>
      <c r="C17" s="411">
        <v>0</v>
      </c>
      <c r="D17" s="411">
        <v>0</v>
      </c>
      <c r="E17" s="411">
        <v>0</v>
      </c>
      <c r="F17" s="411">
        <v>0</v>
      </c>
      <c r="G17" s="411">
        <v>0</v>
      </c>
      <c r="H17" s="411">
        <v>0</v>
      </c>
      <c r="I17" s="411">
        <v>0</v>
      </c>
      <c r="J17" s="411">
        <v>0</v>
      </c>
      <c r="K17" s="411">
        <v>0</v>
      </c>
      <c r="L17" s="411">
        <v>0</v>
      </c>
      <c r="M17" s="411">
        <v>0</v>
      </c>
      <c r="N17" s="411">
        <v>0</v>
      </c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</row>
    <row r="18" spans="1:28" ht="12" customHeight="1">
      <c r="A18" s="73" t="s">
        <v>33</v>
      </c>
      <c r="B18" s="728">
        <v>4.43</v>
      </c>
      <c r="C18" s="411">
        <v>4.46</v>
      </c>
      <c r="D18" s="411">
        <v>4.45</v>
      </c>
      <c r="E18" s="411">
        <v>4.4400000000000004</v>
      </c>
      <c r="F18" s="411">
        <v>4.45</v>
      </c>
      <c r="G18" s="411">
        <v>4.4400000000000004</v>
      </c>
      <c r="H18" s="411">
        <v>4.4400000000000004</v>
      </c>
      <c r="I18" s="411">
        <v>4.43</v>
      </c>
      <c r="J18" s="411">
        <v>4.41</v>
      </c>
      <c r="K18" s="411">
        <v>4.4000000000000004</v>
      </c>
      <c r="L18" s="411">
        <v>4.4000000000000004</v>
      </c>
      <c r="M18" s="411">
        <v>4.41</v>
      </c>
      <c r="N18" s="411">
        <v>4.4000000000000004</v>
      </c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1:28" ht="12" customHeight="1">
      <c r="A19" s="73" t="s">
        <v>34</v>
      </c>
      <c r="B19" s="728">
        <v>4.3600000000000003</v>
      </c>
      <c r="C19" s="411">
        <v>4.3899999999999997</v>
      </c>
      <c r="D19" s="411">
        <v>4.38</v>
      </c>
      <c r="E19" s="411">
        <v>4.37</v>
      </c>
      <c r="F19" s="411">
        <v>4.38</v>
      </c>
      <c r="G19" s="411">
        <v>4.38</v>
      </c>
      <c r="H19" s="411">
        <v>4.37</v>
      </c>
      <c r="I19" s="411">
        <v>4.3600000000000003</v>
      </c>
      <c r="J19" s="411">
        <v>4.34</v>
      </c>
      <c r="K19" s="411">
        <v>4.3499999999999996</v>
      </c>
      <c r="L19" s="411">
        <v>4.3499999999999996</v>
      </c>
      <c r="M19" s="411">
        <v>4.34</v>
      </c>
      <c r="N19" s="411">
        <v>4.33</v>
      </c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1:28" ht="12" customHeight="1">
      <c r="A20" s="73" t="s">
        <v>35</v>
      </c>
      <c r="B20" s="728">
        <v>4.6500000000000004</v>
      </c>
      <c r="C20" s="411">
        <v>4.7</v>
      </c>
      <c r="D20" s="411">
        <v>4.68</v>
      </c>
      <c r="E20" s="411">
        <v>4.67</v>
      </c>
      <c r="F20" s="411">
        <v>4.67</v>
      </c>
      <c r="G20" s="411">
        <v>4.66</v>
      </c>
      <c r="H20" s="411">
        <v>4.6500000000000004</v>
      </c>
      <c r="I20" s="411">
        <v>4.6500000000000004</v>
      </c>
      <c r="J20" s="411">
        <v>4.6399999999999997</v>
      </c>
      <c r="K20" s="411">
        <v>4.6399999999999997</v>
      </c>
      <c r="L20" s="411">
        <v>4.6399999999999997</v>
      </c>
      <c r="M20" s="411">
        <v>4.63</v>
      </c>
      <c r="N20" s="411">
        <v>4.63</v>
      </c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</row>
    <row r="21" spans="1:28" ht="12" customHeight="1">
      <c r="A21" s="73" t="s">
        <v>36</v>
      </c>
      <c r="B21" s="728">
        <v>4.3099999999999996</v>
      </c>
      <c r="C21" s="411">
        <v>4.37</v>
      </c>
      <c r="D21" s="411">
        <v>4.3499999999999996</v>
      </c>
      <c r="E21" s="411">
        <v>4.34</v>
      </c>
      <c r="F21" s="411">
        <v>4.34</v>
      </c>
      <c r="G21" s="411">
        <v>4.33</v>
      </c>
      <c r="H21" s="411">
        <v>4.32</v>
      </c>
      <c r="I21" s="411">
        <v>4.3099999999999996</v>
      </c>
      <c r="J21" s="411">
        <v>4.29</v>
      </c>
      <c r="K21" s="411">
        <v>4.29</v>
      </c>
      <c r="L21" s="411">
        <v>4.28</v>
      </c>
      <c r="M21" s="411">
        <v>4.2699999999999996</v>
      </c>
      <c r="N21" s="411">
        <v>4.2699999999999996</v>
      </c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1:28" ht="12" customHeight="1">
      <c r="A22" s="73" t="s">
        <v>37</v>
      </c>
      <c r="B22" s="728">
        <v>4.67</v>
      </c>
      <c r="C22" s="411">
        <v>4.7</v>
      </c>
      <c r="D22" s="411">
        <v>4.68</v>
      </c>
      <c r="E22" s="411">
        <v>4.6900000000000004</v>
      </c>
      <c r="F22" s="411">
        <v>4.6900000000000004</v>
      </c>
      <c r="G22" s="411">
        <v>4.68</v>
      </c>
      <c r="H22" s="411">
        <v>4.67</v>
      </c>
      <c r="I22" s="411">
        <v>4.66</v>
      </c>
      <c r="J22" s="411">
        <v>4.6500000000000004</v>
      </c>
      <c r="K22" s="411">
        <v>4.66</v>
      </c>
      <c r="L22" s="411">
        <v>4.66</v>
      </c>
      <c r="M22" s="411">
        <v>4.6500000000000004</v>
      </c>
      <c r="N22" s="411">
        <v>4.66</v>
      </c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1:28" ht="12" customHeight="1">
      <c r="A23" s="73" t="s">
        <v>38</v>
      </c>
      <c r="B23" s="728">
        <v>4.4000000000000004</v>
      </c>
      <c r="C23" s="411">
        <v>4.42</v>
      </c>
      <c r="D23" s="411">
        <v>4.43</v>
      </c>
      <c r="E23" s="411">
        <v>4.42</v>
      </c>
      <c r="F23" s="411">
        <v>4.42</v>
      </c>
      <c r="G23" s="411">
        <v>4.42</v>
      </c>
      <c r="H23" s="411">
        <v>4.41</v>
      </c>
      <c r="I23" s="411">
        <v>4.4000000000000004</v>
      </c>
      <c r="J23" s="411">
        <v>4.4000000000000004</v>
      </c>
      <c r="K23" s="411">
        <v>4.3899999999999997</v>
      </c>
      <c r="L23" s="411">
        <v>4.38</v>
      </c>
      <c r="M23" s="411">
        <v>4.37</v>
      </c>
      <c r="N23" s="411">
        <v>4.3600000000000003</v>
      </c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1:28" ht="12" customHeight="1">
      <c r="A24" s="73" t="s">
        <v>39</v>
      </c>
      <c r="B24" s="728">
        <v>4.87</v>
      </c>
      <c r="C24" s="411">
        <v>4.8899999999999997</v>
      </c>
      <c r="D24" s="411">
        <v>4.9000000000000004</v>
      </c>
      <c r="E24" s="411">
        <v>4.88</v>
      </c>
      <c r="F24" s="411">
        <v>4.8899999999999997</v>
      </c>
      <c r="G24" s="411">
        <v>4.88</v>
      </c>
      <c r="H24" s="411">
        <v>4.87</v>
      </c>
      <c r="I24" s="411">
        <v>4.88</v>
      </c>
      <c r="J24" s="411">
        <v>4.8600000000000003</v>
      </c>
      <c r="K24" s="411">
        <v>4.8499999999999996</v>
      </c>
      <c r="L24" s="411">
        <v>4.8499999999999996</v>
      </c>
      <c r="M24" s="411">
        <v>4.8600000000000003</v>
      </c>
      <c r="N24" s="411">
        <v>4.87</v>
      </c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1:28" ht="12" customHeight="1">
      <c r="A25" s="73" t="s">
        <v>40</v>
      </c>
      <c r="B25" s="728">
        <v>4.08</v>
      </c>
      <c r="C25" s="411">
        <v>4.12</v>
      </c>
      <c r="D25" s="411">
        <v>4.0999999999999996</v>
      </c>
      <c r="E25" s="411">
        <v>4.09</v>
      </c>
      <c r="F25" s="411">
        <v>4.0999999999999996</v>
      </c>
      <c r="G25" s="411">
        <v>4.0999999999999996</v>
      </c>
      <c r="H25" s="411">
        <v>4.08</v>
      </c>
      <c r="I25" s="411">
        <v>4.07</v>
      </c>
      <c r="J25" s="411">
        <v>4.05</v>
      </c>
      <c r="K25" s="411">
        <v>4.04</v>
      </c>
      <c r="L25" s="411">
        <v>4.04</v>
      </c>
      <c r="M25" s="411">
        <v>4.05</v>
      </c>
      <c r="N25" s="411">
        <v>4.05</v>
      </c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1:28" ht="12" customHeight="1">
      <c r="A26" s="73" t="s">
        <v>41</v>
      </c>
      <c r="B26" s="728">
        <v>3.71</v>
      </c>
      <c r="C26" s="411">
        <v>3.73</v>
      </c>
      <c r="D26" s="411">
        <v>3.73</v>
      </c>
      <c r="E26" s="411">
        <v>3.72</v>
      </c>
      <c r="F26" s="411">
        <v>3.72</v>
      </c>
      <c r="G26" s="411">
        <v>3.73</v>
      </c>
      <c r="H26" s="411">
        <v>3.72</v>
      </c>
      <c r="I26" s="411">
        <v>3.72</v>
      </c>
      <c r="J26" s="411">
        <v>3.7</v>
      </c>
      <c r="K26" s="411">
        <v>3.69</v>
      </c>
      <c r="L26" s="411">
        <v>3.69</v>
      </c>
      <c r="M26" s="411">
        <v>3.68</v>
      </c>
      <c r="N26" s="411">
        <v>3.67</v>
      </c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1:28" ht="12" customHeight="1">
      <c r="A27" s="73" t="s">
        <v>100</v>
      </c>
      <c r="B27" s="728">
        <v>3.71</v>
      </c>
      <c r="C27" s="411">
        <v>3.72</v>
      </c>
      <c r="D27" s="411">
        <v>3.73</v>
      </c>
      <c r="E27" s="411">
        <v>3.72</v>
      </c>
      <c r="F27" s="411">
        <v>3.72</v>
      </c>
      <c r="G27" s="411">
        <v>3.74</v>
      </c>
      <c r="H27" s="411">
        <v>3.72</v>
      </c>
      <c r="I27" s="411">
        <v>3.72</v>
      </c>
      <c r="J27" s="411">
        <v>3.7</v>
      </c>
      <c r="K27" s="411">
        <v>3.69</v>
      </c>
      <c r="L27" s="411">
        <v>3.69</v>
      </c>
      <c r="M27" s="411">
        <v>3.68</v>
      </c>
      <c r="N27" s="411">
        <v>3.67</v>
      </c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1:28" ht="12" customHeight="1">
      <c r="A28" s="73" t="s">
        <v>101</v>
      </c>
      <c r="B28" s="728">
        <v>3.71</v>
      </c>
      <c r="C28" s="411">
        <v>3.73</v>
      </c>
      <c r="D28" s="411">
        <v>3.72</v>
      </c>
      <c r="E28" s="411">
        <v>3.71</v>
      </c>
      <c r="F28" s="411">
        <v>3.72</v>
      </c>
      <c r="G28" s="411">
        <v>3.71</v>
      </c>
      <c r="H28" s="411">
        <v>3.71</v>
      </c>
      <c r="I28" s="411">
        <v>3.71</v>
      </c>
      <c r="J28" s="411">
        <v>3.7</v>
      </c>
      <c r="K28" s="411">
        <v>3.69</v>
      </c>
      <c r="L28" s="411">
        <v>3.68</v>
      </c>
      <c r="M28" s="411">
        <v>3.67</v>
      </c>
      <c r="N28" s="411">
        <v>3.67</v>
      </c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1:28" ht="12" customHeight="1">
      <c r="A29" s="73" t="s">
        <v>44</v>
      </c>
      <c r="B29" s="728">
        <v>4.75</v>
      </c>
      <c r="C29" s="411">
        <v>4.58</v>
      </c>
      <c r="D29" s="411">
        <v>4.58</v>
      </c>
      <c r="E29" s="411">
        <v>4.62</v>
      </c>
      <c r="F29" s="411">
        <v>4.6399999999999997</v>
      </c>
      <c r="G29" s="411">
        <v>4.6900000000000004</v>
      </c>
      <c r="H29" s="411">
        <v>4.7699999999999996</v>
      </c>
      <c r="I29" s="411">
        <v>4.7699999999999996</v>
      </c>
      <c r="J29" s="411">
        <v>4.8600000000000003</v>
      </c>
      <c r="K29" s="411">
        <v>4.8600000000000003</v>
      </c>
      <c r="L29" s="411">
        <v>4.8600000000000003</v>
      </c>
      <c r="M29" s="411">
        <v>4.8600000000000003</v>
      </c>
      <c r="N29" s="411">
        <v>4.8600000000000003</v>
      </c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1:28" ht="12" customHeight="1">
      <c r="A30" s="73" t="s">
        <v>45</v>
      </c>
      <c r="B30" s="728">
        <v>5.25</v>
      </c>
      <c r="C30" s="411">
        <v>5.25</v>
      </c>
      <c r="D30" s="411">
        <v>5.27</v>
      </c>
      <c r="E30" s="411">
        <v>5.26</v>
      </c>
      <c r="F30" s="411">
        <v>5.26</v>
      </c>
      <c r="G30" s="411">
        <v>5.25</v>
      </c>
      <c r="H30" s="411">
        <v>5.26</v>
      </c>
      <c r="I30" s="411">
        <v>5.25</v>
      </c>
      <c r="J30" s="411">
        <v>5.24</v>
      </c>
      <c r="K30" s="411">
        <v>5.24</v>
      </c>
      <c r="L30" s="411">
        <v>5.23</v>
      </c>
      <c r="M30" s="411">
        <v>5.22</v>
      </c>
      <c r="N30" s="411">
        <v>5.21</v>
      </c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1:28" ht="12" customHeight="1">
      <c r="A31" s="73" t="s">
        <v>46</v>
      </c>
      <c r="B31" s="728">
        <v>0</v>
      </c>
      <c r="C31" s="411">
        <v>0</v>
      </c>
      <c r="D31" s="411">
        <v>0</v>
      </c>
      <c r="E31" s="411">
        <v>0</v>
      </c>
      <c r="F31" s="411">
        <v>0</v>
      </c>
      <c r="G31" s="411">
        <v>0</v>
      </c>
      <c r="H31" s="411">
        <v>0</v>
      </c>
      <c r="I31" s="411">
        <v>0</v>
      </c>
      <c r="J31" s="411">
        <v>0</v>
      </c>
      <c r="K31" s="411">
        <v>0</v>
      </c>
      <c r="L31" s="411">
        <v>0</v>
      </c>
      <c r="M31" s="411">
        <v>0</v>
      </c>
      <c r="N31" s="411">
        <v>0</v>
      </c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1:28" ht="12" customHeight="1">
      <c r="A32" s="73" t="s">
        <v>47</v>
      </c>
      <c r="B32" s="728">
        <v>0</v>
      </c>
      <c r="C32" s="411">
        <v>0</v>
      </c>
      <c r="D32" s="411">
        <v>0</v>
      </c>
      <c r="E32" s="411">
        <v>0</v>
      </c>
      <c r="F32" s="411">
        <v>0</v>
      </c>
      <c r="G32" s="411">
        <v>0</v>
      </c>
      <c r="H32" s="411">
        <v>0</v>
      </c>
      <c r="I32" s="411">
        <v>0</v>
      </c>
      <c r="J32" s="411">
        <v>0</v>
      </c>
      <c r="K32" s="411">
        <v>0</v>
      </c>
      <c r="L32" s="411">
        <v>0</v>
      </c>
      <c r="M32" s="411">
        <v>0</v>
      </c>
      <c r="N32" s="411">
        <v>0</v>
      </c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1:28" ht="12" customHeight="1">
      <c r="A33" s="73" t="s">
        <v>48</v>
      </c>
      <c r="B33" s="728">
        <v>0</v>
      </c>
      <c r="C33" s="411">
        <v>0</v>
      </c>
      <c r="D33" s="411">
        <v>0</v>
      </c>
      <c r="E33" s="411">
        <v>0</v>
      </c>
      <c r="F33" s="411">
        <v>0</v>
      </c>
      <c r="G33" s="411">
        <v>0</v>
      </c>
      <c r="H33" s="411">
        <v>0</v>
      </c>
      <c r="I33" s="411">
        <v>0</v>
      </c>
      <c r="J33" s="411">
        <v>0</v>
      </c>
      <c r="K33" s="411">
        <v>0</v>
      </c>
      <c r="L33" s="411">
        <v>0</v>
      </c>
      <c r="M33" s="411">
        <v>0</v>
      </c>
      <c r="N33" s="411">
        <v>0</v>
      </c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1:28" ht="12" customHeight="1" thickBot="1">
      <c r="A34" s="121" t="s">
        <v>49</v>
      </c>
      <c r="B34" s="729">
        <v>0</v>
      </c>
      <c r="C34" s="412">
        <v>0</v>
      </c>
      <c r="D34" s="412">
        <v>0</v>
      </c>
      <c r="E34" s="412">
        <v>0</v>
      </c>
      <c r="F34" s="412">
        <v>0</v>
      </c>
      <c r="G34" s="412">
        <v>0</v>
      </c>
      <c r="H34" s="412">
        <v>0</v>
      </c>
      <c r="I34" s="412">
        <v>0</v>
      </c>
      <c r="J34" s="412">
        <v>0</v>
      </c>
      <c r="K34" s="412">
        <v>0</v>
      </c>
      <c r="L34" s="412">
        <v>0</v>
      </c>
      <c r="M34" s="412">
        <v>0</v>
      </c>
      <c r="N34" s="412">
        <v>0</v>
      </c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1:28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8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8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8" ht="13.25" customHeight="1">
      <c r="A38" s="865"/>
      <c r="B38" s="796"/>
      <c r="C38" s="796"/>
      <c r="D38" s="796"/>
    </row>
    <row r="39" spans="1:28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Hoja108">
    <tabColor theme="9" tint="0.59999389629810485"/>
  </sheetPr>
  <dimension ref="A1:AA39"/>
  <sheetViews>
    <sheetView showGridLines="0" zoomScaleNormal="100" workbookViewId="0">
      <selection activeCell="D27" sqref="D27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7" ht="17" customHeight="1">
      <c r="A1" s="418" t="s">
        <v>609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7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7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7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7" ht="15" customHeight="1">
      <c r="A5" s="723" t="s">
        <v>103</v>
      </c>
      <c r="B5" s="724">
        <v>3.86</v>
      </c>
      <c r="C5" s="724">
        <v>3.86</v>
      </c>
      <c r="D5" s="724">
        <v>3.9</v>
      </c>
      <c r="E5" s="724">
        <v>3.9</v>
      </c>
      <c r="F5" s="724">
        <v>3.94</v>
      </c>
      <c r="G5" s="724">
        <v>3.91</v>
      </c>
      <c r="H5" s="724">
        <v>3.9</v>
      </c>
      <c r="I5" s="724">
        <v>3.87</v>
      </c>
      <c r="J5" s="724">
        <v>3.84</v>
      </c>
      <c r="K5" s="724">
        <v>3.83</v>
      </c>
      <c r="L5" s="724">
        <v>3.81</v>
      </c>
      <c r="M5" s="724">
        <v>3.78</v>
      </c>
      <c r="N5" s="724">
        <v>3.78</v>
      </c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ht="12" customHeight="1">
      <c r="A6" s="73" t="s">
        <v>21</v>
      </c>
      <c r="B6" s="728">
        <v>0</v>
      </c>
      <c r="C6" s="411">
        <v>0</v>
      </c>
      <c r="D6" s="411">
        <v>0</v>
      </c>
      <c r="E6" s="411">
        <v>0</v>
      </c>
      <c r="F6" s="411">
        <v>0</v>
      </c>
      <c r="G6" s="411">
        <v>0</v>
      </c>
      <c r="H6" s="411">
        <v>0</v>
      </c>
      <c r="I6" s="411">
        <v>0</v>
      </c>
      <c r="J6" s="411">
        <v>0</v>
      </c>
      <c r="K6" s="411">
        <v>0</v>
      </c>
      <c r="L6" s="411">
        <v>0</v>
      </c>
      <c r="M6" s="411">
        <v>0</v>
      </c>
      <c r="N6" s="411">
        <v>0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 spans="1:27" ht="12" customHeight="1">
      <c r="A7" s="73" t="s">
        <v>22</v>
      </c>
      <c r="B7" s="728">
        <v>0</v>
      </c>
      <c r="C7" s="411">
        <v>0</v>
      </c>
      <c r="D7" s="411">
        <v>0</v>
      </c>
      <c r="E7" s="411">
        <v>0</v>
      </c>
      <c r="F7" s="411">
        <v>0</v>
      </c>
      <c r="G7" s="411">
        <v>0</v>
      </c>
      <c r="H7" s="411">
        <v>0</v>
      </c>
      <c r="I7" s="411">
        <v>0</v>
      </c>
      <c r="J7" s="411">
        <v>0</v>
      </c>
      <c r="K7" s="411">
        <v>0</v>
      </c>
      <c r="L7" s="411">
        <v>0</v>
      </c>
      <c r="M7" s="411">
        <v>0</v>
      </c>
      <c r="N7" s="411">
        <v>0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 spans="1:27" ht="12" customHeight="1">
      <c r="A8" s="73" t="s">
        <v>23</v>
      </c>
      <c r="B8" s="728">
        <v>0</v>
      </c>
      <c r="C8" s="411">
        <v>0</v>
      </c>
      <c r="D8" s="411">
        <v>0</v>
      </c>
      <c r="E8" s="411">
        <v>0</v>
      </c>
      <c r="F8" s="411">
        <v>0</v>
      </c>
      <c r="G8" s="411">
        <v>0</v>
      </c>
      <c r="H8" s="411">
        <v>0</v>
      </c>
      <c r="I8" s="411">
        <v>0</v>
      </c>
      <c r="J8" s="411">
        <v>0</v>
      </c>
      <c r="K8" s="411">
        <v>0</v>
      </c>
      <c r="L8" s="411">
        <v>0</v>
      </c>
      <c r="M8" s="411">
        <v>0</v>
      </c>
      <c r="N8" s="411">
        <v>0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 spans="1:27" ht="12" customHeight="1">
      <c r="A9" s="73" t="s">
        <v>24</v>
      </c>
      <c r="B9" s="728">
        <v>0</v>
      </c>
      <c r="C9" s="411">
        <v>0</v>
      </c>
      <c r="D9" s="411">
        <v>0</v>
      </c>
      <c r="E9" s="411">
        <v>0</v>
      </c>
      <c r="F9" s="411">
        <v>0</v>
      </c>
      <c r="G9" s="411">
        <v>0</v>
      </c>
      <c r="H9" s="411">
        <v>0</v>
      </c>
      <c r="I9" s="411">
        <v>0</v>
      </c>
      <c r="J9" s="411">
        <v>0</v>
      </c>
      <c r="K9" s="411">
        <v>0</v>
      </c>
      <c r="L9" s="411">
        <v>0</v>
      </c>
      <c r="M9" s="411">
        <v>0</v>
      </c>
      <c r="N9" s="411">
        <v>0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 spans="1:27" ht="12" customHeight="1">
      <c r="A10" s="73" t="s">
        <v>25</v>
      </c>
      <c r="B10" s="728">
        <v>0</v>
      </c>
      <c r="C10" s="411">
        <v>0</v>
      </c>
      <c r="D10" s="411">
        <v>0</v>
      </c>
      <c r="E10" s="411">
        <v>0</v>
      </c>
      <c r="F10" s="411">
        <v>0</v>
      </c>
      <c r="G10" s="411">
        <v>0</v>
      </c>
      <c r="H10" s="411">
        <v>0</v>
      </c>
      <c r="I10" s="411">
        <v>0</v>
      </c>
      <c r="J10" s="411">
        <v>0</v>
      </c>
      <c r="K10" s="411">
        <v>0</v>
      </c>
      <c r="L10" s="411">
        <v>0</v>
      </c>
      <c r="M10" s="411">
        <v>0</v>
      </c>
      <c r="N10" s="411">
        <v>0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 spans="1:27" ht="12" customHeight="1">
      <c r="A11" s="73" t="s">
        <v>97</v>
      </c>
      <c r="B11" s="728">
        <v>0</v>
      </c>
      <c r="C11" s="411">
        <v>0</v>
      </c>
      <c r="D11" s="411">
        <v>0</v>
      </c>
      <c r="E11" s="411">
        <v>0</v>
      </c>
      <c r="F11" s="411">
        <v>0</v>
      </c>
      <c r="G11" s="411">
        <v>0</v>
      </c>
      <c r="H11" s="411">
        <v>0</v>
      </c>
      <c r="I11" s="411">
        <v>0</v>
      </c>
      <c r="J11" s="411">
        <v>0</v>
      </c>
      <c r="K11" s="411">
        <v>0</v>
      </c>
      <c r="L11" s="411">
        <v>0</v>
      </c>
      <c r="M11" s="411">
        <v>0</v>
      </c>
      <c r="N11" s="411">
        <v>0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 spans="1:27" ht="12" customHeight="1">
      <c r="A12" s="73" t="s">
        <v>98</v>
      </c>
      <c r="B12" s="728">
        <v>0</v>
      </c>
      <c r="C12" s="411">
        <v>0</v>
      </c>
      <c r="D12" s="411">
        <v>0</v>
      </c>
      <c r="E12" s="411">
        <v>0</v>
      </c>
      <c r="F12" s="411">
        <v>0</v>
      </c>
      <c r="G12" s="411">
        <v>0</v>
      </c>
      <c r="H12" s="411">
        <v>0</v>
      </c>
      <c r="I12" s="411">
        <v>0</v>
      </c>
      <c r="J12" s="411">
        <v>0</v>
      </c>
      <c r="K12" s="411">
        <v>0</v>
      </c>
      <c r="L12" s="411">
        <v>0</v>
      </c>
      <c r="M12" s="411">
        <v>0</v>
      </c>
      <c r="N12" s="411">
        <v>0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 spans="1:27" ht="12" customHeight="1">
      <c r="A13" s="73" t="s">
        <v>127</v>
      </c>
      <c r="B13" s="728">
        <v>0</v>
      </c>
      <c r="C13" s="411">
        <v>0</v>
      </c>
      <c r="D13" s="411">
        <v>0</v>
      </c>
      <c r="E13" s="411">
        <v>0</v>
      </c>
      <c r="F13" s="411">
        <v>0</v>
      </c>
      <c r="G13" s="411">
        <v>0</v>
      </c>
      <c r="H13" s="411">
        <v>0</v>
      </c>
      <c r="I13" s="411">
        <v>0</v>
      </c>
      <c r="J13" s="411">
        <v>0</v>
      </c>
      <c r="K13" s="411">
        <v>0</v>
      </c>
      <c r="L13" s="411">
        <v>0</v>
      </c>
      <c r="M13" s="411">
        <v>0</v>
      </c>
      <c r="N13" s="411">
        <v>0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 spans="1:27" ht="12" customHeight="1">
      <c r="A14" s="73" t="s">
        <v>29</v>
      </c>
      <c r="B14" s="728">
        <v>0</v>
      </c>
      <c r="C14" s="411">
        <v>0</v>
      </c>
      <c r="D14" s="411">
        <v>0</v>
      </c>
      <c r="E14" s="411">
        <v>0</v>
      </c>
      <c r="F14" s="411">
        <v>0</v>
      </c>
      <c r="G14" s="411">
        <v>0</v>
      </c>
      <c r="H14" s="411">
        <v>0</v>
      </c>
      <c r="I14" s="411">
        <v>0</v>
      </c>
      <c r="J14" s="411">
        <v>0</v>
      </c>
      <c r="K14" s="411">
        <v>0</v>
      </c>
      <c r="L14" s="411">
        <v>0</v>
      </c>
      <c r="M14" s="411">
        <v>0</v>
      </c>
      <c r="N14" s="411">
        <v>0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 spans="1:27" ht="12" customHeight="1">
      <c r="A15" s="73" t="s">
        <v>30</v>
      </c>
      <c r="B15" s="728">
        <v>0</v>
      </c>
      <c r="C15" s="411">
        <v>0</v>
      </c>
      <c r="D15" s="411">
        <v>0</v>
      </c>
      <c r="E15" s="411">
        <v>0</v>
      </c>
      <c r="F15" s="411">
        <v>0</v>
      </c>
      <c r="G15" s="411">
        <v>0</v>
      </c>
      <c r="H15" s="411">
        <v>0</v>
      </c>
      <c r="I15" s="411">
        <v>0</v>
      </c>
      <c r="J15" s="411">
        <v>0</v>
      </c>
      <c r="K15" s="411">
        <v>0</v>
      </c>
      <c r="L15" s="411">
        <v>0</v>
      </c>
      <c r="M15" s="411">
        <v>0</v>
      </c>
      <c r="N15" s="411">
        <v>0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spans="1:27" ht="12" customHeight="1">
      <c r="A16" s="73" t="s">
        <v>31</v>
      </c>
      <c r="B16" s="728">
        <v>3.51</v>
      </c>
      <c r="C16" s="411">
        <v>3.56</v>
      </c>
      <c r="D16" s="411">
        <v>3.55</v>
      </c>
      <c r="E16" s="411">
        <v>3.56</v>
      </c>
      <c r="F16" s="411">
        <v>3.55</v>
      </c>
      <c r="G16" s="411">
        <v>3.57</v>
      </c>
      <c r="H16" s="411">
        <v>3.56</v>
      </c>
      <c r="I16" s="411">
        <v>3.56</v>
      </c>
      <c r="J16" s="411">
        <v>3.54</v>
      </c>
      <c r="K16" s="411">
        <v>3.54</v>
      </c>
      <c r="L16" s="411">
        <v>3.34</v>
      </c>
      <c r="M16" s="411">
        <v>3.35</v>
      </c>
      <c r="N16" s="411">
        <v>3.34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 spans="1:27" ht="12" customHeight="1">
      <c r="A17" s="73" t="s">
        <v>32</v>
      </c>
      <c r="B17" s="728">
        <v>0</v>
      </c>
      <c r="C17" s="411">
        <v>0</v>
      </c>
      <c r="D17" s="411">
        <v>0</v>
      </c>
      <c r="E17" s="411">
        <v>0</v>
      </c>
      <c r="F17" s="411">
        <v>0</v>
      </c>
      <c r="G17" s="411">
        <v>0</v>
      </c>
      <c r="H17" s="411">
        <v>0</v>
      </c>
      <c r="I17" s="411">
        <v>0</v>
      </c>
      <c r="J17" s="411">
        <v>0</v>
      </c>
      <c r="K17" s="411">
        <v>0</v>
      </c>
      <c r="L17" s="411">
        <v>0</v>
      </c>
      <c r="M17" s="411">
        <v>0</v>
      </c>
      <c r="N17" s="411">
        <v>0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spans="1:27" ht="12" customHeight="1">
      <c r="A18" s="73" t="s">
        <v>33</v>
      </c>
      <c r="B18" s="728">
        <v>0</v>
      </c>
      <c r="C18" s="411">
        <v>0</v>
      </c>
      <c r="D18" s="411">
        <v>0</v>
      </c>
      <c r="E18" s="411">
        <v>0</v>
      </c>
      <c r="F18" s="411">
        <v>0</v>
      </c>
      <c r="G18" s="411">
        <v>0</v>
      </c>
      <c r="H18" s="411">
        <v>0</v>
      </c>
      <c r="I18" s="411">
        <v>0</v>
      </c>
      <c r="J18" s="411">
        <v>0</v>
      </c>
      <c r="K18" s="411">
        <v>0</v>
      </c>
      <c r="L18" s="411">
        <v>0</v>
      </c>
      <c r="M18" s="411">
        <v>0</v>
      </c>
      <c r="N18" s="411">
        <v>0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 spans="1:27" ht="12" customHeight="1">
      <c r="A19" s="73" t="s">
        <v>34</v>
      </c>
      <c r="B19" s="728">
        <v>3.52</v>
      </c>
      <c r="C19" s="411">
        <v>3.56</v>
      </c>
      <c r="D19" s="411">
        <v>3.57</v>
      </c>
      <c r="E19" s="411">
        <v>3.56</v>
      </c>
      <c r="F19" s="411">
        <v>3.55</v>
      </c>
      <c r="G19" s="411">
        <v>3.54</v>
      </c>
      <c r="H19" s="411">
        <v>3.53</v>
      </c>
      <c r="I19" s="411">
        <v>3.52</v>
      </c>
      <c r="J19" s="411">
        <v>3.5</v>
      </c>
      <c r="K19" s="411">
        <v>3.49</v>
      </c>
      <c r="L19" s="411">
        <v>3.49</v>
      </c>
      <c r="M19" s="411">
        <v>3.48</v>
      </c>
      <c r="N19" s="411">
        <v>3.48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spans="1:27" ht="12" customHeight="1">
      <c r="A20" s="73" t="s">
        <v>35</v>
      </c>
      <c r="B20" s="728">
        <v>3.58</v>
      </c>
      <c r="C20" s="411">
        <v>3.6</v>
      </c>
      <c r="D20" s="411">
        <v>3.62</v>
      </c>
      <c r="E20" s="411">
        <v>3.61</v>
      </c>
      <c r="F20" s="411">
        <v>3.6</v>
      </c>
      <c r="G20" s="411">
        <v>3.6</v>
      </c>
      <c r="H20" s="411">
        <v>3.58</v>
      </c>
      <c r="I20" s="411">
        <v>3.58</v>
      </c>
      <c r="J20" s="411">
        <v>3.56</v>
      </c>
      <c r="K20" s="411">
        <v>3.55</v>
      </c>
      <c r="L20" s="411">
        <v>3.55</v>
      </c>
      <c r="M20" s="411">
        <v>3.54</v>
      </c>
      <c r="N20" s="411">
        <v>3.54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 spans="1:27" ht="12" customHeight="1">
      <c r="A21" s="73" t="s">
        <v>36</v>
      </c>
      <c r="B21" s="728">
        <v>3.42</v>
      </c>
      <c r="C21" s="411">
        <v>3.47</v>
      </c>
      <c r="D21" s="411">
        <v>3.45</v>
      </c>
      <c r="E21" s="411">
        <v>3.46</v>
      </c>
      <c r="F21" s="411">
        <v>3.45</v>
      </c>
      <c r="G21" s="411">
        <v>3.43</v>
      </c>
      <c r="H21" s="411">
        <v>3.43</v>
      </c>
      <c r="I21" s="411">
        <v>3.42</v>
      </c>
      <c r="J21" s="411">
        <v>3.4</v>
      </c>
      <c r="K21" s="411">
        <v>3.4</v>
      </c>
      <c r="L21" s="411">
        <v>3.4</v>
      </c>
      <c r="M21" s="411">
        <v>3.39</v>
      </c>
      <c r="N21" s="411">
        <v>3.39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 spans="1:27" ht="12" customHeight="1">
      <c r="A22" s="73" t="s">
        <v>37</v>
      </c>
      <c r="B22" s="728">
        <v>3.59</v>
      </c>
      <c r="C22" s="411">
        <v>3.65</v>
      </c>
      <c r="D22" s="411">
        <v>3.66</v>
      </c>
      <c r="E22" s="411">
        <v>3.65</v>
      </c>
      <c r="F22" s="411">
        <v>3.64</v>
      </c>
      <c r="G22" s="411">
        <v>3.62</v>
      </c>
      <c r="H22" s="411">
        <v>3.6</v>
      </c>
      <c r="I22" s="411">
        <v>3.58</v>
      </c>
      <c r="J22" s="411">
        <v>3.55</v>
      </c>
      <c r="K22" s="411">
        <v>3.54</v>
      </c>
      <c r="L22" s="411">
        <v>3.54</v>
      </c>
      <c r="M22" s="411">
        <v>3.52</v>
      </c>
      <c r="N22" s="411">
        <v>3.51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1:27" ht="12" customHeight="1">
      <c r="A23" s="73" t="s">
        <v>38</v>
      </c>
      <c r="B23" s="728">
        <v>3.46</v>
      </c>
      <c r="C23" s="411">
        <v>3.47</v>
      </c>
      <c r="D23" s="411">
        <v>3.48</v>
      </c>
      <c r="E23" s="411">
        <v>3.47</v>
      </c>
      <c r="F23" s="411">
        <v>3.46</v>
      </c>
      <c r="G23" s="411">
        <v>3.45</v>
      </c>
      <c r="H23" s="411">
        <v>3.44</v>
      </c>
      <c r="I23" s="411">
        <v>3.45</v>
      </c>
      <c r="J23" s="411">
        <v>3.44</v>
      </c>
      <c r="K23" s="411">
        <v>3.45</v>
      </c>
      <c r="L23" s="411">
        <v>3.46</v>
      </c>
      <c r="M23" s="411">
        <v>3.45</v>
      </c>
      <c r="N23" s="411">
        <v>3.45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1:27" ht="12" customHeight="1">
      <c r="A24" s="73" t="s">
        <v>39</v>
      </c>
      <c r="B24" s="728">
        <v>3.78</v>
      </c>
      <c r="C24" s="411">
        <v>3.87</v>
      </c>
      <c r="D24" s="411">
        <v>3.87</v>
      </c>
      <c r="E24" s="411">
        <v>3.87</v>
      </c>
      <c r="F24" s="411">
        <v>3.86</v>
      </c>
      <c r="G24" s="411">
        <v>3.85</v>
      </c>
      <c r="H24" s="411">
        <v>3.85</v>
      </c>
      <c r="I24" s="411">
        <v>3.74</v>
      </c>
      <c r="J24" s="411">
        <v>3.72</v>
      </c>
      <c r="K24" s="411">
        <v>3.71</v>
      </c>
      <c r="L24" s="411">
        <v>3.71</v>
      </c>
      <c r="M24" s="411">
        <v>3.7</v>
      </c>
      <c r="N24" s="411">
        <v>3.69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1:27" ht="12" customHeight="1">
      <c r="A25" s="73" t="s">
        <v>40</v>
      </c>
      <c r="B25" s="728">
        <v>3.74</v>
      </c>
      <c r="C25" s="411">
        <v>3.8</v>
      </c>
      <c r="D25" s="411">
        <v>3.79</v>
      </c>
      <c r="E25" s="411">
        <v>3.79</v>
      </c>
      <c r="F25" s="411">
        <v>3.78</v>
      </c>
      <c r="G25" s="411">
        <v>3.76</v>
      </c>
      <c r="H25" s="411">
        <v>3.75</v>
      </c>
      <c r="I25" s="411">
        <v>3.74</v>
      </c>
      <c r="J25" s="411">
        <v>3.71</v>
      </c>
      <c r="K25" s="411">
        <v>3.7</v>
      </c>
      <c r="L25" s="411">
        <v>3.7</v>
      </c>
      <c r="M25" s="411">
        <v>3.69</v>
      </c>
      <c r="N25" s="411">
        <v>3.69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1:27" ht="12" customHeight="1">
      <c r="A26" s="73" t="s">
        <v>41</v>
      </c>
      <c r="B26" s="728">
        <v>3.55</v>
      </c>
      <c r="C26" s="411">
        <v>3.58</v>
      </c>
      <c r="D26" s="411">
        <v>3.59</v>
      </c>
      <c r="E26" s="411">
        <v>3.58</v>
      </c>
      <c r="F26" s="411">
        <v>3.58</v>
      </c>
      <c r="G26" s="411">
        <v>3.56</v>
      </c>
      <c r="H26" s="411">
        <v>3.55</v>
      </c>
      <c r="I26" s="411">
        <v>3.54</v>
      </c>
      <c r="J26" s="411">
        <v>3.52</v>
      </c>
      <c r="K26" s="411">
        <v>3.53</v>
      </c>
      <c r="L26" s="411">
        <v>3.53</v>
      </c>
      <c r="M26" s="411">
        <v>3.52</v>
      </c>
      <c r="N26" s="411">
        <v>3.52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1:27" ht="12" customHeight="1">
      <c r="A27" s="73" t="s">
        <v>100</v>
      </c>
      <c r="B27" s="728">
        <v>3.55</v>
      </c>
      <c r="C27" s="411">
        <v>3.57</v>
      </c>
      <c r="D27" s="411">
        <v>3.58</v>
      </c>
      <c r="E27" s="411">
        <v>3.58</v>
      </c>
      <c r="F27" s="411">
        <v>3.57</v>
      </c>
      <c r="G27" s="411">
        <v>3.55</v>
      </c>
      <c r="H27" s="411">
        <v>3.55</v>
      </c>
      <c r="I27" s="411">
        <v>3.54</v>
      </c>
      <c r="J27" s="411">
        <v>3.52</v>
      </c>
      <c r="K27" s="411">
        <v>3.53</v>
      </c>
      <c r="L27" s="411">
        <v>3.53</v>
      </c>
      <c r="M27" s="411">
        <v>3.52</v>
      </c>
      <c r="N27" s="411">
        <v>3.52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1:27" ht="12" customHeight="1">
      <c r="A28" s="73" t="s">
        <v>101</v>
      </c>
      <c r="B28" s="728">
        <v>3.55</v>
      </c>
      <c r="C28" s="411">
        <v>3.58</v>
      </c>
      <c r="D28" s="411">
        <v>3.59</v>
      </c>
      <c r="E28" s="411">
        <v>3.58</v>
      </c>
      <c r="F28" s="411">
        <v>3.58</v>
      </c>
      <c r="G28" s="411">
        <v>3.57</v>
      </c>
      <c r="H28" s="411">
        <v>3.55</v>
      </c>
      <c r="I28" s="411">
        <v>3.55</v>
      </c>
      <c r="J28" s="411">
        <v>3.53</v>
      </c>
      <c r="K28" s="411">
        <v>3.52</v>
      </c>
      <c r="L28" s="411">
        <v>3.53</v>
      </c>
      <c r="M28" s="411">
        <v>3.52</v>
      </c>
      <c r="N28" s="411">
        <v>3.52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 spans="1:27" ht="12" customHeight="1">
      <c r="A29" s="73" t="s">
        <v>44</v>
      </c>
      <c r="B29" s="728">
        <v>3.91</v>
      </c>
      <c r="C29" s="411">
        <v>3.9</v>
      </c>
      <c r="D29" s="411">
        <v>3.91</v>
      </c>
      <c r="E29" s="411">
        <v>3.9</v>
      </c>
      <c r="F29" s="411">
        <v>3.9</v>
      </c>
      <c r="G29" s="411">
        <v>3.91</v>
      </c>
      <c r="H29" s="411">
        <v>3.91</v>
      </c>
      <c r="I29" s="411">
        <v>3.92</v>
      </c>
      <c r="J29" s="411">
        <v>3.9</v>
      </c>
      <c r="K29" s="411">
        <v>3.92</v>
      </c>
      <c r="L29" s="411">
        <v>3.92</v>
      </c>
      <c r="M29" s="411">
        <v>3.93</v>
      </c>
      <c r="N29" s="411">
        <v>3.94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 spans="1:27" ht="12" customHeight="1">
      <c r="A30" s="105" t="s">
        <v>129</v>
      </c>
      <c r="B30" s="728">
        <v>4.17</v>
      </c>
      <c r="C30" s="411">
        <v>4.18</v>
      </c>
      <c r="D30" s="411">
        <v>4.2</v>
      </c>
      <c r="E30" s="411">
        <v>4.1900000000000004</v>
      </c>
      <c r="F30" s="411">
        <v>4.1900000000000004</v>
      </c>
      <c r="G30" s="411">
        <v>4.18</v>
      </c>
      <c r="H30" s="411">
        <v>4.18</v>
      </c>
      <c r="I30" s="411">
        <v>4.17</v>
      </c>
      <c r="J30" s="411">
        <v>4.1500000000000004</v>
      </c>
      <c r="K30" s="411">
        <v>4.1500000000000004</v>
      </c>
      <c r="L30" s="411">
        <v>4.1500000000000004</v>
      </c>
      <c r="M30" s="411">
        <v>4.1399999999999997</v>
      </c>
      <c r="N30" s="411">
        <v>4.1399999999999997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 spans="1:27" ht="12" customHeight="1">
      <c r="A31" s="73" t="s">
        <v>46</v>
      </c>
      <c r="B31" s="728">
        <v>0</v>
      </c>
      <c r="C31" s="411">
        <v>0</v>
      </c>
      <c r="D31" s="411">
        <v>0</v>
      </c>
      <c r="E31" s="411">
        <v>0</v>
      </c>
      <c r="F31" s="411">
        <v>0</v>
      </c>
      <c r="G31" s="411">
        <v>0</v>
      </c>
      <c r="H31" s="411">
        <v>0</v>
      </c>
      <c r="I31" s="411">
        <v>0</v>
      </c>
      <c r="J31" s="411">
        <v>0</v>
      </c>
      <c r="K31" s="411">
        <v>0</v>
      </c>
      <c r="L31" s="411">
        <v>0</v>
      </c>
      <c r="M31" s="411">
        <v>0</v>
      </c>
      <c r="N31" s="411">
        <v>0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 spans="1:27" ht="12" customHeight="1">
      <c r="A32" s="73" t="s">
        <v>47</v>
      </c>
      <c r="B32" s="728">
        <v>0</v>
      </c>
      <c r="C32" s="411">
        <v>0</v>
      </c>
      <c r="D32" s="411">
        <v>0</v>
      </c>
      <c r="E32" s="411">
        <v>0</v>
      </c>
      <c r="F32" s="411">
        <v>0</v>
      </c>
      <c r="G32" s="411">
        <v>0</v>
      </c>
      <c r="H32" s="411">
        <v>0</v>
      </c>
      <c r="I32" s="411">
        <v>0</v>
      </c>
      <c r="J32" s="411">
        <v>0</v>
      </c>
      <c r="K32" s="411">
        <v>0</v>
      </c>
      <c r="L32" s="411">
        <v>0</v>
      </c>
      <c r="M32" s="411">
        <v>0</v>
      </c>
      <c r="N32" s="411">
        <v>0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 spans="1:27" ht="12" customHeight="1">
      <c r="A33" s="73" t="s">
        <v>48</v>
      </c>
      <c r="B33" s="728">
        <v>0</v>
      </c>
      <c r="C33" s="411">
        <v>0</v>
      </c>
      <c r="D33" s="411">
        <v>0</v>
      </c>
      <c r="E33" s="411">
        <v>0</v>
      </c>
      <c r="F33" s="411">
        <v>0</v>
      </c>
      <c r="G33" s="411">
        <v>0</v>
      </c>
      <c r="H33" s="411">
        <v>0</v>
      </c>
      <c r="I33" s="411">
        <v>0</v>
      </c>
      <c r="J33" s="411">
        <v>0</v>
      </c>
      <c r="K33" s="411">
        <v>0</v>
      </c>
      <c r="L33" s="411">
        <v>0</v>
      </c>
      <c r="M33" s="411">
        <v>0</v>
      </c>
      <c r="N33" s="411">
        <v>0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 spans="1:27" ht="12" customHeight="1" thickBot="1">
      <c r="A34" s="121" t="s">
        <v>49</v>
      </c>
      <c r="B34" s="729">
        <v>0</v>
      </c>
      <c r="C34" s="412">
        <v>0</v>
      </c>
      <c r="D34" s="412">
        <v>0</v>
      </c>
      <c r="E34" s="412">
        <v>0</v>
      </c>
      <c r="F34" s="412">
        <v>0</v>
      </c>
      <c r="G34" s="412">
        <v>0</v>
      </c>
      <c r="H34" s="412">
        <v>0</v>
      </c>
      <c r="I34" s="412">
        <v>0</v>
      </c>
      <c r="J34" s="412">
        <v>0</v>
      </c>
      <c r="K34" s="412">
        <v>0</v>
      </c>
      <c r="L34" s="412">
        <v>0</v>
      </c>
      <c r="M34" s="412">
        <v>0</v>
      </c>
      <c r="N34" s="412">
        <v>0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 spans="1:27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7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7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7" ht="13.25" customHeight="1">
      <c r="A38" s="865"/>
      <c r="B38" s="796"/>
      <c r="C38" s="796"/>
      <c r="D38" s="796"/>
    </row>
    <row r="39" spans="1:27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109">
    <tabColor theme="9" tint="0.59999389629810485"/>
  </sheetPr>
  <dimension ref="A1:AA39"/>
  <sheetViews>
    <sheetView showGridLines="0" zoomScaleNormal="100" workbookViewId="0">
      <selection activeCell="C28" sqref="C28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7" ht="17" customHeight="1">
      <c r="A1" s="418" t="s">
        <v>608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7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7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7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7" ht="15" customHeight="1">
      <c r="A5" s="723" t="s">
        <v>103</v>
      </c>
      <c r="B5" s="724">
        <v>4.62</v>
      </c>
      <c r="C5" s="724">
        <v>4.21</v>
      </c>
      <c r="D5" s="724">
        <v>4.2699999999999996</v>
      </c>
      <c r="E5" s="724">
        <v>4.33</v>
      </c>
      <c r="F5" s="724">
        <v>4.41</v>
      </c>
      <c r="G5" s="724">
        <v>4.42</v>
      </c>
      <c r="H5" s="724">
        <v>4.8499999999999996</v>
      </c>
      <c r="I5" s="724">
        <v>4.82</v>
      </c>
      <c r="J5" s="724">
        <v>4.8</v>
      </c>
      <c r="K5" s="724">
        <v>4.8099999999999996</v>
      </c>
      <c r="L5" s="724">
        <v>4.82</v>
      </c>
      <c r="M5" s="724">
        <v>4.83</v>
      </c>
      <c r="N5" s="724">
        <v>4.84</v>
      </c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ht="12" customHeight="1">
      <c r="A6" s="73" t="s">
        <v>21</v>
      </c>
      <c r="B6" s="728">
        <v>4.49</v>
      </c>
      <c r="C6" s="411">
        <v>3.94</v>
      </c>
      <c r="D6" s="411">
        <v>4.0999999999999996</v>
      </c>
      <c r="E6" s="411">
        <v>4.1500000000000004</v>
      </c>
      <c r="F6" s="411">
        <v>4.22</v>
      </c>
      <c r="G6" s="411">
        <v>4.24</v>
      </c>
      <c r="H6" s="411">
        <v>4.71</v>
      </c>
      <c r="I6" s="411">
        <v>4.7</v>
      </c>
      <c r="J6" s="411">
        <v>4.68</v>
      </c>
      <c r="K6" s="411">
        <v>4.68</v>
      </c>
      <c r="L6" s="411">
        <v>4.7</v>
      </c>
      <c r="M6" s="411">
        <v>4.71</v>
      </c>
      <c r="N6" s="411">
        <v>4.7300000000000004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 spans="1:27" ht="12" customHeight="1">
      <c r="A7" s="73" t="s">
        <v>22</v>
      </c>
      <c r="B7" s="728">
        <v>4.4800000000000004</v>
      </c>
      <c r="C7" s="411">
        <v>3.97</v>
      </c>
      <c r="D7" s="411">
        <v>4.1100000000000003</v>
      </c>
      <c r="E7" s="411">
        <v>4.16</v>
      </c>
      <c r="F7" s="411">
        <v>4.22</v>
      </c>
      <c r="G7" s="411">
        <v>4.25</v>
      </c>
      <c r="H7" s="411">
        <v>4.74</v>
      </c>
      <c r="I7" s="411">
        <v>4.72</v>
      </c>
      <c r="J7" s="411">
        <v>4.7</v>
      </c>
      <c r="K7" s="411">
        <v>4.71</v>
      </c>
      <c r="L7" s="411">
        <v>4.7300000000000004</v>
      </c>
      <c r="M7" s="411">
        <v>4.74</v>
      </c>
      <c r="N7" s="411">
        <v>4.75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 spans="1:27" ht="12" customHeight="1">
      <c r="A8" s="73" t="s">
        <v>23</v>
      </c>
      <c r="B8" s="728">
        <v>4.41</v>
      </c>
      <c r="C8" s="411">
        <v>3.92</v>
      </c>
      <c r="D8" s="411">
        <v>4.05</v>
      </c>
      <c r="E8" s="411">
        <v>4.1100000000000003</v>
      </c>
      <c r="F8" s="411">
        <v>4.17</v>
      </c>
      <c r="G8" s="411">
        <v>4.18</v>
      </c>
      <c r="H8" s="411">
        <v>4.67</v>
      </c>
      <c r="I8" s="411">
        <v>4.6500000000000004</v>
      </c>
      <c r="J8" s="411">
        <v>4.6100000000000003</v>
      </c>
      <c r="K8" s="411">
        <v>4.62</v>
      </c>
      <c r="L8" s="411">
        <v>4.6399999999999997</v>
      </c>
      <c r="M8" s="411">
        <v>4.66</v>
      </c>
      <c r="N8" s="411">
        <v>4.67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 spans="1:27" ht="12" customHeight="1">
      <c r="A9" s="73" t="s">
        <v>24</v>
      </c>
      <c r="B9" s="728">
        <v>4.62</v>
      </c>
      <c r="C9" s="411">
        <v>4.13</v>
      </c>
      <c r="D9" s="411">
        <v>4.2</v>
      </c>
      <c r="E9" s="411">
        <v>4.25</v>
      </c>
      <c r="F9" s="411">
        <v>4.32</v>
      </c>
      <c r="G9" s="411">
        <v>4.34</v>
      </c>
      <c r="H9" s="411">
        <v>4.84</v>
      </c>
      <c r="I9" s="411">
        <v>4.8600000000000003</v>
      </c>
      <c r="J9" s="411">
        <v>4.84</v>
      </c>
      <c r="K9" s="411">
        <v>4.8499999999999996</v>
      </c>
      <c r="L9" s="411">
        <v>4.8600000000000003</v>
      </c>
      <c r="M9" s="411">
        <v>4.87</v>
      </c>
      <c r="N9" s="411">
        <v>4.8899999999999997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 spans="1:27" ht="12" customHeight="1">
      <c r="A10" s="73" t="s">
        <v>25</v>
      </c>
      <c r="B10" s="728">
        <v>4.46</v>
      </c>
      <c r="C10" s="411">
        <v>4</v>
      </c>
      <c r="D10" s="411">
        <v>4.0999999999999996</v>
      </c>
      <c r="E10" s="411">
        <v>4.1500000000000004</v>
      </c>
      <c r="F10" s="411">
        <v>4.2</v>
      </c>
      <c r="G10" s="411">
        <v>4.2</v>
      </c>
      <c r="H10" s="411">
        <v>4.6900000000000004</v>
      </c>
      <c r="I10" s="411">
        <v>4.6900000000000004</v>
      </c>
      <c r="J10" s="411">
        <v>4.6900000000000004</v>
      </c>
      <c r="K10" s="411">
        <v>4.6900000000000004</v>
      </c>
      <c r="L10" s="411">
        <v>4.7</v>
      </c>
      <c r="M10" s="411">
        <v>4.71</v>
      </c>
      <c r="N10" s="411">
        <v>4.72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 spans="1:27" ht="12" customHeight="1">
      <c r="A11" s="73" t="s">
        <v>97</v>
      </c>
      <c r="B11" s="728">
        <v>4.46</v>
      </c>
      <c r="C11" s="411">
        <v>4.0199999999999996</v>
      </c>
      <c r="D11" s="411">
        <v>4.0999999999999996</v>
      </c>
      <c r="E11" s="411">
        <v>4.1399999999999997</v>
      </c>
      <c r="F11" s="411">
        <v>4.1900000000000004</v>
      </c>
      <c r="G11" s="411">
        <v>4.1900000000000004</v>
      </c>
      <c r="H11" s="411">
        <v>4.68</v>
      </c>
      <c r="I11" s="411">
        <v>4.68</v>
      </c>
      <c r="J11" s="411">
        <v>4.68</v>
      </c>
      <c r="K11" s="411">
        <v>4.68</v>
      </c>
      <c r="L11" s="411">
        <v>4.6900000000000004</v>
      </c>
      <c r="M11" s="411">
        <v>4.7</v>
      </c>
      <c r="N11" s="411">
        <v>4.7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 spans="1:27" ht="12" customHeight="1">
      <c r="A12" s="73" t="s">
        <v>98</v>
      </c>
      <c r="B12" s="728">
        <v>4.45</v>
      </c>
      <c r="C12" s="411">
        <v>3.96</v>
      </c>
      <c r="D12" s="411">
        <v>4.09</v>
      </c>
      <c r="E12" s="411">
        <v>4.1500000000000004</v>
      </c>
      <c r="F12" s="411">
        <v>4.2</v>
      </c>
      <c r="G12" s="411">
        <v>4.2</v>
      </c>
      <c r="H12" s="411">
        <v>4.67</v>
      </c>
      <c r="I12" s="411">
        <v>4.67</v>
      </c>
      <c r="J12" s="411">
        <v>4.67</v>
      </c>
      <c r="K12" s="411">
        <v>4.67</v>
      </c>
      <c r="L12" s="411">
        <v>4.67</v>
      </c>
      <c r="M12" s="411">
        <v>4.67</v>
      </c>
      <c r="N12" s="411">
        <v>4.68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 spans="1:27" ht="12" customHeight="1">
      <c r="A13" s="73" t="s">
        <v>127</v>
      </c>
      <c r="B13" s="728">
        <v>4.49</v>
      </c>
      <c r="C13" s="411">
        <v>3.99</v>
      </c>
      <c r="D13" s="411">
        <v>4.12</v>
      </c>
      <c r="E13" s="411">
        <v>4.17</v>
      </c>
      <c r="F13" s="411">
        <v>4.25</v>
      </c>
      <c r="G13" s="411">
        <v>4.26</v>
      </c>
      <c r="H13" s="411">
        <v>4.76</v>
      </c>
      <c r="I13" s="411">
        <v>4.7699999999999996</v>
      </c>
      <c r="J13" s="411">
        <v>4.75</v>
      </c>
      <c r="K13" s="411">
        <v>4.76</v>
      </c>
      <c r="L13" s="411">
        <v>4.78</v>
      </c>
      <c r="M13" s="411">
        <v>4.8</v>
      </c>
      <c r="N13" s="411">
        <v>4.82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 spans="1:27" ht="12" customHeight="1">
      <c r="A14" s="73" t="s">
        <v>29</v>
      </c>
      <c r="B14" s="728">
        <v>4.47</v>
      </c>
      <c r="C14" s="411">
        <v>4.12</v>
      </c>
      <c r="D14" s="411">
        <v>4.16</v>
      </c>
      <c r="E14" s="411">
        <v>4.22</v>
      </c>
      <c r="F14" s="411">
        <v>4.2699999999999996</v>
      </c>
      <c r="G14" s="411">
        <v>4.28</v>
      </c>
      <c r="H14" s="411">
        <v>4.76</v>
      </c>
      <c r="I14" s="411">
        <v>4.75</v>
      </c>
      <c r="J14" s="411">
        <v>4.75</v>
      </c>
      <c r="K14" s="411">
        <v>4.75</v>
      </c>
      <c r="L14" s="411">
        <v>4.7699999999999996</v>
      </c>
      <c r="M14" s="411">
        <v>4.7699999999999996</v>
      </c>
      <c r="N14" s="411">
        <v>4.78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 spans="1:27" ht="12" customHeight="1">
      <c r="A15" s="73" t="s">
        <v>30</v>
      </c>
      <c r="B15" s="728">
        <v>4.59</v>
      </c>
      <c r="C15" s="411">
        <v>4.21</v>
      </c>
      <c r="D15" s="411">
        <v>4.28</v>
      </c>
      <c r="E15" s="411">
        <v>4.32</v>
      </c>
      <c r="F15" s="411">
        <v>4.37</v>
      </c>
      <c r="G15" s="411">
        <v>4.38</v>
      </c>
      <c r="H15" s="411">
        <v>4.87</v>
      </c>
      <c r="I15" s="411">
        <v>4.78</v>
      </c>
      <c r="J15" s="411">
        <v>4.78</v>
      </c>
      <c r="K15" s="411">
        <v>4.76</v>
      </c>
      <c r="L15" s="411">
        <v>4.78</v>
      </c>
      <c r="M15" s="411">
        <v>4.78</v>
      </c>
      <c r="N15" s="411">
        <v>4.78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spans="1:27" ht="12" customHeight="1">
      <c r="A16" s="73" t="s">
        <v>31</v>
      </c>
      <c r="B16" s="728">
        <v>4.55</v>
      </c>
      <c r="C16" s="411">
        <v>4.2699999999999996</v>
      </c>
      <c r="D16" s="411">
        <v>4.34</v>
      </c>
      <c r="E16" s="411">
        <v>4.3899999999999997</v>
      </c>
      <c r="F16" s="411">
        <v>4.47</v>
      </c>
      <c r="G16" s="411">
        <v>4.49</v>
      </c>
      <c r="H16" s="411">
        <v>4.79</v>
      </c>
      <c r="I16" s="411">
        <v>4.67</v>
      </c>
      <c r="J16" s="411">
        <v>4.6399999999999997</v>
      </c>
      <c r="K16" s="411">
        <v>4.63</v>
      </c>
      <c r="L16" s="411">
        <v>4.6500000000000004</v>
      </c>
      <c r="M16" s="411">
        <v>4.66</v>
      </c>
      <c r="N16" s="411">
        <v>4.67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 spans="1:27" ht="12" customHeight="1">
      <c r="A17" s="73" t="s">
        <v>32</v>
      </c>
      <c r="B17" s="728">
        <v>4.63</v>
      </c>
      <c r="C17" s="411">
        <v>4.18</v>
      </c>
      <c r="D17" s="411">
        <v>4.2300000000000004</v>
      </c>
      <c r="E17" s="411">
        <v>4.28</v>
      </c>
      <c r="F17" s="411">
        <v>4.3600000000000003</v>
      </c>
      <c r="G17" s="411">
        <v>4.38</v>
      </c>
      <c r="H17" s="411">
        <v>4.87</v>
      </c>
      <c r="I17" s="411">
        <v>4.87</v>
      </c>
      <c r="J17" s="411">
        <v>4.8499999999999996</v>
      </c>
      <c r="K17" s="411">
        <v>4.8600000000000003</v>
      </c>
      <c r="L17" s="411">
        <v>4.88</v>
      </c>
      <c r="M17" s="411">
        <v>4.88</v>
      </c>
      <c r="N17" s="411">
        <v>4.9000000000000004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spans="1:27" ht="12" customHeight="1">
      <c r="A18" s="73" t="s">
        <v>33</v>
      </c>
      <c r="B18" s="728">
        <v>4.7699999999999996</v>
      </c>
      <c r="C18" s="411">
        <v>4.3499999999999996</v>
      </c>
      <c r="D18" s="411">
        <v>4.4000000000000004</v>
      </c>
      <c r="E18" s="411">
        <v>4.4400000000000004</v>
      </c>
      <c r="F18" s="411">
        <v>4.49</v>
      </c>
      <c r="G18" s="411">
        <v>4.5</v>
      </c>
      <c r="H18" s="411">
        <v>4.9800000000000004</v>
      </c>
      <c r="I18" s="411">
        <v>4.97</v>
      </c>
      <c r="J18" s="411">
        <v>4.97</v>
      </c>
      <c r="K18" s="411">
        <v>4.97</v>
      </c>
      <c r="L18" s="411">
        <v>4.99</v>
      </c>
      <c r="M18" s="411">
        <v>4.99</v>
      </c>
      <c r="N18" s="411">
        <v>4.99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 spans="1:27" ht="12" customHeight="1">
      <c r="A19" s="73" t="s">
        <v>34</v>
      </c>
      <c r="B19" s="728">
        <v>4.6500000000000004</v>
      </c>
      <c r="C19" s="411">
        <v>4.2300000000000004</v>
      </c>
      <c r="D19" s="411">
        <v>4.26</v>
      </c>
      <c r="E19" s="411">
        <v>4.3099999999999996</v>
      </c>
      <c r="F19" s="411">
        <v>4.3600000000000003</v>
      </c>
      <c r="G19" s="411">
        <v>4.37</v>
      </c>
      <c r="H19" s="411">
        <v>4.8600000000000003</v>
      </c>
      <c r="I19" s="411">
        <v>4.8499999999999996</v>
      </c>
      <c r="J19" s="411">
        <v>4.8499999999999996</v>
      </c>
      <c r="K19" s="411">
        <v>4.83</v>
      </c>
      <c r="L19" s="411">
        <v>4.8499999999999996</v>
      </c>
      <c r="M19" s="411">
        <v>4.8499999999999996</v>
      </c>
      <c r="N19" s="411">
        <v>4.8600000000000003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spans="1:27" ht="12" customHeight="1">
      <c r="A20" s="73" t="s">
        <v>35</v>
      </c>
      <c r="B20" s="728">
        <v>4.74</v>
      </c>
      <c r="C20" s="411">
        <v>4.32</v>
      </c>
      <c r="D20" s="411">
        <v>4.38</v>
      </c>
      <c r="E20" s="411">
        <v>4.43</v>
      </c>
      <c r="F20" s="411">
        <v>4.4800000000000004</v>
      </c>
      <c r="G20" s="411">
        <v>4.4800000000000004</v>
      </c>
      <c r="H20" s="411">
        <v>4.99</v>
      </c>
      <c r="I20" s="411">
        <v>4.99</v>
      </c>
      <c r="J20" s="411">
        <v>4.9800000000000004</v>
      </c>
      <c r="K20" s="411">
        <v>4.9800000000000004</v>
      </c>
      <c r="L20" s="411">
        <v>5</v>
      </c>
      <c r="M20" s="411">
        <v>5.0199999999999996</v>
      </c>
      <c r="N20" s="411">
        <v>5.03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 spans="1:27" ht="12" customHeight="1">
      <c r="A21" s="73" t="s">
        <v>36</v>
      </c>
      <c r="B21" s="728">
        <v>4.68</v>
      </c>
      <c r="C21" s="411">
        <v>4.28</v>
      </c>
      <c r="D21" s="411">
        <v>4.3</v>
      </c>
      <c r="E21" s="411">
        <v>4.3499999999999996</v>
      </c>
      <c r="F21" s="411">
        <v>4.4000000000000004</v>
      </c>
      <c r="G21" s="411">
        <v>4.42</v>
      </c>
      <c r="H21" s="411">
        <v>4.9000000000000004</v>
      </c>
      <c r="I21" s="411">
        <v>4.92</v>
      </c>
      <c r="J21" s="411">
        <v>4.92</v>
      </c>
      <c r="K21" s="411">
        <v>4.92</v>
      </c>
      <c r="L21" s="411">
        <v>4.9400000000000004</v>
      </c>
      <c r="M21" s="411">
        <v>4.9400000000000004</v>
      </c>
      <c r="N21" s="411">
        <v>4.95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 spans="1:27" ht="12" customHeight="1">
      <c r="A22" s="73" t="s">
        <v>37</v>
      </c>
      <c r="B22" s="728">
        <v>4.8</v>
      </c>
      <c r="C22" s="411">
        <v>4.3</v>
      </c>
      <c r="D22" s="411">
        <v>4.4000000000000004</v>
      </c>
      <c r="E22" s="411">
        <v>4.45</v>
      </c>
      <c r="F22" s="411">
        <v>4.53</v>
      </c>
      <c r="G22" s="411">
        <v>4.54</v>
      </c>
      <c r="H22" s="411">
        <v>5.04</v>
      </c>
      <c r="I22" s="411">
        <v>5.04</v>
      </c>
      <c r="J22" s="411">
        <v>5.0199999999999996</v>
      </c>
      <c r="K22" s="411">
        <v>5.03</v>
      </c>
      <c r="L22" s="411">
        <v>5.05</v>
      </c>
      <c r="M22" s="411">
        <v>5.07</v>
      </c>
      <c r="N22" s="411">
        <v>5.08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1:27" ht="12" customHeight="1">
      <c r="A23" s="73" t="s">
        <v>38</v>
      </c>
      <c r="B23" s="728">
        <v>4.71</v>
      </c>
      <c r="C23" s="411">
        <v>4.2</v>
      </c>
      <c r="D23" s="411">
        <v>4.34</v>
      </c>
      <c r="E23" s="411">
        <v>4.4000000000000004</v>
      </c>
      <c r="F23" s="411">
        <v>4.45</v>
      </c>
      <c r="G23" s="411">
        <v>4.46</v>
      </c>
      <c r="H23" s="411">
        <v>4.95</v>
      </c>
      <c r="I23" s="411">
        <v>4.9400000000000004</v>
      </c>
      <c r="J23" s="411">
        <v>4.9400000000000004</v>
      </c>
      <c r="K23" s="411">
        <v>4.9400000000000004</v>
      </c>
      <c r="L23" s="411">
        <v>4.96</v>
      </c>
      <c r="M23" s="411">
        <v>4.96</v>
      </c>
      <c r="N23" s="411">
        <v>4.97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1:27" ht="12" customHeight="1">
      <c r="A24" s="73" t="s">
        <v>39</v>
      </c>
      <c r="B24" s="728">
        <v>4.76</v>
      </c>
      <c r="C24" s="411">
        <v>4.1500000000000004</v>
      </c>
      <c r="D24" s="411">
        <v>4.3600000000000003</v>
      </c>
      <c r="E24" s="411">
        <v>4.42</v>
      </c>
      <c r="F24" s="411">
        <v>4.5</v>
      </c>
      <c r="G24" s="411">
        <v>4.5199999999999996</v>
      </c>
      <c r="H24" s="411">
        <v>5.0199999999999996</v>
      </c>
      <c r="I24" s="411">
        <v>5.0199999999999996</v>
      </c>
      <c r="J24" s="411">
        <v>5</v>
      </c>
      <c r="K24" s="411">
        <v>5.0199999999999996</v>
      </c>
      <c r="L24" s="411">
        <v>5.04</v>
      </c>
      <c r="M24" s="411">
        <v>5.0599999999999996</v>
      </c>
      <c r="N24" s="411">
        <v>5.07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1:27" ht="12" customHeight="1">
      <c r="A25" s="73" t="s">
        <v>40</v>
      </c>
      <c r="B25" s="728">
        <v>4.6100000000000003</v>
      </c>
      <c r="C25" s="411">
        <v>4.22</v>
      </c>
      <c r="D25" s="411">
        <v>4.24</v>
      </c>
      <c r="E25" s="411">
        <v>4.28</v>
      </c>
      <c r="F25" s="411">
        <v>4.33</v>
      </c>
      <c r="G25" s="411">
        <v>4.34</v>
      </c>
      <c r="H25" s="411">
        <v>4.83</v>
      </c>
      <c r="I25" s="411">
        <v>4.8099999999999996</v>
      </c>
      <c r="J25" s="411">
        <v>4.8099999999999996</v>
      </c>
      <c r="K25" s="411">
        <v>4.8099999999999996</v>
      </c>
      <c r="L25" s="411">
        <v>4.83</v>
      </c>
      <c r="M25" s="411">
        <v>4.8499999999999996</v>
      </c>
      <c r="N25" s="411">
        <v>4.8600000000000003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1:27" ht="12" customHeight="1">
      <c r="A26" s="73" t="s">
        <v>41</v>
      </c>
      <c r="B26" s="728">
        <v>4.5</v>
      </c>
      <c r="C26" s="411">
        <v>4.18</v>
      </c>
      <c r="D26" s="411">
        <v>4.2</v>
      </c>
      <c r="E26" s="411">
        <v>4.26</v>
      </c>
      <c r="F26" s="411">
        <v>4.3099999999999996</v>
      </c>
      <c r="G26" s="411">
        <v>4.3099999999999996</v>
      </c>
      <c r="H26" s="411">
        <v>4.71</v>
      </c>
      <c r="I26" s="411">
        <v>4.7</v>
      </c>
      <c r="J26" s="411">
        <v>4.7</v>
      </c>
      <c r="K26" s="411">
        <v>4.72</v>
      </c>
      <c r="L26" s="411">
        <v>4.7300000000000004</v>
      </c>
      <c r="M26" s="411">
        <v>4.7300000000000004</v>
      </c>
      <c r="N26" s="411">
        <v>4.75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1:27" ht="12" customHeight="1">
      <c r="A27" s="73" t="s">
        <v>100</v>
      </c>
      <c r="B27" s="728">
        <v>4.4800000000000004</v>
      </c>
      <c r="C27" s="411">
        <v>4.17</v>
      </c>
      <c r="D27" s="411">
        <v>4.2</v>
      </c>
      <c r="E27" s="411">
        <v>4.25</v>
      </c>
      <c r="F27" s="411">
        <v>4.3</v>
      </c>
      <c r="G27" s="411">
        <v>4.3</v>
      </c>
      <c r="H27" s="411">
        <v>4.7</v>
      </c>
      <c r="I27" s="411">
        <v>4.68</v>
      </c>
      <c r="J27" s="411">
        <v>4.68</v>
      </c>
      <c r="K27" s="411">
        <v>4.68</v>
      </c>
      <c r="L27" s="411">
        <v>4.7</v>
      </c>
      <c r="M27" s="411">
        <v>4.7</v>
      </c>
      <c r="N27" s="411">
        <v>4.72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1:27" ht="12" customHeight="1">
      <c r="A28" s="73" t="s">
        <v>101</v>
      </c>
      <c r="B28" s="728">
        <v>4.53</v>
      </c>
      <c r="C28" s="411">
        <v>4.1900000000000004</v>
      </c>
      <c r="D28" s="411">
        <v>4.21</v>
      </c>
      <c r="E28" s="411">
        <v>4.26</v>
      </c>
      <c r="F28" s="411">
        <v>4.3099999999999996</v>
      </c>
      <c r="G28" s="411">
        <v>4.32</v>
      </c>
      <c r="H28" s="411">
        <v>4.7300000000000004</v>
      </c>
      <c r="I28" s="411">
        <v>4.72</v>
      </c>
      <c r="J28" s="411">
        <v>4.72</v>
      </c>
      <c r="K28" s="411">
        <v>4.7300000000000004</v>
      </c>
      <c r="L28" s="411">
        <v>4.75</v>
      </c>
      <c r="M28" s="411">
        <v>4.76</v>
      </c>
      <c r="N28" s="411">
        <v>4.7699999999999996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 spans="1:27" ht="12" customHeight="1">
      <c r="A29" s="73" t="s">
        <v>44</v>
      </c>
      <c r="B29" s="728">
        <v>4.7</v>
      </c>
      <c r="C29" s="411">
        <v>4.26</v>
      </c>
      <c r="D29" s="411">
        <v>4.3</v>
      </c>
      <c r="E29" s="411">
        <v>4.3600000000000003</v>
      </c>
      <c r="F29" s="411">
        <v>4.41</v>
      </c>
      <c r="G29" s="411">
        <v>4.43</v>
      </c>
      <c r="H29" s="411">
        <v>4.92</v>
      </c>
      <c r="I29" s="411">
        <v>4.9400000000000004</v>
      </c>
      <c r="J29" s="411">
        <v>4.9400000000000004</v>
      </c>
      <c r="K29" s="411">
        <v>4.95</v>
      </c>
      <c r="L29" s="411">
        <v>4.97</v>
      </c>
      <c r="M29" s="411">
        <v>4.97</v>
      </c>
      <c r="N29" s="411">
        <v>4.9800000000000004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 spans="1:27" ht="12" customHeight="1">
      <c r="A30" s="73" t="s">
        <v>45</v>
      </c>
      <c r="B30" s="728">
        <v>4.6399999999999997</v>
      </c>
      <c r="C30" s="411">
        <v>4.25</v>
      </c>
      <c r="D30" s="411">
        <v>4.29</v>
      </c>
      <c r="E30" s="411">
        <v>4.34</v>
      </c>
      <c r="F30" s="411">
        <v>4.3899999999999997</v>
      </c>
      <c r="G30" s="411">
        <v>4.3899999999999997</v>
      </c>
      <c r="H30" s="411">
        <v>4.8499999999999996</v>
      </c>
      <c r="I30" s="411">
        <v>4.84</v>
      </c>
      <c r="J30" s="411">
        <v>4.84</v>
      </c>
      <c r="K30" s="411">
        <v>4.84</v>
      </c>
      <c r="L30" s="411">
        <v>4.8600000000000003</v>
      </c>
      <c r="M30" s="411">
        <v>4.87</v>
      </c>
      <c r="N30" s="411">
        <v>4.88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 spans="1:27" ht="12" customHeight="1">
      <c r="A31" s="73" t="s">
        <v>46</v>
      </c>
      <c r="B31" s="728">
        <v>4.76</v>
      </c>
      <c r="C31" s="411">
        <v>4.26</v>
      </c>
      <c r="D31" s="411">
        <v>4.3499999999999996</v>
      </c>
      <c r="E31" s="411">
        <v>4.41</v>
      </c>
      <c r="F31" s="411">
        <v>4.49</v>
      </c>
      <c r="G31" s="411">
        <v>4.5</v>
      </c>
      <c r="H31" s="411">
        <v>5.01</v>
      </c>
      <c r="I31" s="411">
        <v>5.01</v>
      </c>
      <c r="J31" s="411">
        <v>5</v>
      </c>
      <c r="K31" s="411">
        <v>5.0199999999999996</v>
      </c>
      <c r="L31" s="411">
        <v>5.04</v>
      </c>
      <c r="M31" s="411">
        <v>5.05</v>
      </c>
      <c r="N31" s="411">
        <v>5.0599999999999996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 spans="1:27" ht="12" customHeight="1">
      <c r="A32" s="73" t="s">
        <v>47</v>
      </c>
      <c r="B32" s="728">
        <v>4.82</v>
      </c>
      <c r="C32" s="411">
        <v>4.33</v>
      </c>
      <c r="D32" s="411">
        <v>4.4000000000000004</v>
      </c>
      <c r="E32" s="411">
        <v>4.45</v>
      </c>
      <c r="F32" s="411">
        <v>4.53</v>
      </c>
      <c r="G32" s="411">
        <v>4.5599999999999996</v>
      </c>
      <c r="H32" s="411">
        <v>5.0599999999999996</v>
      </c>
      <c r="I32" s="411">
        <v>5.08</v>
      </c>
      <c r="J32" s="411">
        <v>5.08</v>
      </c>
      <c r="K32" s="411">
        <v>5.08</v>
      </c>
      <c r="L32" s="411">
        <v>5.0999999999999996</v>
      </c>
      <c r="M32" s="411">
        <v>5.12</v>
      </c>
      <c r="N32" s="411">
        <v>5.14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 spans="1:27" ht="12" customHeight="1">
      <c r="A33" s="73" t="s">
        <v>48</v>
      </c>
      <c r="B33" s="728">
        <v>4.8</v>
      </c>
      <c r="C33" s="411">
        <v>4.3499999999999996</v>
      </c>
      <c r="D33" s="411">
        <v>4.42</v>
      </c>
      <c r="E33" s="411">
        <v>4.46</v>
      </c>
      <c r="F33" s="411">
        <v>4.54</v>
      </c>
      <c r="G33" s="411">
        <v>4.55</v>
      </c>
      <c r="H33" s="411">
        <v>5.03</v>
      </c>
      <c r="I33" s="411">
        <v>5.05</v>
      </c>
      <c r="J33" s="411">
        <v>5.04</v>
      </c>
      <c r="K33" s="411">
        <v>5.04</v>
      </c>
      <c r="L33" s="411">
        <v>5.0599999999999996</v>
      </c>
      <c r="M33" s="411">
        <v>5.07</v>
      </c>
      <c r="N33" s="411">
        <v>5.09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 spans="1:27" ht="12" customHeight="1" thickBot="1">
      <c r="A34" s="121" t="s">
        <v>49</v>
      </c>
      <c r="B34" s="729">
        <v>4.8099999999999996</v>
      </c>
      <c r="C34" s="412">
        <v>4.37</v>
      </c>
      <c r="D34" s="412">
        <v>4.4400000000000004</v>
      </c>
      <c r="E34" s="412">
        <v>4.49</v>
      </c>
      <c r="F34" s="412">
        <v>4.57</v>
      </c>
      <c r="G34" s="412">
        <v>4.58</v>
      </c>
      <c r="H34" s="412">
        <v>5.0599999999999996</v>
      </c>
      <c r="I34" s="412">
        <v>5.07</v>
      </c>
      <c r="J34" s="412">
        <v>5.05</v>
      </c>
      <c r="K34" s="412">
        <v>5.05</v>
      </c>
      <c r="L34" s="412">
        <v>5.07</v>
      </c>
      <c r="M34" s="412">
        <v>5.07</v>
      </c>
      <c r="N34" s="412">
        <v>5.07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 spans="1:27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7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7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7" ht="13.25" customHeight="1">
      <c r="A38" s="865"/>
      <c r="B38" s="796"/>
      <c r="C38" s="796"/>
      <c r="D38" s="796"/>
    </row>
    <row r="39" spans="1:27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Hoja110">
    <tabColor theme="9" tint="0.59999389629810485"/>
  </sheetPr>
  <dimension ref="A1:AA90"/>
  <sheetViews>
    <sheetView showGridLines="0" zoomScaleNormal="100" workbookViewId="0">
      <selection activeCell="G26" sqref="G26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5" width="9.19921875" style="73" bestFit="1" customWidth="1"/>
    <col min="16" max="16384" width="7" style="73"/>
  </cols>
  <sheetData>
    <row r="1" spans="1:27" ht="17" customHeight="1">
      <c r="A1" s="418" t="s">
        <v>607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7" ht="13.25" customHeight="1">
      <c r="A2" s="414" t="s">
        <v>333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7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7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7" ht="15" customHeight="1">
      <c r="A5" s="723" t="s">
        <v>103</v>
      </c>
      <c r="B5" s="724">
        <v>1.45</v>
      </c>
      <c r="C5" s="724">
        <v>1.42</v>
      </c>
      <c r="D5" s="724">
        <v>1.42</v>
      </c>
      <c r="E5" s="724">
        <v>1.43</v>
      </c>
      <c r="F5" s="724">
        <v>1.43</v>
      </c>
      <c r="G5" s="724">
        <v>1.45</v>
      </c>
      <c r="H5" s="724">
        <v>1.46</v>
      </c>
      <c r="I5" s="724">
        <v>1.47</v>
      </c>
      <c r="J5" s="724">
        <v>1.47</v>
      </c>
      <c r="K5" s="724">
        <v>1.47</v>
      </c>
      <c r="L5" s="724">
        <v>1.47</v>
      </c>
      <c r="M5" s="724">
        <v>1.47</v>
      </c>
      <c r="N5" s="724">
        <v>1.48</v>
      </c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ht="12" customHeight="1">
      <c r="A6" s="73" t="s">
        <v>21</v>
      </c>
      <c r="B6" s="728">
        <v>2.04</v>
      </c>
      <c r="C6" s="411">
        <v>2</v>
      </c>
      <c r="D6" s="411">
        <v>2</v>
      </c>
      <c r="E6" s="411">
        <v>2.0099999999999998</v>
      </c>
      <c r="F6" s="411">
        <v>2.0099999999999998</v>
      </c>
      <c r="G6" s="411">
        <v>2.0299999999999998</v>
      </c>
      <c r="H6" s="411">
        <v>2.04</v>
      </c>
      <c r="I6" s="411">
        <v>2.06</v>
      </c>
      <c r="J6" s="411">
        <v>2.06</v>
      </c>
      <c r="K6" s="411">
        <v>2.06</v>
      </c>
      <c r="L6" s="411">
        <v>2.06</v>
      </c>
      <c r="M6" s="411">
        <v>2.0699999999999998</v>
      </c>
      <c r="N6" s="411">
        <v>2.08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 spans="1:27" ht="12" customHeight="1">
      <c r="A7" s="73" t="s">
        <v>22</v>
      </c>
      <c r="B7" s="728">
        <v>1.84</v>
      </c>
      <c r="C7" s="411">
        <v>1.81</v>
      </c>
      <c r="D7" s="411">
        <v>1.81</v>
      </c>
      <c r="E7" s="411">
        <v>1.83</v>
      </c>
      <c r="F7" s="411">
        <v>1.83</v>
      </c>
      <c r="G7" s="411">
        <v>1.85</v>
      </c>
      <c r="H7" s="411">
        <v>1.85</v>
      </c>
      <c r="I7" s="411">
        <v>1.86</v>
      </c>
      <c r="J7" s="411">
        <v>1.86</v>
      </c>
      <c r="K7" s="411">
        <v>1.86</v>
      </c>
      <c r="L7" s="411">
        <v>1.86</v>
      </c>
      <c r="M7" s="411">
        <v>1.86</v>
      </c>
      <c r="N7" s="411">
        <v>1.86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 spans="1:27" ht="12" customHeight="1">
      <c r="A8" s="73" t="s">
        <v>23</v>
      </c>
      <c r="B8" s="728">
        <v>1.39</v>
      </c>
      <c r="C8" s="411">
        <v>1.35</v>
      </c>
      <c r="D8" s="411">
        <v>1.35</v>
      </c>
      <c r="E8" s="411">
        <v>1.37</v>
      </c>
      <c r="F8" s="411">
        <v>1.37</v>
      </c>
      <c r="G8" s="411">
        <v>1.39</v>
      </c>
      <c r="H8" s="411">
        <v>1.39</v>
      </c>
      <c r="I8" s="411">
        <v>1.41</v>
      </c>
      <c r="J8" s="411">
        <v>1.41</v>
      </c>
      <c r="K8" s="411">
        <v>1.41</v>
      </c>
      <c r="L8" s="411">
        <v>1.41</v>
      </c>
      <c r="M8" s="411">
        <v>1.41</v>
      </c>
      <c r="N8" s="411">
        <v>1.42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 spans="1:27" ht="12" customHeight="1">
      <c r="A9" s="73" t="s">
        <v>24</v>
      </c>
      <c r="B9" s="728">
        <v>1.54</v>
      </c>
      <c r="C9" s="411">
        <v>1.52</v>
      </c>
      <c r="D9" s="411">
        <v>1.52</v>
      </c>
      <c r="E9" s="411">
        <v>1.53</v>
      </c>
      <c r="F9" s="411">
        <v>1.53</v>
      </c>
      <c r="G9" s="411">
        <v>1.54</v>
      </c>
      <c r="H9" s="411">
        <v>1.54</v>
      </c>
      <c r="I9" s="411">
        <v>1.55</v>
      </c>
      <c r="J9" s="411">
        <v>1.55</v>
      </c>
      <c r="K9" s="411">
        <v>1.55</v>
      </c>
      <c r="L9" s="411">
        <v>1.55</v>
      </c>
      <c r="M9" s="411">
        <v>1.55</v>
      </c>
      <c r="N9" s="411">
        <v>1.55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 spans="1:27" ht="12" customHeight="1">
      <c r="A10" s="73" t="s">
        <v>25</v>
      </c>
      <c r="B10" s="728">
        <v>1.34</v>
      </c>
      <c r="C10" s="411">
        <v>1.31</v>
      </c>
      <c r="D10" s="411">
        <v>1.32</v>
      </c>
      <c r="E10" s="411">
        <v>1.32</v>
      </c>
      <c r="F10" s="411">
        <v>1.32</v>
      </c>
      <c r="G10" s="411">
        <v>1.34</v>
      </c>
      <c r="H10" s="411">
        <v>1.34</v>
      </c>
      <c r="I10" s="411">
        <v>1.34</v>
      </c>
      <c r="J10" s="411">
        <v>1.34</v>
      </c>
      <c r="K10" s="411">
        <v>1.35</v>
      </c>
      <c r="L10" s="411">
        <v>1.35</v>
      </c>
      <c r="M10" s="411">
        <v>1.35</v>
      </c>
      <c r="N10" s="411">
        <v>1.35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 spans="1:27" ht="12" customHeight="1">
      <c r="A11" s="73" t="s">
        <v>97</v>
      </c>
      <c r="B11" s="728">
        <v>1.35</v>
      </c>
      <c r="C11" s="411">
        <v>1.33</v>
      </c>
      <c r="D11" s="411">
        <v>1.33</v>
      </c>
      <c r="E11" s="411">
        <v>1.33</v>
      </c>
      <c r="F11" s="411">
        <v>1.33</v>
      </c>
      <c r="G11" s="411">
        <v>1.35</v>
      </c>
      <c r="H11" s="411">
        <v>1.35</v>
      </c>
      <c r="I11" s="411">
        <v>1.36</v>
      </c>
      <c r="J11" s="411">
        <v>1.36</v>
      </c>
      <c r="K11" s="411">
        <v>1.36</v>
      </c>
      <c r="L11" s="411">
        <v>1.36</v>
      </c>
      <c r="M11" s="411">
        <v>1.36</v>
      </c>
      <c r="N11" s="411">
        <v>1.36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 spans="1:27" ht="12" customHeight="1">
      <c r="A12" s="73" t="s">
        <v>98</v>
      </c>
      <c r="B12" s="728">
        <v>1.3</v>
      </c>
      <c r="C12" s="411">
        <v>1.29</v>
      </c>
      <c r="D12" s="411">
        <v>1.29</v>
      </c>
      <c r="E12" s="411">
        <v>1.29</v>
      </c>
      <c r="F12" s="411">
        <v>1.29</v>
      </c>
      <c r="G12" s="411">
        <v>1.3</v>
      </c>
      <c r="H12" s="411">
        <v>1.31</v>
      </c>
      <c r="I12" s="411">
        <v>1.31</v>
      </c>
      <c r="J12" s="411">
        <v>1.31</v>
      </c>
      <c r="K12" s="411">
        <v>1.31</v>
      </c>
      <c r="L12" s="411">
        <v>1.31</v>
      </c>
      <c r="M12" s="411">
        <v>1.31</v>
      </c>
      <c r="N12" s="411">
        <v>1.32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 spans="1:27" ht="12" customHeight="1">
      <c r="A13" s="73" t="s">
        <v>127</v>
      </c>
      <c r="B13" s="728">
        <v>1.45</v>
      </c>
      <c r="C13" s="411">
        <v>1.42</v>
      </c>
      <c r="D13" s="411">
        <v>1.42</v>
      </c>
      <c r="E13" s="411">
        <v>1.42</v>
      </c>
      <c r="F13" s="411">
        <v>1.42</v>
      </c>
      <c r="G13" s="411">
        <v>1.44</v>
      </c>
      <c r="H13" s="411">
        <v>1.45</v>
      </c>
      <c r="I13" s="411">
        <v>1.46</v>
      </c>
      <c r="J13" s="411">
        <v>1.46</v>
      </c>
      <c r="K13" s="411">
        <v>1.46</v>
      </c>
      <c r="L13" s="411">
        <v>1.46</v>
      </c>
      <c r="M13" s="411">
        <v>1.47</v>
      </c>
      <c r="N13" s="411">
        <v>1.47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 spans="1:27" ht="12" customHeight="1">
      <c r="A14" s="73" t="s">
        <v>29</v>
      </c>
      <c r="B14" s="728">
        <v>1.42</v>
      </c>
      <c r="C14" s="411">
        <v>1.39</v>
      </c>
      <c r="D14" s="411">
        <v>1.4</v>
      </c>
      <c r="E14" s="411">
        <v>1.4</v>
      </c>
      <c r="F14" s="411">
        <v>1.4</v>
      </c>
      <c r="G14" s="411">
        <v>1.42</v>
      </c>
      <c r="H14" s="411">
        <v>1.42</v>
      </c>
      <c r="I14" s="411">
        <v>1.42</v>
      </c>
      <c r="J14" s="411">
        <v>1.43</v>
      </c>
      <c r="K14" s="411">
        <v>1.43</v>
      </c>
      <c r="L14" s="411">
        <v>1.43</v>
      </c>
      <c r="M14" s="411">
        <v>1.43</v>
      </c>
      <c r="N14" s="411">
        <v>1.44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 spans="1:27" ht="12" customHeight="1">
      <c r="A15" s="73" t="s">
        <v>30</v>
      </c>
      <c r="B15" s="728">
        <v>1.43</v>
      </c>
      <c r="C15" s="411">
        <v>1.41</v>
      </c>
      <c r="D15" s="411">
        <v>1.41</v>
      </c>
      <c r="E15" s="411">
        <v>1.41</v>
      </c>
      <c r="F15" s="411">
        <v>1.41</v>
      </c>
      <c r="G15" s="411">
        <v>1.43</v>
      </c>
      <c r="H15" s="411">
        <v>1.44</v>
      </c>
      <c r="I15" s="411">
        <v>1.45</v>
      </c>
      <c r="J15" s="411">
        <v>1.45</v>
      </c>
      <c r="K15" s="411">
        <v>1.45</v>
      </c>
      <c r="L15" s="411">
        <v>1.45</v>
      </c>
      <c r="M15" s="411">
        <v>1.45</v>
      </c>
      <c r="N15" s="411">
        <v>1.45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spans="1:27" ht="12" customHeight="1">
      <c r="A16" s="73" t="s">
        <v>31</v>
      </c>
      <c r="B16" s="728">
        <v>1.56</v>
      </c>
      <c r="C16" s="411">
        <v>1.53</v>
      </c>
      <c r="D16" s="411">
        <v>1.53</v>
      </c>
      <c r="E16" s="411">
        <v>1.53</v>
      </c>
      <c r="F16" s="411">
        <v>1.54</v>
      </c>
      <c r="G16" s="411">
        <v>1.56</v>
      </c>
      <c r="H16" s="411">
        <v>1.57</v>
      </c>
      <c r="I16" s="411">
        <v>1.57</v>
      </c>
      <c r="J16" s="411">
        <v>1.58</v>
      </c>
      <c r="K16" s="411">
        <v>1.58</v>
      </c>
      <c r="L16" s="411">
        <v>1.58</v>
      </c>
      <c r="M16" s="411">
        <v>1.58</v>
      </c>
      <c r="N16" s="411">
        <v>1.58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 spans="1:27" ht="12" customHeight="1">
      <c r="A17" s="73" t="s">
        <v>32</v>
      </c>
      <c r="B17" s="728">
        <v>1.53</v>
      </c>
      <c r="C17" s="411">
        <v>1.5</v>
      </c>
      <c r="D17" s="411">
        <v>1.5</v>
      </c>
      <c r="E17" s="411">
        <v>1.51</v>
      </c>
      <c r="F17" s="411">
        <v>1.51</v>
      </c>
      <c r="G17" s="411">
        <v>1.53</v>
      </c>
      <c r="H17" s="411">
        <v>1.53</v>
      </c>
      <c r="I17" s="411">
        <v>1.54</v>
      </c>
      <c r="J17" s="411">
        <v>1.54</v>
      </c>
      <c r="K17" s="411">
        <v>1.54</v>
      </c>
      <c r="L17" s="411">
        <v>1.54</v>
      </c>
      <c r="M17" s="411">
        <v>1.54</v>
      </c>
      <c r="N17" s="411">
        <v>1.54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spans="1:27" ht="12" customHeight="1">
      <c r="A18" s="73" t="s">
        <v>33</v>
      </c>
      <c r="B18" s="728">
        <v>1.58</v>
      </c>
      <c r="C18" s="411">
        <v>1.57</v>
      </c>
      <c r="D18" s="411">
        <v>1.57</v>
      </c>
      <c r="E18" s="411">
        <v>1.57</v>
      </c>
      <c r="F18" s="411">
        <v>1.57</v>
      </c>
      <c r="G18" s="411">
        <v>1.59</v>
      </c>
      <c r="H18" s="411">
        <v>1.59</v>
      </c>
      <c r="I18" s="411">
        <v>1.59</v>
      </c>
      <c r="J18" s="411">
        <v>1.59</v>
      </c>
      <c r="K18" s="411">
        <v>1.59</v>
      </c>
      <c r="L18" s="411">
        <v>1.6</v>
      </c>
      <c r="M18" s="411">
        <v>1.6</v>
      </c>
      <c r="N18" s="411">
        <v>1.6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 spans="1:27" ht="12" customHeight="1">
      <c r="A19" s="73" t="s">
        <v>34</v>
      </c>
      <c r="B19" s="728">
        <v>1.52</v>
      </c>
      <c r="C19" s="411">
        <v>1.52</v>
      </c>
      <c r="D19" s="411">
        <v>1.5</v>
      </c>
      <c r="E19" s="411">
        <v>1.5</v>
      </c>
      <c r="F19" s="411">
        <v>1.5</v>
      </c>
      <c r="G19" s="411">
        <v>1.52</v>
      </c>
      <c r="H19" s="411">
        <v>1.52</v>
      </c>
      <c r="I19" s="411">
        <v>1.53</v>
      </c>
      <c r="J19" s="411">
        <v>1.53</v>
      </c>
      <c r="K19" s="411">
        <v>1.53</v>
      </c>
      <c r="L19" s="411">
        <v>1.53</v>
      </c>
      <c r="M19" s="411">
        <v>1.53</v>
      </c>
      <c r="N19" s="411">
        <v>1.53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spans="1:27" ht="12" customHeight="1">
      <c r="A20" s="73" t="s">
        <v>35</v>
      </c>
      <c r="B20" s="728">
        <v>1.58</v>
      </c>
      <c r="C20" s="411">
        <v>1.54</v>
      </c>
      <c r="D20" s="411">
        <v>1.54</v>
      </c>
      <c r="E20" s="411">
        <v>1.55</v>
      </c>
      <c r="F20" s="411">
        <v>1.56</v>
      </c>
      <c r="G20" s="411">
        <v>1.57</v>
      </c>
      <c r="H20" s="411">
        <v>1.58</v>
      </c>
      <c r="I20" s="411">
        <v>1.59</v>
      </c>
      <c r="J20" s="411">
        <v>1.59</v>
      </c>
      <c r="K20" s="411">
        <v>1.59</v>
      </c>
      <c r="L20" s="411">
        <v>1.59</v>
      </c>
      <c r="M20" s="411">
        <v>1.6</v>
      </c>
      <c r="N20" s="411">
        <v>1.6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 spans="1:27" ht="12" customHeight="1">
      <c r="A21" s="73" t="s">
        <v>36</v>
      </c>
      <c r="B21" s="728">
        <v>1.31</v>
      </c>
      <c r="C21" s="411">
        <v>1.29</v>
      </c>
      <c r="D21" s="411">
        <v>1.3</v>
      </c>
      <c r="E21" s="411">
        <v>1.3</v>
      </c>
      <c r="F21" s="411">
        <v>1.3</v>
      </c>
      <c r="G21" s="411">
        <v>1.31</v>
      </c>
      <c r="H21" s="411">
        <v>1.32</v>
      </c>
      <c r="I21" s="411">
        <v>1.32</v>
      </c>
      <c r="J21" s="411">
        <v>1.32</v>
      </c>
      <c r="K21" s="411">
        <v>1.32</v>
      </c>
      <c r="L21" s="411">
        <v>1.32</v>
      </c>
      <c r="M21" s="411">
        <v>1.32</v>
      </c>
      <c r="N21" s="411">
        <v>1.32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 spans="1:27" ht="12" customHeight="1">
      <c r="A22" s="73" t="s">
        <v>37</v>
      </c>
      <c r="B22" s="728">
        <v>1.37</v>
      </c>
      <c r="C22" s="411">
        <v>1.33</v>
      </c>
      <c r="D22" s="411">
        <v>1.33</v>
      </c>
      <c r="E22" s="411">
        <v>1.34</v>
      </c>
      <c r="F22" s="411">
        <v>1.34</v>
      </c>
      <c r="G22" s="411">
        <v>1.36</v>
      </c>
      <c r="H22" s="411">
        <v>1.38</v>
      </c>
      <c r="I22" s="411">
        <v>1.39</v>
      </c>
      <c r="J22" s="411">
        <v>1.39</v>
      </c>
      <c r="K22" s="411">
        <v>1.39</v>
      </c>
      <c r="L22" s="411">
        <v>1.39</v>
      </c>
      <c r="M22" s="411">
        <v>1.4</v>
      </c>
      <c r="N22" s="411">
        <v>1.41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1:27" ht="12" customHeight="1">
      <c r="A23" s="73" t="s">
        <v>38</v>
      </c>
      <c r="B23" s="728">
        <v>1.34</v>
      </c>
      <c r="C23" s="411">
        <v>1.32</v>
      </c>
      <c r="D23" s="411">
        <v>1.32</v>
      </c>
      <c r="E23" s="411">
        <v>1.32</v>
      </c>
      <c r="F23" s="411">
        <v>1.32</v>
      </c>
      <c r="G23" s="411">
        <v>1.34</v>
      </c>
      <c r="H23" s="411">
        <v>1.34</v>
      </c>
      <c r="I23" s="411">
        <v>1.35</v>
      </c>
      <c r="J23" s="411">
        <v>1.35</v>
      </c>
      <c r="K23" s="411">
        <v>1.35</v>
      </c>
      <c r="L23" s="411">
        <v>1.35</v>
      </c>
      <c r="M23" s="411">
        <v>1.35</v>
      </c>
      <c r="N23" s="411">
        <v>1.36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1:27" ht="12" customHeight="1">
      <c r="A24" s="73" t="s">
        <v>39</v>
      </c>
      <c r="B24" s="728">
        <v>1.44</v>
      </c>
      <c r="C24" s="411">
        <v>1.41</v>
      </c>
      <c r="D24" s="411">
        <v>1.42</v>
      </c>
      <c r="E24" s="411">
        <v>1.42</v>
      </c>
      <c r="F24" s="411">
        <v>1.42</v>
      </c>
      <c r="G24" s="411">
        <v>1.44</v>
      </c>
      <c r="H24" s="411">
        <v>1.44</v>
      </c>
      <c r="I24" s="411">
        <v>1.44</v>
      </c>
      <c r="J24" s="411">
        <v>1.44</v>
      </c>
      <c r="K24" s="411">
        <v>1.45</v>
      </c>
      <c r="L24" s="411">
        <v>1.45</v>
      </c>
      <c r="M24" s="411">
        <v>1.45</v>
      </c>
      <c r="N24" s="411">
        <v>1.45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1:27" ht="12" customHeight="1">
      <c r="A25" s="73" t="s">
        <v>40</v>
      </c>
      <c r="B25" s="728">
        <v>1.61</v>
      </c>
      <c r="C25" s="411">
        <v>1.59</v>
      </c>
      <c r="D25" s="411">
        <v>1.6</v>
      </c>
      <c r="E25" s="411">
        <v>1.6</v>
      </c>
      <c r="F25" s="411">
        <v>1.6</v>
      </c>
      <c r="G25" s="411">
        <v>1.62</v>
      </c>
      <c r="H25" s="411">
        <v>1.62</v>
      </c>
      <c r="I25" s="411">
        <v>1.62</v>
      </c>
      <c r="J25" s="411">
        <v>1.62</v>
      </c>
      <c r="K25" s="411">
        <v>1.63</v>
      </c>
      <c r="L25" s="411">
        <v>1.63</v>
      </c>
      <c r="M25" s="411">
        <v>1.63</v>
      </c>
      <c r="N25" s="411">
        <v>1.62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1:27" ht="12" customHeight="1">
      <c r="A26" s="73" t="s">
        <v>41</v>
      </c>
      <c r="B26" s="728">
        <v>1.34</v>
      </c>
      <c r="C26" s="411">
        <v>1.33</v>
      </c>
      <c r="D26" s="411">
        <v>1.33</v>
      </c>
      <c r="E26" s="411">
        <v>1.33</v>
      </c>
      <c r="F26" s="411">
        <v>1.33</v>
      </c>
      <c r="G26" s="411">
        <v>1.35</v>
      </c>
      <c r="H26" s="411">
        <v>1.35</v>
      </c>
      <c r="I26" s="411">
        <v>1.35</v>
      </c>
      <c r="J26" s="411">
        <v>1.35</v>
      </c>
      <c r="K26" s="411">
        <v>1.36</v>
      </c>
      <c r="L26" s="411">
        <v>1.36</v>
      </c>
      <c r="M26" s="411">
        <v>1.36</v>
      </c>
      <c r="N26" s="411">
        <v>1.36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1:27" ht="12" customHeight="1">
      <c r="A27" s="73" t="s">
        <v>100</v>
      </c>
      <c r="B27" s="728">
        <v>1.34</v>
      </c>
      <c r="C27" s="411">
        <v>1.32</v>
      </c>
      <c r="D27" s="411">
        <v>1.33</v>
      </c>
      <c r="E27" s="411">
        <v>1.33</v>
      </c>
      <c r="F27" s="411">
        <v>1.33</v>
      </c>
      <c r="G27" s="411">
        <v>1.34</v>
      </c>
      <c r="H27" s="411">
        <v>1.34</v>
      </c>
      <c r="I27" s="411">
        <v>1.35</v>
      </c>
      <c r="J27" s="411">
        <v>1.35</v>
      </c>
      <c r="K27" s="411">
        <v>1.35</v>
      </c>
      <c r="L27" s="411">
        <v>1.35</v>
      </c>
      <c r="M27" s="411">
        <v>1.35</v>
      </c>
      <c r="N27" s="411">
        <v>1.35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1:27" ht="12" customHeight="1">
      <c r="A28" s="73" t="s">
        <v>101</v>
      </c>
      <c r="B28" s="728">
        <v>1.35</v>
      </c>
      <c r="C28" s="411">
        <v>1.33</v>
      </c>
      <c r="D28" s="411">
        <v>1.33</v>
      </c>
      <c r="E28" s="411">
        <v>1.33</v>
      </c>
      <c r="F28" s="411">
        <v>1.33</v>
      </c>
      <c r="G28" s="411">
        <v>1.35</v>
      </c>
      <c r="H28" s="411">
        <v>1.36</v>
      </c>
      <c r="I28" s="411">
        <v>1.36</v>
      </c>
      <c r="J28" s="411">
        <v>1.36</v>
      </c>
      <c r="K28" s="411">
        <v>1.36</v>
      </c>
      <c r="L28" s="411">
        <v>1.36</v>
      </c>
      <c r="M28" s="411">
        <v>1.36</v>
      </c>
      <c r="N28" s="411">
        <v>1.36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 spans="1:27" ht="12" customHeight="1">
      <c r="A29" s="73" t="s">
        <v>44</v>
      </c>
      <c r="B29" s="728">
        <v>1.39</v>
      </c>
      <c r="C29" s="411">
        <v>1.35</v>
      </c>
      <c r="D29" s="411">
        <v>1.35</v>
      </c>
      <c r="E29" s="411">
        <v>1.34</v>
      </c>
      <c r="F29" s="411">
        <v>1.34</v>
      </c>
      <c r="G29" s="411">
        <v>1.35</v>
      </c>
      <c r="H29" s="411">
        <v>1.37</v>
      </c>
      <c r="I29" s="411">
        <v>1.41</v>
      </c>
      <c r="J29" s="411">
        <v>1.42</v>
      </c>
      <c r="K29" s="411">
        <v>1.42</v>
      </c>
      <c r="L29" s="411">
        <v>1.44</v>
      </c>
      <c r="M29" s="411">
        <v>1.46</v>
      </c>
      <c r="N29" s="411">
        <v>1.47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 spans="1:27" ht="12" customHeight="1">
      <c r="A30" s="73" t="s">
        <v>45</v>
      </c>
      <c r="B30" s="728">
        <v>1.43</v>
      </c>
      <c r="C30" s="411">
        <v>1.36</v>
      </c>
      <c r="D30" s="411">
        <v>1.37</v>
      </c>
      <c r="E30" s="411">
        <v>1.38</v>
      </c>
      <c r="F30" s="411">
        <v>1.39</v>
      </c>
      <c r="G30" s="411">
        <v>1.42</v>
      </c>
      <c r="H30" s="411">
        <v>1.42</v>
      </c>
      <c r="I30" s="411">
        <v>1.47</v>
      </c>
      <c r="J30" s="411">
        <v>1.47</v>
      </c>
      <c r="K30" s="411">
        <v>1.5</v>
      </c>
      <c r="L30" s="411">
        <v>1.5</v>
      </c>
      <c r="M30" s="411">
        <v>1.53</v>
      </c>
      <c r="N30" s="411">
        <v>1.53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 spans="1:27" ht="12" customHeight="1">
      <c r="A31" s="73" t="s">
        <v>46</v>
      </c>
      <c r="B31" s="728">
        <v>1.35</v>
      </c>
      <c r="C31" s="411">
        <v>1.28</v>
      </c>
      <c r="D31" s="411">
        <v>1.29</v>
      </c>
      <c r="E31" s="411">
        <v>1.3</v>
      </c>
      <c r="F31" s="411">
        <v>1.3</v>
      </c>
      <c r="G31" s="411">
        <v>1.31</v>
      </c>
      <c r="H31" s="411">
        <v>1.32</v>
      </c>
      <c r="I31" s="411">
        <v>1.34</v>
      </c>
      <c r="J31" s="411">
        <v>1.38</v>
      </c>
      <c r="K31" s="411">
        <v>1.38</v>
      </c>
      <c r="L31" s="411">
        <v>1.4</v>
      </c>
      <c r="M31" s="411">
        <v>1.44</v>
      </c>
      <c r="N31" s="411">
        <v>1.46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 spans="1:27" ht="12" customHeight="1">
      <c r="A32" s="73" t="s">
        <v>47</v>
      </c>
      <c r="B32" s="728">
        <v>1.94</v>
      </c>
      <c r="C32" s="411">
        <v>1.91</v>
      </c>
      <c r="D32" s="411">
        <v>1.91</v>
      </c>
      <c r="E32" s="411">
        <v>1.91</v>
      </c>
      <c r="F32" s="411">
        <v>1.91</v>
      </c>
      <c r="G32" s="411">
        <v>1.93</v>
      </c>
      <c r="H32" s="411">
        <v>1.94</v>
      </c>
      <c r="I32" s="411">
        <v>1.96</v>
      </c>
      <c r="J32" s="411">
        <v>1.96</v>
      </c>
      <c r="K32" s="411">
        <v>1.96</v>
      </c>
      <c r="L32" s="411">
        <v>1.96</v>
      </c>
      <c r="M32" s="411">
        <v>1.97</v>
      </c>
      <c r="N32" s="411">
        <v>1.97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 spans="1:27" ht="12" customHeight="1">
      <c r="A33" s="73" t="s">
        <v>48</v>
      </c>
      <c r="B33" s="728">
        <v>1.6</v>
      </c>
      <c r="C33" s="411">
        <v>1.58</v>
      </c>
      <c r="D33" s="411">
        <v>1.58</v>
      </c>
      <c r="E33" s="411">
        <v>1.58</v>
      </c>
      <c r="F33" s="411">
        <v>1.58</v>
      </c>
      <c r="G33" s="411">
        <v>1.6</v>
      </c>
      <c r="H33" s="411">
        <v>1.6</v>
      </c>
      <c r="I33" s="411">
        <v>1.61</v>
      </c>
      <c r="J33" s="411">
        <v>1.62</v>
      </c>
      <c r="K33" s="411">
        <v>1.62</v>
      </c>
      <c r="L33" s="411">
        <v>1.61</v>
      </c>
      <c r="M33" s="411">
        <v>1.61</v>
      </c>
      <c r="N33" s="411">
        <v>1.61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 spans="1:27" ht="12" customHeight="1" thickBot="1">
      <c r="A34" s="121" t="s">
        <v>49</v>
      </c>
      <c r="B34" s="729">
        <v>1.62</v>
      </c>
      <c r="C34" s="412">
        <v>1.6</v>
      </c>
      <c r="D34" s="412">
        <v>1.6</v>
      </c>
      <c r="E34" s="412">
        <v>1.6</v>
      </c>
      <c r="F34" s="412">
        <v>1.6</v>
      </c>
      <c r="G34" s="412">
        <v>1.62</v>
      </c>
      <c r="H34" s="412">
        <v>1.62</v>
      </c>
      <c r="I34" s="412">
        <v>1.63</v>
      </c>
      <c r="J34" s="412">
        <v>1.63</v>
      </c>
      <c r="K34" s="412">
        <v>1.63</v>
      </c>
      <c r="L34" s="412">
        <v>1.63</v>
      </c>
      <c r="M34" s="412">
        <v>1.63</v>
      </c>
      <c r="N34" s="412">
        <v>1.64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 spans="1:27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7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0"/>
      <c r="N36" s="410"/>
    </row>
    <row r="37" spans="1:27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7" ht="13.25" customHeight="1">
      <c r="A38" s="865"/>
      <c r="B38" s="796"/>
      <c r="C38" s="796"/>
      <c r="D38" s="796"/>
    </row>
    <row r="39" spans="1:27" ht="13.25" customHeight="1">
      <c r="A39" s="24"/>
    </row>
    <row r="53" spans="1:14" ht="13.25" customHeight="1">
      <c r="A53" s="404" t="s">
        <v>355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</row>
    <row r="54" spans="1:14" ht="13.25" customHeight="1">
      <c r="A54" s="404" t="s">
        <v>331</v>
      </c>
      <c r="B54" s="109"/>
      <c r="C54" s="109"/>
      <c r="D54" s="109"/>
      <c r="E54" s="109"/>
      <c r="F54" s="109"/>
      <c r="G54" s="112"/>
      <c r="H54" s="111"/>
      <c r="I54" s="109"/>
      <c r="J54" s="109"/>
      <c r="K54" s="109"/>
      <c r="L54" s="109"/>
      <c r="M54" s="109"/>
      <c r="N54" s="109"/>
    </row>
    <row r="55" spans="1:14" ht="13.25" customHeight="1" thickBot="1">
      <c r="A55" s="111"/>
      <c r="B55" s="109"/>
      <c r="C55" s="109"/>
      <c r="D55" s="109"/>
      <c r="E55" s="109"/>
      <c r="F55" s="109"/>
      <c r="G55" s="112"/>
      <c r="H55" s="111"/>
      <c r="I55" s="109"/>
      <c r="J55" s="109"/>
      <c r="K55" s="109"/>
      <c r="L55" s="109"/>
      <c r="M55" s="109"/>
      <c r="N55" s="109"/>
    </row>
    <row r="56" spans="1:14" ht="13.25" customHeight="1">
      <c r="A56" s="115" t="s">
        <v>18</v>
      </c>
      <c r="B56" s="75" t="s">
        <v>128</v>
      </c>
      <c r="C56" s="116" t="s">
        <v>78</v>
      </c>
      <c r="D56" s="116" t="s">
        <v>79</v>
      </c>
      <c r="E56" s="116" t="s">
        <v>80</v>
      </c>
      <c r="F56" s="116" t="s">
        <v>81</v>
      </c>
      <c r="G56" s="116" t="s">
        <v>82</v>
      </c>
      <c r="H56" s="116" t="s">
        <v>83</v>
      </c>
      <c r="I56" s="116" t="s">
        <v>84</v>
      </c>
      <c r="J56" s="116" t="s">
        <v>85</v>
      </c>
      <c r="K56" s="116" t="s">
        <v>86</v>
      </c>
      <c r="L56" s="116" t="s">
        <v>87</v>
      </c>
      <c r="M56" s="116" t="s">
        <v>88</v>
      </c>
      <c r="N56" s="116" t="s">
        <v>89</v>
      </c>
    </row>
    <row r="57" spans="1:14" ht="13.25" customHeight="1">
      <c r="A57" s="117" t="s">
        <v>103</v>
      </c>
      <c r="B57" s="118">
        <v>1.3</v>
      </c>
      <c r="C57" s="118">
        <v>1.28</v>
      </c>
      <c r="D57" s="118">
        <v>1.28</v>
      </c>
      <c r="E57" s="118">
        <v>1.29</v>
      </c>
      <c r="F57" s="118">
        <v>1.3</v>
      </c>
      <c r="G57" s="118">
        <v>1.31</v>
      </c>
      <c r="H57" s="118">
        <v>1.31</v>
      </c>
      <c r="I57" s="118">
        <v>1.3</v>
      </c>
      <c r="J57" s="118">
        <v>1.3</v>
      </c>
      <c r="K57" s="118">
        <v>1.3</v>
      </c>
      <c r="L57" s="118">
        <v>1.3</v>
      </c>
      <c r="M57" s="118">
        <v>1.3</v>
      </c>
      <c r="N57" s="118">
        <v>1.31</v>
      </c>
    </row>
    <row r="58" spans="1:14" ht="13.25" customHeight="1">
      <c r="A58" s="73" t="s">
        <v>21</v>
      </c>
      <c r="B58" s="120">
        <v>1.94</v>
      </c>
      <c r="C58" s="120">
        <v>1.94</v>
      </c>
      <c r="D58" s="120">
        <v>1.94</v>
      </c>
      <c r="E58" s="120">
        <v>1.94</v>
      </c>
      <c r="F58" s="120">
        <v>1.94</v>
      </c>
      <c r="G58" s="120">
        <v>1.94</v>
      </c>
      <c r="H58" s="120">
        <v>1.94</v>
      </c>
      <c r="I58" s="120">
        <v>1.94</v>
      </c>
      <c r="J58" s="120">
        <v>1.94</v>
      </c>
      <c r="K58" s="120">
        <v>1.94</v>
      </c>
      <c r="L58" s="120">
        <v>1.94</v>
      </c>
      <c r="M58" s="120">
        <v>1.94</v>
      </c>
      <c r="N58" s="120">
        <v>1.94</v>
      </c>
    </row>
    <row r="59" spans="1:14" ht="13.25" customHeight="1">
      <c r="A59" s="73" t="s">
        <v>22</v>
      </c>
      <c r="B59" s="120">
        <v>1.74</v>
      </c>
      <c r="C59" s="120">
        <v>1.66</v>
      </c>
      <c r="D59" s="120">
        <v>1.66</v>
      </c>
      <c r="E59" s="120">
        <v>1.66</v>
      </c>
      <c r="F59" s="120">
        <v>1.76</v>
      </c>
      <c r="G59" s="120">
        <v>1.76</v>
      </c>
      <c r="H59" s="120">
        <v>1.76</v>
      </c>
      <c r="I59" s="120">
        <v>1.76</v>
      </c>
      <c r="J59" s="120">
        <v>1.76</v>
      </c>
      <c r="K59" s="120">
        <v>1.76</v>
      </c>
      <c r="L59" s="120">
        <v>1.78</v>
      </c>
      <c r="M59" s="120">
        <v>1.78</v>
      </c>
      <c r="N59" s="120">
        <v>1.78</v>
      </c>
    </row>
    <row r="60" spans="1:14" ht="13.25" customHeight="1">
      <c r="A60" s="73" t="s">
        <v>23</v>
      </c>
      <c r="B60" s="120">
        <v>1.29</v>
      </c>
      <c r="C60" s="120">
        <v>1.28</v>
      </c>
      <c r="D60" s="120">
        <v>1.28</v>
      </c>
      <c r="E60" s="120">
        <v>1.28</v>
      </c>
      <c r="F60" s="120">
        <v>1.28</v>
      </c>
      <c r="G60" s="120">
        <v>1.28</v>
      </c>
      <c r="H60" s="120">
        <v>1.28</v>
      </c>
      <c r="I60" s="120">
        <v>1.28</v>
      </c>
      <c r="J60" s="120">
        <v>1.28</v>
      </c>
      <c r="K60" s="120">
        <v>1.29</v>
      </c>
      <c r="L60" s="120">
        <v>1.29</v>
      </c>
      <c r="M60" s="120">
        <v>1.29</v>
      </c>
      <c r="N60" s="120">
        <v>1.29</v>
      </c>
    </row>
    <row r="61" spans="1:14" ht="13.25" customHeight="1">
      <c r="A61" s="73" t="s">
        <v>24</v>
      </c>
      <c r="B61" s="120">
        <v>1.2</v>
      </c>
      <c r="C61" s="120">
        <v>1.1599999999999999</v>
      </c>
      <c r="D61" s="120">
        <v>1.1599999999999999</v>
      </c>
      <c r="E61" s="120">
        <v>1.17</v>
      </c>
      <c r="F61" s="120">
        <v>1.18</v>
      </c>
      <c r="G61" s="120">
        <v>1.18</v>
      </c>
      <c r="H61" s="120">
        <v>1.22</v>
      </c>
      <c r="I61" s="120">
        <v>1.22</v>
      </c>
      <c r="J61" s="120">
        <v>1.22</v>
      </c>
      <c r="K61" s="120">
        <v>1.22</v>
      </c>
      <c r="L61" s="120">
        <v>1.22</v>
      </c>
      <c r="M61" s="120">
        <v>1.22</v>
      </c>
      <c r="N61" s="120">
        <v>1.22</v>
      </c>
    </row>
    <row r="62" spans="1:14" ht="13.25" customHeight="1">
      <c r="A62" s="73" t="s">
        <v>25</v>
      </c>
      <c r="B62" s="120">
        <v>1.23</v>
      </c>
      <c r="C62" s="120">
        <v>1.23</v>
      </c>
      <c r="D62" s="120">
        <v>1.23</v>
      </c>
      <c r="E62" s="120">
        <v>1.23</v>
      </c>
      <c r="F62" s="120">
        <v>1.23</v>
      </c>
      <c r="G62" s="120">
        <v>1.23</v>
      </c>
      <c r="H62" s="120">
        <v>1.23</v>
      </c>
      <c r="I62" s="120">
        <v>1.23</v>
      </c>
      <c r="J62" s="120">
        <v>1.23</v>
      </c>
      <c r="K62" s="120">
        <v>1.24</v>
      </c>
      <c r="L62" s="120">
        <v>1.24</v>
      </c>
      <c r="M62" s="120">
        <v>1.24</v>
      </c>
      <c r="N62" s="120">
        <v>1.24</v>
      </c>
    </row>
    <row r="63" spans="1:14" ht="13.25" customHeight="1">
      <c r="A63" s="73" t="s">
        <v>97</v>
      </c>
      <c r="B63" s="120">
        <v>1.24</v>
      </c>
      <c r="C63" s="120">
        <v>1.23</v>
      </c>
      <c r="D63" s="120">
        <v>1.23</v>
      </c>
      <c r="E63" s="120">
        <v>1.23</v>
      </c>
      <c r="F63" s="120">
        <v>1.23</v>
      </c>
      <c r="G63" s="120">
        <v>1.23</v>
      </c>
      <c r="H63" s="120">
        <v>1.23</v>
      </c>
      <c r="I63" s="120">
        <v>1.23</v>
      </c>
      <c r="J63" s="120">
        <v>1.23</v>
      </c>
      <c r="K63" s="120">
        <v>1.24</v>
      </c>
      <c r="L63" s="120">
        <v>1.24</v>
      </c>
      <c r="M63" s="120">
        <v>1.24</v>
      </c>
      <c r="N63" s="120">
        <v>1.24</v>
      </c>
    </row>
    <row r="64" spans="1:14" ht="13.25" customHeight="1">
      <c r="A64" s="73" t="s">
        <v>98</v>
      </c>
      <c r="B64" s="120">
        <v>1.22</v>
      </c>
      <c r="C64" s="120">
        <v>1.22</v>
      </c>
      <c r="D64" s="120">
        <v>1.22</v>
      </c>
      <c r="E64" s="120">
        <v>1.22</v>
      </c>
      <c r="F64" s="120">
        <v>1.22</v>
      </c>
      <c r="G64" s="120">
        <v>1.22</v>
      </c>
      <c r="H64" s="120">
        <v>1.22</v>
      </c>
      <c r="I64" s="120">
        <v>1.22</v>
      </c>
      <c r="J64" s="120">
        <v>1.23</v>
      </c>
      <c r="K64" s="120">
        <v>1.22</v>
      </c>
      <c r="L64" s="120">
        <v>1.22</v>
      </c>
      <c r="M64" s="120">
        <v>1.22</v>
      </c>
      <c r="N64" s="120">
        <v>1.22</v>
      </c>
    </row>
    <row r="65" spans="1:14" ht="13.25" customHeight="1">
      <c r="A65" s="73" t="s">
        <v>127</v>
      </c>
      <c r="B65" s="120">
        <v>1.29</v>
      </c>
      <c r="C65" s="120">
        <v>1.29</v>
      </c>
      <c r="D65" s="120">
        <v>1.29</v>
      </c>
      <c r="E65" s="120">
        <v>1.29</v>
      </c>
      <c r="F65" s="120">
        <v>1.29</v>
      </c>
      <c r="G65" s="120">
        <v>1.29</v>
      </c>
      <c r="H65" s="120">
        <v>1.29</v>
      </c>
      <c r="I65" s="120">
        <v>1.29</v>
      </c>
      <c r="J65" s="120">
        <v>1.29</v>
      </c>
      <c r="K65" s="120">
        <v>1.29</v>
      </c>
      <c r="L65" s="120">
        <v>1.29</v>
      </c>
      <c r="M65" s="120">
        <v>1.29</v>
      </c>
      <c r="N65" s="120">
        <v>1.29</v>
      </c>
    </row>
    <row r="66" spans="1:14" ht="13.25" customHeight="1">
      <c r="A66" s="73" t="s">
        <v>29</v>
      </c>
      <c r="B66" s="120">
        <v>1.29</v>
      </c>
      <c r="C66" s="120">
        <v>1.25</v>
      </c>
      <c r="D66" s="120">
        <v>1.25</v>
      </c>
      <c r="E66" s="120">
        <v>1.26</v>
      </c>
      <c r="F66" s="120">
        <v>1.28</v>
      </c>
      <c r="G66" s="120">
        <v>1.28</v>
      </c>
      <c r="H66" s="120">
        <v>1.29</v>
      </c>
      <c r="I66" s="120">
        <v>1.3</v>
      </c>
      <c r="J66" s="120">
        <v>1.3</v>
      </c>
      <c r="K66" s="120">
        <v>1.3</v>
      </c>
      <c r="L66" s="120">
        <v>1.31</v>
      </c>
      <c r="M66" s="120">
        <v>1.31</v>
      </c>
      <c r="N66" s="120">
        <v>1.31</v>
      </c>
    </row>
    <row r="67" spans="1:14" ht="13.25" customHeight="1">
      <c r="A67" s="73" t="s">
        <v>30</v>
      </c>
      <c r="B67" s="120">
        <v>1.26</v>
      </c>
      <c r="C67" s="120">
        <v>1.21</v>
      </c>
      <c r="D67" s="120">
        <v>1.21</v>
      </c>
      <c r="E67" s="120">
        <v>1.22</v>
      </c>
      <c r="F67" s="120">
        <v>1.22</v>
      </c>
      <c r="G67" s="120">
        <v>1.28</v>
      </c>
      <c r="H67" s="120">
        <v>1.28</v>
      </c>
      <c r="I67" s="120">
        <v>1.28</v>
      </c>
      <c r="J67" s="120">
        <v>1.28</v>
      </c>
      <c r="K67" s="120">
        <v>1.28</v>
      </c>
      <c r="L67" s="120">
        <v>1.28</v>
      </c>
      <c r="M67" s="120">
        <v>1.28</v>
      </c>
      <c r="N67" s="120">
        <v>1.28</v>
      </c>
    </row>
    <row r="68" spans="1:14" ht="13.25" customHeight="1">
      <c r="A68" s="73" t="s">
        <v>31</v>
      </c>
      <c r="B68" s="120">
        <v>1.39</v>
      </c>
      <c r="C68" s="120">
        <v>1.38</v>
      </c>
      <c r="D68" s="120">
        <v>1.39</v>
      </c>
      <c r="E68" s="120">
        <v>1.39</v>
      </c>
      <c r="F68" s="120">
        <v>1.39</v>
      </c>
      <c r="G68" s="120">
        <v>1.39</v>
      </c>
      <c r="H68" s="120">
        <v>1.39</v>
      </c>
      <c r="I68" s="120">
        <v>1.39</v>
      </c>
      <c r="J68" s="120">
        <v>1.39</v>
      </c>
      <c r="K68" s="120">
        <v>1.39</v>
      </c>
      <c r="L68" s="120">
        <v>1.39</v>
      </c>
      <c r="M68" s="120">
        <v>1.4</v>
      </c>
      <c r="N68" s="120">
        <v>1.41</v>
      </c>
    </row>
    <row r="69" spans="1:14" ht="13.25" customHeight="1">
      <c r="A69" s="73" t="s">
        <v>32</v>
      </c>
      <c r="B69" s="120">
        <v>1.26</v>
      </c>
      <c r="C69" s="120">
        <v>1.24</v>
      </c>
      <c r="D69" s="120">
        <v>1.24</v>
      </c>
      <c r="E69" s="120">
        <v>1.24</v>
      </c>
      <c r="F69" s="120">
        <v>1.25</v>
      </c>
      <c r="G69" s="120">
        <v>1.25</v>
      </c>
      <c r="H69" s="120">
        <v>1.26</v>
      </c>
      <c r="I69" s="120">
        <v>1.26</v>
      </c>
      <c r="J69" s="120">
        <v>1.28</v>
      </c>
      <c r="K69" s="120">
        <v>1.28</v>
      </c>
      <c r="L69" s="120">
        <v>1.28</v>
      </c>
      <c r="M69" s="120">
        <v>1.28</v>
      </c>
      <c r="N69" s="120">
        <v>1.28</v>
      </c>
    </row>
    <row r="70" spans="1:14" ht="13.25" customHeight="1">
      <c r="A70" s="73" t="s">
        <v>33</v>
      </c>
      <c r="B70" s="120">
        <v>1.48</v>
      </c>
      <c r="C70" s="120">
        <v>1.48</v>
      </c>
      <c r="D70" s="120">
        <v>1.48</v>
      </c>
      <c r="E70" s="120">
        <v>1.49</v>
      </c>
      <c r="F70" s="120">
        <v>1.49</v>
      </c>
      <c r="G70" s="120">
        <v>1.49</v>
      </c>
      <c r="H70" s="120">
        <v>1.49</v>
      </c>
      <c r="I70" s="120">
        <v>1.49</v>
      </c>
      <c r="J70" s="120">
        <v>1.49</v>
      </c>
      <c r="K70" s="120">
        <v>1.49</v>
      </c>
      <c r="L70" s="120">
        <v>1.49</v>
      </c>
      <c r="M70" s="120">
        <v>1.49</v>
      </c>
      <c r="N70" s="120">
        <v>1.49</v>
      </c>
    </row>
    <row r="71" spans="1:14" ht="13.25" customHeight="1">
      <c r="A71" s="73" t="s">
        <v>34</v>
      </c>
      <c r="B71" s="120">
        <v>1.46</v>
      </c>
      <c r="C71" s="120">
        <v>1.46</v>
      </c>
      <c r="D71" s="120">
        <v>1.46</v>
      </c>
      <c r="E71" s="120">
        <v>1.46</v>
      </c>
      <c r="F71" s="120">
        <v>1.46</v>
      </c>
      <c r="G71" s="120">
        <v>1.46</v>
      </c>
      <c r="H71" s="120">
        <v>1.46</v>
      </c>
      <c r="I71" s="120">
        <v>1.46</v>
      </c>
      <c r="J71" s="120">
        <v>1.46</v>
      </c>
      <c r="K71" s="120">
        <v>1.46</v>
      </c>
      <c r="L71" s="120">
        <v>1.48</v>
      </c>
      <c r="M71" s="120">
        <v>1.48</v>
      </c>
      <c r="N71" s="120">
        <v>1.48</v>
      </c>
    </row>
    <row r="72" spans="1:14" ht="13.25" customHeight="1">
      <c r="A72" s="73" t="s">
        <v>35</v>
      </c>
      <c r="B72" s="120">
        <v>1.31</v>
      </c>
      <c r="C72" s="120">
        <v>1.28</v>
      </c>
      <c r="D72" s="120">
        <v>1.28</v>
      </c>
      <c r="E72" s="120">
        <v>1.29</v>
      </c>
      <c r="F72" s="120">
        <v>1.3</v>
      </c>
      <c r="G72" s="120">
        <v>1.3</v>
      </c>
      <c r="H72" s="120">
        <v>1.31</v>
      </c>
      <c r="I72" s="120">
        <v>1.31</v>
      </c>
      <c r="J72" s="120">
        <v>1.32</v>
      </c>
      <c r="K72" s="120">
        <v>1.32</v>
      </c>
      <c r="L72" s="120">
        <v>1.32</v>
      </c>
      <c r="M72" s="120">
        <v>1.32</v>
      </c>
      <c r="N72" s="120">
        <v>1.33</v>
      </c>
    </row>
    <row r="73" spans="1:14" ht="13.25" customHeight="1">
      <c r="A73" s="73" t="s">
        <v>36</v>
      </c>
      <c r="B73" s="120">
        <v>1.22</v>
      </c>
      <c r="C73" s="120">
        <v>1.2</v>
      </c>
      <c r="D73" s="120">
        <v>1.2</v>
      </c>
      <c r="E73" s="120">
        <v>1.2</v>
      </c>
      <c r="F73" s="120">
        <v>1.2</v>
      </c>
      <c r="G73" s="120">
        <v>1.2</v>
      </c>
      <c r="H73" s="120">
        <v>1.2</v>
      </c>
      <c r="I73" s="120">
        <v>1.23</v>
      </c>
      <c r="J73" s="120">
        <v>1.23</v>
      </c>
      <c r="K73" s="120">
        <v>1.23</v>
      </c>
      <c r="L73" s="120">
        <v>1.23</v>
      </c>
      <c r="M73" s="120">
        <v>1.23</v>
      </c>
      <c r="N73" s="120">
        <v>1.23</v>
      </c>
    </row>
    <row r="74" spans="1:14" ht="13.25" customHeight="1">
      <c r="A74" s="73" t="s">
        <v>37</v>
      </c>
      <c r="B74" s="120">
        <v>1.22</v>
      </c>
      <c r="C74" s="120">
        <v>1.21</v>
      </c>
      <c r="D74" s="120">
        <v>1.21</v>
      </c>
      <c r="E74" s="120">
        <v>1.21</v>
      </c>
      <c r="F74" s="120">
        <v>1.21</v>
      </c>
      <c r="G74" s="120">
        <v>1.21</v>
      </c>
      <c r="H74" s="120">
        <v>1.21</v>
      </c>
      <c r="I74" s="120">
        <v>1.2</v>
      </c>
      <c r="J74" s="120">
        <v>1.21</v>
      </c>
      <c r="K74" s="120">
        <v>1.22</v>
      </c>
      <c r="L74" s="120">
        <v>1.22</v>
      </c>
      <c r="M74" s="120">
        <v>1.22</v>
      </c>
      <c r="N74" s="120">
        <v>1.23</v>
      </c>
    </row>
    <row r="75" spans="1:14" ht="13.25" customHeight="1">
      <c r="A75" s="73" t="s">
        <v>38</v>
      </c>
      <c r="B75" s="120">
        <v>1.33</v>
      </c>
      <c r="C75" s="120">
        <v>1.34</v>
      </c>
      <c r="D75" s="120">
        <v>1.34</v>
      </c>
      <c r="E75" s="120">
        <v>1.34</v>
      </c>
      <c r="F75" s="120">
        <v>1.34</v>
      </c>
      <c r="G75" s="120">
        <v>1.34</v>
      </c>
      <c r="H75" s="120">
        <v>1.34</v>
      </c>
      <c r="I75" s="120">
        <v>1.32</v>
      </c>
      <c r="J75" s="120">
        <v>1.32</v>
      </c>
      <c r="K75" s="120">
        <v>1.32</v>
      </c>
      <c r="L75" s="120">
        <v>1.32</v>
      </c>
      <c r="M75" s="120">
        <v>1.32</v>
      </c>
      <c r="N75" s="120">
        <v>1.32</v>
      </c>
    </row>
    <row r="76" spans="1:14" ht="13.25" customHeight="1">
      <c r="A76" s="73" t="s">
        <v>39</v>
      </c>
      <c r="B76" s="120">
        <v>1.22</v>
      </c>
      <c r="C76" s="120">
        <v>1.19</v>
      </c>
      <c r="D76" s="120">
        <v>1.19</v>
      </c>
      <c r="E76" s="120">
        <v>1.21</v>
      </c>
      <c r="F76" s="120">
        <v>1.21</v>
      </c>
      <c r="G76" s="120">
        <v>1.21</v>
      </c>
      <c r="H76" s="120">
        <v>1.21</v>
      </c>
      <c r="I76" s="120">
        <v>1.21</v>
      </c>
      <c r="J76" s="120">
        <v>1.22</v>
      </c>
      <c r="K76" s="120">
        <v>1.21</v>
      </c>
      <c r="L76" s="120">
        <v>1.23</v>
      </c>
      <c r="M76" s="120">
        <v>1.23</v>
      </c>
      <c r="N76" s="120">
        <v>1.24</v>
      </c>
    </row>
    <row r="77" spans="1:14" ht="13.25" customHeight="1">
      <c r="A77" s="73" t="s">
        <v>40</v>
      </c>
      <c r="B77" s="120">
        <v>1.51</v>
      </c>
      <c r="C77" s="120">
        <v>1.5</v>
      </c>
      <c r="D77" s="120">
        <v>1.5</v>
      </c>
      <c r="E77" s="120">
        <v>1.5</v>
      </c>
      <c r="F77" s="120">
        <v>1.51</v>
      </c>
      <c r="G77" s="120">
        <v>1.51</v>
      </c>
      <c r="H77" s="120">
        <v>1.51</v>
      </c>
      <c r="I77" s="120">
        <v>1.52</v>
      </c>
      <c r="J77" s="120">
        <v>1.51</v>
      </c>
      <c r="K77" s="120">
        <v>1.51</v>
      </c>
      <c r="L77" s="120">
        <v>1.52</v>
      </c>
      <c r="M77" s="120">
        <v>1.52</v>
      </c>
      <c r="N77" s="120">
        <v>1.53</v>
      </c>
    </row>
    <row r="78" spans="1:14" ht="13.25" customHeight="1">
      <c r="A78" s="73" t="s">
        <v>41</v>
      </c>
      <c r="B78" s="120">
        <v>1.33</v>
      </c>
      <c r="C78" s="119">
        <v>1.33</v>
      </c>
      <c r="D78" s="119">
        <v>1.33</v>
      </c>
      <c r="E78" s="119">
        <v>1.33</v>
      </c>
      <c r="F78" s="119">
        <v>1.33</v>
      </c>
      <c r="G78" s="119">
        <v>1.33</v>
      </c>
      <c r="H78" s="119">
        <v>1.33</v>
      </c>
      <c r="I78" s="119">
        <v>1.33</v>
      </c>
      <c r="J78" s="119">
        <v>1.33</v>
      </c>
      <c r="K78" s="119">
        <v>1.33</v>
      </c>
      <c r="L78" s="119">
        <v>1.33</v>
      </c>
      <c r="M78" s="119">
        <v>1.33</v>
      </c>
      <c r="N78" s="119">
        <v>1.32</v>
      </c>
    </row>
    <row r="79" spans="1:14" ht="13.25" customHeight="1">
      <c r="A79" s="73" t="s">
        <v>100</v>
      </c>
      <c r="B79" s="120">
        <v>1.33</v>
      </c>
      <c r="C79" s="120">
        <v>1.33</v>
      </c>
      <c r="D79" s="120">
        <v>1.33</v>
      </c>
      <c r="E79" s="120">
        <v>1.33</v>
      </c>
      <c r="F79" s="120">
        <v>1.33</v>
      </c>
      <c r="G79" s="120">
        <v>1.33</v>
      </c>
      <c r="H79" s="120">
        <v>1.33</v>
      </c>
      <c r="I79" s="120">
        <v>1.33</v>
      </c>
      <c r="J79" s="120">
        <v>1.33</v>
      </c>
      <c r="K79" s="120">
        <v>1.33</v>
      </c>
      <c r="L79" s="120">
        <v>1.33</v>
      </c>
      <c r="M79" s="120">
        <v>1.33</v>
      </c>
      <c r="N79" s="120">
        <v>1.33</v>
      </c>
    </row>
    <row r="80" spans="1:14" ht="13.25" customHeight="1">
      <c r="A80" s="73" t="s">
        <v>101</v>
      </c>
      <c r="B80" s="120">
        <v>1.32</v>
      </c>
      <c r="C80" s="120">
        <v>1.32</v>
      </c>
      <c r="D80" s="120">
        <v>1.32</v>
      </c>
      <c r="E80" s="120">
        <v>1.32</v>
      </c>
      <c r="F80" s="120">
        <v>1.32</v>
      </c>
      <c r="G80" s="120">
        <v>1.32</v>
      </c>
      <c r="H80" s="120">
        <v>1.32</v>
      </c>
      <c r="I80" s="120">
        <v>1.32</v>
      </c>
      <c r="J80" s="120">
        <v>1.32</v>
      </c>
      <c r="K80" s="120">
        <v>1.32</v>
      </c>
      <c r="L80" s="120">
        <v>1.32</v>
      </c>
      <c r="M80" s="120">
        <v>1.32</v>
      </c>
      <c r="N80" s="120">
        <v>1.32</v>
      </c>
    </row>
    <row r="81" spans="1:14" ht="13.25" customHeight="1">
      <c r="A81" s="73" t="s">
        <v>44</v>
      </c>
      <c r="B81" s="120">
        <v>1.35</v>
      </c>
      <c r="C81" s="120">
        <v>1.36</v>
      </c>
      <c r="D81" s="120">
        <v>1.36</v>
      </c>
      <c r="E81" s="120">
        <v>1.36</v>
      </c>
      <c r="F81" s="120">
        <v>1.34</v>
      </c>
      <c r="G81" s="120">
        <v>1.34</v>
      </c>
      <c r="H81" s="120">
        <v>1.34</v>
      </c>
      <c r="I81" s="120">
        <v>1.34</v>
      </c>
      <c r="J81" s="120">
        <v>1.34</v>
      </c>
      <c r="K81" s="120">
        <v>1.35</v>
      </c>
      <c r="L81" s="120">
        <v>1.37</v>
      </c>
      <c r="M81" s="120">
        <v>1.37</v>
      </c>
      <c r="N81" s="120">
        <v>1.37</v>
      </c>
    </row>
    <row r="82" spans="1:14" ht="13.25" customHeight="1">
      <c r="A82" s="73" t="s">
        <v>45</v>
      </c>
      <c r="B82" s="120">
        <v>1.2</v>
      </c>
      <c r="C82" s="120">
        <v>1.17</v>
      </c>
      <c r="D82" s="120">
        <v>1.17</v>
      </c>
      <c r="E82" s="120">
        <v>1.17</v>
      </c>
      <c r="F82" s="120">
        <v>1.17</v>
      </c>
      <c r="G82" s="120">
        <v>1.23</v>
      </c>
      <c r="H82" s="120">
        <v>1.23</v>
      </c>
      <c r="I82" s="120">
        <v>1.23</v>
      </c>
      <c r="J82" s="120">
        <v>1.23</v>
      </c>
      <c r="K82" s="120">
        <v>1.23</v>
      </c>
      <c r="L82" s="120">
        <v>1.23</v>
      </c>
      <c r="M82" s="120">
        <v>1.23</v>
      </c>
      <c r="N82" s="120">
        <v>1.24</v>
      </c>
    </row>
    <row r="83" spans="1:14" ht="13.25" customHeight="1">
      <c r="A83" s="73" t="s">
        <v>46</v>
      </c>
      <c r="B83" s="120">
        <v>1.31</v>
      </c>
      <c r="C83" s="120">
        <v>1.31</v>
      </c>
      <c r="D83" s="120">
        <v>1.31</v>
      </c>
      <c r="E83" s="120">
        <v>1.31</v>
      </c>
      <c r="F83" s="120">
        <v>1.31</v>
      </c>
      <c r="G83" s="120">
        <v>1.31</v>
      </c>
      <c r="H83" s="120">
        <v>1.31</v>
      </c>
      <c r="I83" s="120">
        <v>1.31</v>
      </c>
      <c r="J83" s="120">
        <v>1.31</v>
      </c>
      <c r="K83" s="120">
        <v>1.31</v>
      </c>
      <c r="L83" s="120">
        <v>1.31</v>
      </c>
      <c r="M83" s="120">
        <v>1.31</v>
      </c>
      <c r="N83" s="120">
        <v>1.31</v>
      </c>
    </row>
    <row r="84" spans="1:14" ht="13.25" customHeight="1">
      <c r="A84" s="73" t="s">
        <v>47</v>
      </c>
      <c r="B84" s="120">
        <v>1.85</v>
      </c>
      <c r="C84" s="120">
        <v>1.84</v>
      </c>
      <c r="D84" s="120">
        <v>1.84</v>
      </c>
      <c r="E84" s="120">
        <v>1.84</v>
      </c>
      <c r="F84" s="120">
        <v>1.85</v>
      </c>
      <c r="G84" s="120">
        <v>1.85</v>
      </c>
      <c r="H84" s="120">
        <v>1.85</v>
      </c>
      <c r="I84" s="120">
        <v>1.85</v>
      </c>
      <c r="J84" s="120">
        <v>1.85</v>
      </c>
      <c r="K84" s="120">
        <v>1.85</v>
      </c>
      <c r="L84" s="120">
        <v>1.85</v>
      </c>
      <c r="M84" s="120">
        <v>1.85</v>
      </c>
      <c r="N84" s="120">
        <v>1.85</v>
      </c>
    </row>
    <row r="85" spans="1:14" ht="13.25" customHeight="1">
      <c r="A85" s="73" t="s">
        <v>48</v>
      </c>
      <c r="B85" s="120">
        <v>1.53</v>
      </c>
      <c r="C85" s="120">
        <v>1.53</v>
      </c>
      <c r="D85" s="120">
        <v>1.53</v>
      </c>
      <c r="E85" s="120">
        <v>1.53</v>
      </c>
      <c r="F85" s="120">
        <v>1.53</v>
      </c>
      <c r="G85" s="120">
        <v>1.53</v>
      </c>
      <c r="H85" s="120">
        <v>1.53</v>
      </c>
      <c r="I85" s="120">
        <v>1.53</v>
      </c>
      <c r="J85" s="120">
        <v>1.53</v>
      </c>
      <c r="K85" s="120">
        <v>1.53</v>
      </c>
      <c r="L85" s="120">
        <v>1.53</v>
      </c>
      <c r="M85" s="120">
        <v>1.54</v>
      </c>
      <c r="N85" s="120">
        <v>1.53</v>
      </c>
    </row>
    <row r="86" spans="1:14" ht="13.25" customHeight="1" thickBot="1">
      <c r="A86" s="121" t="s">
        <v>49</v>
      </c>
      <c r="B86" s="125">
        <v>1.54</v>
      </c>
      <c r="C86" s="122">
        <v>1.53</v>
      </c>
      <c r="D86" s="122">
        <v>1.53</v>
      </c>
      <c r="E86" s="122">
        <v>1.54</v>
      </c>
      <c r="F86" s="122">
        <v>1.55</v>
      </c>
      <c r="G86" s="122">
        <v>1.55</v>
      </c>
      <c r="H86" s="122">
        <v>1.55</v>
      </c>
      <c r="I86" s="122">
        <v>1.55</v>
      </c>
      <c r="J86" s="122">
        <v>1.55</v>
      </c>
      <c r="K86" s="122">
        <v>1.55</v>
      </c>
      <c r="L86" s="122">
        <v>1.58</v>
      </c>
      <c r="M86" s="122">
        <v>1.49</v>
      </c>
      <c r="N86" s="125">
        <v>1.49</v>
      </c>
    </row>
    <row r="87" spans="1:14" ht="13.25" customHeight="1">
      <c r="A87" s="9" t="s">
        <v>360</v>
      </c>
      <c r="B87" s="123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</row>
    <row r="88" spans="1:14" ht="13.25" customHeight="1">
      <c r="A88" s="9" t="s">
        <v>359</v>
      </c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26"/>
      <c r="N88" s="126"/>
    </row>
    <row r="89" spans="1:14" ht="13.25" customHeight="1">
      <c r="A89" s="11" t="s">
        <v>358</v>
      </c>
    </row>
    <row r="90" spans="1:14" ht="13.25" customHeight="1">
      <c r="A90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 r:id="rId1"/>
  <headerFooter scaleWithDoc="0"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111">
    <tabColor theme="9" tint="0.59999389629810485"/>
  </sheetPr>
  <dimension ref="A1:AB91"/>
  <sheetViews>
    <sheetView showGridLines="0" topLeftCell="A2" zoomScaleNormal="100" workbookViewId="0">
      <selection activeCell="N7" sqref="N7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8" ht="17" customHeight="1">
      <c r="A1" s="418" t="s">
        <v>606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8" ht="13.25" customHeight="1">
      <c r="A2" s="448" t="s">
        <v>399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8" ht="4.25" customHeight="1" thickBot="1">
      <c r="A3" s="111"/>
      <c r="B3" s="109"/>
      <c r="C3" s="109"/>
      <c r="D3" s="109"/>
      <c r="E3" s="109"/>
      <c r="F3" s="109"/>
      <c r="G3" s="112"/>
      <c r="H3" s="111"/>
      <c r="I3" s="109"/>
      <c r="J3" s="109"/>
      <c r="K3" s="109"/>
      <c r="L3" s="109"/>
      <c r="M3" s="109"/>
      <c r="N3" s="109"/>
    </row>
    <row r="4" spans="1:28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8" ht="15" customHeight="1">
      <c r="A5" s="723" t="s">
        <v>103</v>
      </c>
      <c r="B5" s="724">
        <v>14.72</v>
      </c>
      <c r="C5" s="724">
        <v>14.9</v>
      </c>
      <c r="D5" s="724">
        <v>14.78</v>
      </c>
      <c r="E5" s="724">
        <v>14.8</v>
      </c>
      <c r="F5" s="724">
        <v>13.38</v>
      </c>
      <c r="G5" s="724">
        <v>13.5</v>
      </c>
      <c r="H5" s="724">
        <v>13.77</v>
      </c>
      <c r="I5" s="724">
        <v>13.55</v>
      </c>
      <c r="J5" s="724">
        <v>13.76</v>
      </c>
      <c r="K5" s="724">
        <v>14.09</v>
      </c>
      <c r="L5" s="724">
        <v>14.42</v>
      </c>
      <c r="M5" s="724">
        <v>14.77</v>
      </c>
      <c r="N5" s="724">
        <v>14.75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</row>
    <row r="6" spans="1:28" ht="12" customHeight="1">
      <c r="A6" s="73" t="s">
        <v>21</v>
      </c>
      <c r="B6" s="728">
        <v>0</v>
      </c>
      <c r="C6" s="411">
        <v>0</v>
      </c>
      <c r="D6" s="411">
        <v>0</v>
      </c>
      <c r="E6" s="411">
        <v>0</v>
      </c>
      <c r="F6" s="411">
        <v>0</v>
      </c>
      <c r="G6" s="411">
        <v>0</v>
      </c>
      <c r="H6" s="411">
        <v>0</v>
      </c>
      <c r="I6" s="411">
        <v>0</v>
      </c>
      <c r="J6" s="411">
        <v>0</v>
      </c>
      <c r="K6" s="411">
        <v>0</v>
      </c>
      <c r="L6" s="411">
        <v>0</v>
      </c>
      <c r="M6" s="411">
        <v>0</v>
      </c>
      <c r="N6" s="411">
        <v>0</v>
      </c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</row>
    <row r="7" spans="1:28" ht="12" customHeight="1">
      <c r="A7" s="73" t="s">
        <v>22</v>
      </c>
      <c r="B7" s="728">
        <v>12.91</v>
      </c>
      <c r="C7" s="411">
        <v>0</v>
      </c>
      <c r="D7" s="411">
        <v>0</v>
      </c>
      <c r="E7" s="411">
        <v>0</v>
      </c>
      <c r="F7" s="411">
        <v>12.89</v>
      </c>
      <c r="G7" s="411">
        <v>12.94</v>
      </c>
      <c r="H7" s="411">
        <v>0</v>
      </c>
      <c r="I7" s="411">
        <v>0</v>
      </c>
      <c r="J7" s="411">
        <v>0</v>
      </c>
      <c r="K7" s="411">
        <v>0</v>
      </c>
      <c r="L7" s="411">
        <v>0</v>
      </c>
      <c r="M7" s="411">
        <v>0</v>
      </c>
      <c r="N7" s="411">
        <v>0</v>
      </c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 spans="1:28" ht="12" customHeight="1">
      <c r="A8" s="73" t="s">
        <v>23</v>
      </c>
      <c r="B8" s="728">
        <v>0</v>
      </c>
      <c r="C8" s="411">
        <v>0</v>
      </c>
      <c r="D8" s="411">
        <v>0</v>
      </c>
      <c r="E8" s="411">
        <v>0</v>
      </c>
      <c r="F8" s="411">
        <v>0</v>
      </c>
      <c r="G8" s="411">
        <v>0</v>
      </c>
      <c r="H8" s="411">
        <v>0</v>
      </c>
      <c r="I8" s="411">
        <v>0</v>
      </c>
      <c r="J8" s="411">
        <v>0</v>
      </c>
      <c r="K8" s="411">
        <v>0</v>
      </c>
      <c r="L8" s="411">
        <v>0</v>
      </c>
      <c r="M8" s="411">
        <v>0</v>
      </c>
      <c r="N8" s="411">
        <v>0</v>
      </c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</row>
    <row r="9" spans="1:28" ht="12" customHeight="1">
      <c r="A9" s="73" t="s">
        <v>24</v>
      </c>
      <c r="B9" s="728">
        <v>13.33</v>
      </c>
      <c r="C9" s="411">
        <v>0</v>
      </c>
      <c r="D9" s="411">
        <v>0</v>
      </c>
      <c r="E9" s="411">
        <v>0</v>
      </c>
      <c r="F9" s="411">
        <v>12.91</v>
      </c>
      <c r="G9" s="415">
        <v>12.73</v>
      </c>
      <c r="H9" s="415">
        <v>12.4</v>
      </c>
      <c r="I9" s="415">
        <v>12.14</v>
      </c>
      <c r="J9" s="415">
        <v>13.25</v>
      </c>
      <c r="K9" s="411">
        <v>0</v>
      </c>
      <c r="L9" s="415">
        <v>14.62</v>
      </c>
      <c r="M9" s="415">
        <v>13.57</v>
      </c>
      <c r="N9" s="415">
        <v>14.75</v>
      </c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</row>
    <row r="10" spans="1:28" ht="12" customHeight="1">
      <c r="A10" s="73" t="s">
        <v>25</v>
      </c>
      <c r="B10" s="728">
        <v>0</v>
      </c>
      <c r="C10" s="411">
        <v>0</v>
      </c>
      <c r="D10" s="411">
        <v>0</v>
      </c>
      <c r="E10" s="411">
        <v>0</v>
      </c>
      <c r="F10" s="411">
        <v>0</v>
      </c>
      <c r="G10" s="411">
        <v>0</v>
      </c>
      <c r="H10" s="411">
        <v>0</v>
      </c>
      <c r="I10" s="411">
        <v>0</v>
      </c>
      <c r="J10" s="411">
        <v>0</v>
      </c>
      <c r="K10" s="411">
        <v>0</v>
      </c>
      <c r="L10" s="411">
        <v>0</v>
      </c>
      <c r="M10" s="411">
        <v>0</v>
      </c>
      <c r="N10" s="411">
        <v>0</v>
      </c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</row>
    <row r="11" spans="1:28" ht="12" customHeight="1">
      <c r="A11" s="73" t="s">
        <v>97</v>
      </c>
      <c r="B11" s="728">
        <v>0</v>
      </c>
      <c r="C11" s="411">
        <v>0</v>
      </c>
      <c r="D11" s="411">
        <v>0</v>
      </c>
      <c r="E11" s="411">
        <v>0</v>
      </c>
      <c r="F11" s="411">
        <v>0</v>
      </c>
      <c r="G11" s="411">
        <v>0</v>
      </c>
      <c r="H11" s="411">
        <v>0</v>
      </c>
      <c r="I11" s="411">
        <v>0</v>
      </c>
      <c r="J11" s="411">
        <v>0</v>
      </c>
      <c r="K11" s="411">
        <v>0</v>
      </c>
      <c r="L11" s="411">
        <v>0</v>
      </c>
      <c r="M11" s="411">
        <v>0</v>
      </c>
      <c r="N11" s="411">
        <v>0</v>
      </c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</row>
    <row r="12" spans="1:28" ht="12" customHeight="1">
      <c r="A12" s="73" t="s">
        <v>98</v>
      </c>
      <c r="B12" s="728">
        <v>0</v>
      </c>
      <c r="C12" s="411">
        <v>0</v>
      </c>
      <c r="D12" s="411">
        <v>0</v>
      </c>
      <c r="E12" s="411">
        <v>0</v>
      </c>
      <c r="F12" s="411">
        <v>0</v>
      </c>
      <c r="G12" s="411">
        <v>0</v>
      </c>
      <c r="H12" s="411">
        <v>0</v>
      </c>
      <c r="I12" s="411">
        <v>0</v>
      </c>
      <c r="J12" s="411">
        <v>0</v>
      </c>
      <c r="K12" s="411">
        <v>0</v>
      </c>
      <c r="L12" s="411">
        <v>0</v>
      </c>
      <c r="M12" s="411">
        <v>0</v>
      </c>
      <c r="N12" s="411">
        <v>0</v>
      </c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</row>
    <row r="13" spans="1:28" ht="12" customHeight="1">
      <c r="A13" s="73" t="s">
        <v>127</v>
      </c>
      <c r="B13" s="728">
        <v>0</v>
      </c>
      <c r="C13" s="411">
        <v>0</v>
      </c>
      <c r="D13" s="411">
        <v>0</v>
      </c>
      <c r="E13" s="411">
        <v>0</v>
      </c>
      <c r="F13" s="411">
        <v>0</v>
      </c>
      <c r="G13" s="411">
        <v>0</v>
      </c>
      <c r="H13" s="411">
        <v>0</v>
      </c>
      <c r="I13" s="411">
        <v>0</v>
      </c>
      <c r="J13" s="411">
        <v>0</v>
      </c>
      <c r="K13" s="411">
        <v>0</v>
      </c>
      <c r="L13" s="411">
        <v>0</v>
      </c>
      <c r="M13" s="411">
        <v>0</v>
      </c>
      <c r="N13" s="411">
        <v>0</v>
      </c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</row>
    <row r="14" spans="1:28" ht="12" customHeight="1">
      <c r="A14" s="73" t="s">
        <v>29</v>
      </c>
      <c r="B14" s="728">
        <v>0</v>
      </c>
      <c r="C14" s="411">
        <v>0</v>
      </c>
      <c r="D14" s="411">
        <v>0</v>
      </c>
      <c r="E14" s="411">
        <v>0</v>
      </c>
      <c r="F14" s="411">
        <v>0</v>
      </c>
      <c r="G14" s="411">
        <v>0</v>
      </c>
      <c r="H14" s="411">
        <v>0</v>
      </c>
      <c r="I14" s="411">
        <v>0</v>
      </c>
      <c r="J14" s="411">
        <v>0</v>
      </c>
      <c r="K14" s="411">
        <v>0</v>
      </c>
      <c r="L14" s="411">
        <v>0</v>
      </c>
      <c r="M14" s="411">
        <v>0</v>
      </c>
      <c r="N14" s="411">
        <v>0</v>
      </c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</row>
    <row r="15" spans="1:28" ht="12" customHeight="1">
      <c r="A15" s="73" t="s">
        <v>30</v>
      </c>
      <c r="B15" s="728">
        <v>0</v>
      </c>
      <c r="C15" s="411">
        <v>0</v>
      </c>
      <c r="D15" s="411">
        <v>0</v>
      </c>
      <c r="E15" s="411">
        <v>0</v>
      </c>
      <c r="F15" s="411">
        <v>0</v>
      </c>
      <c r="G15" s="411">
        <v>0</v>
      </c>
      <c r="H15" s="411">
        <v>0</v>
      </c>
      <c r="I15" s="411">
        <v>0</v>
      </c>
      <c r="J15" s="411">
        <v>0</v>
      </c>
      <c r="K15" s="411">
        <v>0</v>
      </c>
      <c r="L15" s="411">
        <v>0</v>
      </c>
      <c r="M15" s="411">
        <v>0</v>
      </c>
      <c r="N15" s="411">
        <v>0</v>
      </c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</row>
    <row r="16" spans="1:28" ht="12" customHeight="1">
      <c r="A16" s="73" t="s">
        <v>31</v>
      </c>
      <c r="B16" s="728">
        <v>13.77</v>
      </c>
      <c r="C16" s="411">
        <v>0</v>
      </c>
      <c r="D16" s="411">
        <v>0</v>
      </c>
      <c r="E16" s="411">
        <v>0</v>
      </c>
      <c r="F16" s="411">
        <v>13.75</v>
      </c>
      <c r="G16" s="411">
        <v>13.75</v>
      </c>
      <c r="H16" s="411">
        <v>13.8</v>
      </c>
      <c r="I16" s="411">
        <v>13.82</v>
      </c>
      <c r="J16" s="411">
        <v>13.81</v>
      </c>
      <c r="K16" s="411">
        <v>0</v>
      </c>
      <c r="L16" s="411">
        <v>0</v>
      </c>
      <c r="M16" s="411">
        <v>0</v>
      </c>
      <c r="N16" s="411">
        <v>0</v>
      </c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</row>
    <row r="17" spans="1:28" ht="12" customHeight="1">
      <c r="A17" s="73" t="s">
        <v>32</v>
      </c>
      <c r="B17" s="728">
        <v>0</v>
      </c>
      <c r="C17" s="411">
        <v>0</v>
      </c>
      <c r="D17" s="411">
        <v>0</v>
      </c>
      <c r="E17" s="411">
        <v>0</v>
      </c>
      <c r="F17" s="411">
        <v>0</v>
      </c>
      <c r="G17" s="411">
        <v>0</v>
      </c>
      <c r="H17" s="411">
        <v>0</v>
      </c>
      <c r="I17" s="411">
        <v>0</v>
      </c>
      <c r="J17" s="411">
        <v>0</v>
      </c>
      <c r="K17" s="411">
        <v>0</v>
      </c>
      <c r="L17" s="411">
        <v>0</v>
      </c>
      <c r="M17" s="411">
        <v>0</v>
      </c>
      <c r="N17" s="411">
        <v>0</v>
      </c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</row>
    <row r="18" spans="1:28" ht="12" customHeight="1">
      <c r="A18" s="73" t="s">
        <v>33</v>
      </c>
      <c r="B18" s="728">
        <v>13.75</v>
      </c>
      <c r="C18" s="411">
        <v>13.66</v>
      </c>
      <c r="D18" s="411">
        <v>13.69</v>
      </c>
      <c r="E18" s="411">
        <v>13.73</v>
      </c>
      <c r="F18" s="411">
        <v>13.75</v>
      </c>
      <c r="G18" s="411">
        <v>13.74</v>
      </c>
      <c r="H18" s="411">
        <v>13.76</v>
      </c>
      <c r="I18" s="411">
        <v>13.77</v>
      </c>
      <c r="J18" s="411">
        <v>13.76</v>
      </c>
      <c r="K18" s="411">
        <v>13.75</v>
      </c>
      <c r="L18" s="411">
        <v>13.77</v>
      </c>
      <c r="M18" s="411">
        <v>13.76</v>
      </c>
      <c r="N18" s="411">
        <v>13.78</v>
      </c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1:28" ht="12" customHeight="1">
      <c r="A19" s="73" t="s">
        <v>34</v>
      </c>
      <c r="B19" s="728">
        <v>14.42</v>
      </c>
      <c r="C19" s="411">
        <v>0</v>
      </c>
      <c r="D19" s="411">
        <v>0</v>
      </c>
      <c r="E19" s="411">
        <v>0</v>
      </c>
      <c r="F19" s="411">
        <v>0</v>
      </c>
      <c r="G19" s="411">
        <v>0</v>
      </c>
      <c r="H19" s="411">
        <v>0</v>
      </c>
      <c r="I19" s="411">
        <v>0</v>
      </c>
      <c r="J19" s="411">
        <v>0</v>
      </c>
      <c r="K19" s="411">
        <v>0</v>
      </c>
      <c r="L19" s="411">
        <v>14.3</v>
      </c>
      <c r="M19" s="411">
        <v>14.6</v>
      </c>
      <c r="N19" s="411">
        <v>14.2</v>
      </c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1:28" ht="12" customHeight="1">
      <c r="A20" s="73" t="s">
        <v>35</v>
      </c>
      <c r="B20" s="728">
        <v>13.97</v>
      </c>
      <c r="C20" s="411">
        <v>0</v>
      </c>
      <c r="D20" s="411">
        <v>0</v>
      </c>
      <c r="E20" s="411">
        <v>0</v>
      </c>
      <c r="F20" s="411">
        <v>0</v>
      </c>
      <c r="G20" s="411">
        <v>0</v>
      </c>
      <c r="H20" s="411">
        <v>0</v>
      </c>
      <c r="I20" s="411">
        <v>0</v>
      </c>
      <c r="J20" s="411">
        <v>0</v>
      </c>
      <c r="K20" s="411">
        <v>13.96</v>
      </c>
      <c r="L20" s="411">
        <v>13.98</v>
      </c>
      <c r="M20" s="411">
        <v>13.95</v>
      </c>
      <c r="N20" s="411">
        <v>13.96</v>
      </c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</row>
    <row r="21" spans="1:28" ht="12" customHeight="1">
      <c r="A21" s="73" t="s">
        <v>36</v>
      </c>
      <c r="B21" s="728">
        <v>13.92</v>
      </c>
      <c r="C21" s="411">
        <v>0</v>
      </c>
      <c r="D21" s="411">
        <v>13.87</v>
      </c>
      <c r="E21" s="411">
        <v>13.91</v>
      </c>
      <c r="F21" s="411">
        <v>13.96</v>
      </c>
      <c r="G21" s="411">
        <v>13.91</v>
      </c>
      <c r="H21" s="411">
        <v>13.95</v>
      </c>
      <c r="I21" s="411">
        <v>0</v>
      </c>
      <c r="J21" s="411">
        <v>0</v>
      </c>
      <c r="K21" s="411">
        <v>13.96</v>
      </c>
      <c r="L21" s="411">
        <v>13.91</v>
      </c>
      <c r="M21" s="411">
        <v>13.89</v>
      </c>
      <c r="N21" s="411">
        <v>13.91</v>
      </c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1:28" ht="12" customHeight="1">
      <c r="A22" s="73" t="s">
        <v>37</v>
      </c>
      <c r="B22" s="728">
        <v>16.54</v>
      </c>
      <c r="C22" s="411">
        <v>16.559999999999999</v>
      </c>
      <c r="D22" s="411">
        <v>16.510000000000002</v>
      </c>
      <c r="E22" s="411">
        <v>16.559999999999999</v>
      </c>
      <c r="F22" s="411">
        <v>0</v>
      </c>
      <c r="G22" s="411">
        <v>0</v>
      </c>
      <c r="H22" s="411">
        <v>0</v>
      </c>
      <c r="I22" s="411">
        <v>0</v>
      </c>
      <c r="J22" s="411">
        <v>0</v>
      </c>
      <c r="K22" s="411">
        <v>0</v>
      </c>
      <c r="L22" s="411">
        <v>0</v>
      </c>
      <c r="M22" s="411">
        <v>0</v>
      </c>
      <c r="N22" s="411">
        <v>16.510000000000002</v>
      </c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1:28" ht="12" customHeight="1">
      <c r="A23" s="73" t="s">
        <v>38</v>
      </c>
      <c r="B23" s="728">
        <v>14.79</v>
      </c>
      <c r="C23" s="411">
        <v>14.99</v>
      </c>
      <c r="D23" s="411">
        <v>14.9</v>
      </c>
      <c r="E23" s="411">
        <v>14.92</v>
      </c>
      <c r="F23" s="411">
        <v>14.93</v>
      </c>
      <c r="G23" s="411">
        <v>0</v>
      </c>
      <c r="H23" s="411">
        <v>0</v>
      </c>
      <c r="I23" s="411">
        <v>0</v>
      </c>
      <c r="J23" s="411">
        <v>0</v>
      </c>
      <c r="K23" s="411">
        <v>14.91</v>
      </c>
      <c r="L23" s="411">
        <v>14.79</v>
      </c>
      <c r="M23" s="411">
        <v>14.75</v>
      </c>
      <c r="N23" s="411">
        <v>14.75</v>
      </c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1:28" ht="12" customHeight="1">
      <c r="A24" s="73" t="s">
        <v>39</v>
      </c>
      <c r="B24" s="728">
        <v>14.85</v>
      </c>
      <c r="C24" s="411">
        <v>0</v>
      </c>
      <c r="D24" s="411">
        <v>0</v>
      </c>
      <c r="E24" s="411">
        <v>0</v>
      </c>
      <c r="F24" s="411">
        <v>0</v>
      </c>
      <c r="G24" s="411">
        <v>0</v>
      </c>
      <c r="H24" s="411">
        <v>0</v>
      </c>
      <c r="I24" s="411">
        <v>0</v>
      </c>
      <c r="J24" s="411">
        <v>0</v>
      </c>
      <c r="K24" s="411">
        <v>0</v>
      </c>
      <c r="L24" s="411">
        <v>14.86</v>
      </c>
      <c r="M24" s="411">
        <v>14.81</v>
      </c>
      <c r="N24" s="411">
        <v>0</v>
      </c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1:28" ht="12" customHeight="1">
      <c r="A25" s="73" t="s">
        <v>40</v>
      </c>
      <c r="B25" s="728">
        <v>13.1</v>
      </c>
      <c r="C25" s="411">
        <v>13.11</v>
      </c>
      <c r="D25" s="411">
        <v>13.08</v>
      </c>
      <c r="E25" s="411">
        <v>13.09</v>
      </c>
      <c r="F25" s="411">
        <v>13.14</v>
      </c>
      <c r="G25" s="411">
        <v>13.11</v>
      </c>
      <c r="H25" s="411">
        <v>13.13</v>
      </c>
      <c r="I25" s="411">
        <v>0</v>
      </c>
      <c r="J25" s="411">
        <v>0</v>
      </c>
      <c r="K25" s="411">
        <v>0</v>
      </c>
      <c r="L25" s="411">
        <v>13.12</v>
      </c>
      <c r="M25" s="411">
        <v>13.07</v>
      </c>
      <c r="N25" s="411">
        <v>13.09</v>
      </c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1:28" ht="12" customHeight="1">
      <c r="A26" s="73" t="s">
        <v>41</v>
      </c>
      <c r="B26" s="728">
        <v>12.83</v>
      </c>
      <c r="C26" s="411">
        <v>12.87</v>
      </c>
      <c r="D26" s="411">
        <v>12.82</v>
      </c>
      <c r="E26" s="411">
        <v>12.85</v>
      </c>
      <c r="F26" s="411">
        <v>12.83</v>
      </c>
      <c r="G26" s="411">
        <v>12.81</v>
      </c>
      <c r="H26" s="411">
        <v>0</v>
      </c>
      <c r="I26" s="411">
        <v>0</v>
      </c>
      <c r="J26" s="411">
        <v>0</v>
      </c>
      <c r="K26" s="411">
        <v>0</v>
      </c>
      <c r="L26" s="411">
        <v>0</v>
      </c>
      <c r="M26" s="411">
        <v>12.8</v>
      </c>
      <c r="N26" s="411">
        <v>12.83</v>
      </c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1:28" ht="12" customHeight="1">
      <c r="A27" s="73" t="s">
        <v>100</v>
      </c>
      <c r="B27" s="728">
        <v>12.83</v>
      </c>
      <c r="C27" s="411">
        <v>12.85</v>
      </c>
      <c r="D27" s="411">
        <v>12.81</v>
      </c>
      <c r="E27" s="411">
        <v>12.85</v>
      </c>
      <c r="F27" s="411">
        <v>12.83</v>
      </c>
      <c r="G27" s="411">
        <v>0</v>
      </c>
      <c r="H27" s="411">
        <v>0</v>
      </c>
      <c r="I27" s="411">
        <v>0</v>
      </c>
      <c r="J27" s="411">
        <v>0</v>
      </c>
      <c r="K27" s="411">
        <v>0</v>
      </c>
      <c r="L27" s="411">
        <v>0</v>
      </c>
      <c r="M27" s="411">
        <v>12.8</v>
      </c>
      <c r="N27" s="411">
        <v>12.83</v>
      </c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1:28" ht="12" customHeight="1">
      <c r="A28" s="73" t="s">
        <v>101</v>
      </c>
      <c r="B28" s="728">
        <v>12.85</v>
      </c>
      <c r="C28" s="411">
        <v>12.89</v>
      </c>
      <c r="D28" s="411">
        <v>12.85</v>
      </c>
      <c r="E28" s="411">
        <v>12.83</v>
      </c>
      <c r="F28" s="411">
        <v>12.81</v>
      </c>
      <c r="G28" s="411">
        <v>12.81</v>
      </c>
      <c r="H28" s="411">
        <v>0</v>
      </c>
      <c r="I28" s="411">
        <v>0</v>
      </c>
      <c r="J28" s="411">
        <v>0</v>
      </c>
      <c r="K28" s="411">
        <v>0</v>
      </c>
      <c r="L28" s="411">
        <v>0</v>
      </c>
      <c r="M28" s="411">
        <v>0</v>
      </c>
      <c r="N28" s="411">
        <v>0</v>
      </c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1:28" ht="12" customHeight="1">
      <c r="A29" s="73" t="s">
        <v>44</v>
      </c>
      <c r="B29" s="728">
        <v>14.83</v>
      </c>
      <c r="C29" s="411">
        <v>14.81</v>
      </c>
      <c r="D29" s="411">
        <v>14.79</v>
      </c>
      <c r="E29" s="411">
        <v>14.83</v>
      </c>
      <c r="F29" s="411">
        <v>0</v>
      </c>
      <c r="G29" s="411">
        <v>0</v>
      </c>
      <c r="H29" s="411">
        <v>0</v>
      </c>
      <c r="I29" s="411">
        <v>0</v>
      </c>
      <c r="J29" s="411">
        <v>0</v>
      </c>
      <c r="K29" s="411">
        <v>0</v>
      </c>
      <c r="L29" s="411">
        <v>0</v>
      </c>
      <c r="M29" s="411">
        <v>14.84</v>
      </c>
      <c r="N29" s="411">
        <v>14.84</v>
      </c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1:28" ht="12" customHeight="1">
      <c r="A30" s="73" t="s">
        <v>45</v>
      </c>
      <c r="B30" s="728">
        <v>14.86</v>
      </c>
      <c r="C30" s="411">
        <v>14.86</v>
      </c>
      <c r="D30" s="415">
        <v>14.84</v>
      </c>
      <c r="E30" s="415">
        <v>14.86</v>
      </c>
      <c r="F30" s="411">
        <v>0</v>
      </c>
      <c r="G30" s="411">
        <v>0</v>
      </c>
      <c r="H30" s="411">
        <v>0</v>
      </c>
      <c r="I30" s="411">
        <v>0</v>
      </c>
      <c r="J30" s="411">
        <v>0</v>
      </c>
      <c r="K30" s="411">
        <v>0</v>
      </c>
      <c r="L30" s="411">
        <v>0</v>
      </c>
      <c r="M30" s="415">
        <v>14.86</v>
      </c>
      <c r="N30" s="415">
        <v>14.87</v>
      </c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1:28" ht="12" customHeight="1">
      <c r="A31" s="73" t="s">
        <v>46</v>
      </c>
      <c r="B31" s="728">
        <v>0</v>
      </c>
      <c r="C31" s="411">
        <v>0</v>
      </c>
      <c r="D31" s="411">
        <v>0</v>
      </c>
      <c r="E31" s="411">
        <v>0</v>
      </c>
      <c r="F31" s="411">
        <v>0</v>
      </c>
      <c r="G31" s="411">
        <v>0</v>
      </c>
      <c r="H31" s="411">
        <v>0</v>
      </c>
      <c r="I31" s="411">
        <v>0</v>
      </c>
      <c r="J31" s="411">
        <v>0</v>
      </c>
      <c r="K31" s="411">
        <v>0</v>
      </c>
      <c r="L31" s="411">
        <v>0</v>
      </c>
      <c r="M31" s="411">
        <v>0</v>
      </c>
      <c r="N31" s="411">
        <v>0</v>
      </c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1:28" ht="12" customHeight="1">
      <c r="A32" s="73" t="s">
        <v>47</v>
      </c>
      <c r="B32" s="728">
        <v>0</v>
      </c>
      <c r="C32" s="411">
        <v>0</v>
      </c>
      <c r="D32" s="411">
        <v>0</v>
      </c>
      <c r="E32" s="411">
        <v>0</v>
      </c>
      <c r="F32" s="411">
        <v>0</v>
      </c>
      <c r="G32" s="411">
        <v>0</v>
      </c>
      <c r="H32" s="411">
        <v>0</v>
      </c>
      <c r="I32" s="411">
        <v>0</v>
      </c>
      <c r="J32" s="411">
        <v>0</v>
      </c>
      <c r="K32" s="411">
        <v>0</v>
      </c>
      <c r="L32" s="411">
        <v>0</v>
      </c>
      <c r="M32" s="411">
        <v>0</v>
      </c>
      <c r="N32" s="411">
        <v>0</v>
      </c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1:28" ht="12" customHeight="1">
      <c r="A33" s="73" t="s">
        <v>48</v>
      </c>
      <c r="B33" s="728">
        <v>0</v>
      </c>
      <c r="C33" s="411">
        <v>0</v>
      </c>
      <c r="D33" s="411">
        <v>0</v>
      </c>
      <c r="E33" s="411">
        <v>0</v>
      </c>
      <c r="F33" s="411">
        <v>0</v>
      </c>
      <c r="G33" s="411">
        <v>0</v>
      </c>
      <c r="H33" s="411">
        <v>0</v>
      </c>
      <c r="I33" s="411">
        <v>0</v>
      </c>
      <c r="J33" s="411">
        <v>0</v>
      </c>
      <c r="K33" s="411">
        <v>0</v>
      </c>
      <c r="L33" s="411">
        <v>0</v>
      </c>
      <c r="M33" s="411">
        <v>0</v>
      </c>
      <c r="N33" s="411">
        <v>0</v>
      </c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1:28" ht="12" customHeight="1" thickBot="1">
      <c r="A34" s="121" t="s">
        <v>49</v>
      </c>
      <c r="B34" s="729">
        <v>0</v>
      </c>
      <c r="C34" s="412">
        <v>0</v>
      </c>
      <c r="D34" s="412">
        <v>0</v>
      </c>
      <c r="E34" s="412">
        <v>0</v>
      </c>
      <c r="F34" s="412">
        <v>0</v>
      </c>
      <c r="G34" s="412">
        <v>0</v>
      </c>
      <c r="H34" s="412">
        <v>0</v>
      </c>
      <c r="I34" s="412">
        <v>0</v>
      </c>
      <c r="J34" s="412">
        <v>0</v>
      </c>
      <c r="K34" s="412">
        <v>0</v>
      </c>
      <c r="L34" s="412">
        <v>0</v>
      </c>
      <c r="M34" s="412">
        <v>0</v>
      </c>
      <c r="N34" s="412">
        <v>0</v>
      </c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1:28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8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8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8" ht="13.25" customHeight="1">
      <c r="A38" s="865"/>
      <c r="B38" s="796"/>
      <c r="C38" s="796"/>
      <c r="D38" s="796"/>
    </row>
    <row r="39" spans="1:28" ht="13.25" customHeight="1">
      <c r="A39" s="24"/>
    </row>
    <row r="55" spans="1:14" ht="13.25" customHeight="1">
      <c r="A55" s="73" t="s">
        <v>356</v>
      </c>
    </row>
    <row r="56" spans="1:14" ht="13.25" customHeight="1">
      <c r="A56" s="73" t="s">
        <v>332</v>
      </c>
    </row>
    <row r="58" spans="1:14" ht="13.25" customHeight="1">
      <c r="A58" s="73" t="s">
        <v>130</v>
      </c>
      <c r="B58" s="73" t="s">
        <v>128</v>
      </c>
      <c r="C58" s="73" t="s">
        <v>78</v>
      </c>
      <c r="D58" s="73" t="s">
        <v>79</v>
      </c>
      <c r="E58" s="73" t="s">
        <v>80</v>
      </c>
      <c r="F58" s="73" t="s">
        <v>81</v>
      </c>
      <c r="G58" s="73" t="s">
        <v>82</v>
      </c>
      <c r="H58" s="73" t="s">
        <v>83</v>
      </c>
      <c r="I58" s="73" t="s">
        <v>84</v>
      </c>
      <c r="J58" s="73" t="s">
        <v>85</v>
      </c>
      <c r="K58" s="73" t="s">
        <v>86</v>
      </c>
      <c r="L58" s="73" t="s">
        <v>87</v>
      </c>
      <c r="M58" s="73" t="s">
        <v>88</v>
      </c>
      <c r="N58" s="73" t="s">
        <v>89</v>
      </c>
    </row>
    <row r="59" spans="1:14" ht="13.25" customHeight="1">
      <c r="A59" s="73" t="s">
        <v>103</v>
      </c>
      <c r="B59" s="120">
        <v>14.631479363308744</v>
      </c>
      <c r="C59" s="120">
        <v>14.704315126500443</v>
      </c>
      <c r="D59" s="120">
        <v>14.585047290351097</v>
      </c>
      <c r="E59" s="120">
        <v>14.552576159526204</v>
      </c>
      <c r="F59" s="120">
        <v>13.410162814063051</v>
      </c>
      <c r="G59" s="120">
        <v>14.372282742194335</v>
      </c>
      <c r="H59" s="120">
        <v>15.386853710593817</v>
      </c>
      <c r="I59" s="120">
        <v>13.766868280922154</v>
      </c>
      <c r="J59" s="120">
        <v>13.430421679742638</v>
      </c>
      <c r="K59" s="120">
        <v>14.208895674523099</v>
      </c>
      <c r="L59" s="120">
        <v>15.05991129013969</v>
      </c>
      <c r="M59" s="120">
        <v>14.730440765961383</v>
      </c>
      <c r="N59" s="120">
        <v>14.500973084043888</v>
      </c>
    </row>
    <row r="60" spans="1:14" ht="13.25" customHeight="1">
      <c r="A60" s="73" t="s">
        <v>21</v>
      </c>
      <c r="B60" s="120">
        <v>0</v>
      </c>
      <c r="C60" s="120">
        <v>0</v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120">
        <v>0</v>
      </c>
      <c r="L60" s="120">
        <v>0</v>
      </c>
      <c r="M60" s="120">
        <v>0</v>
      </c>
      <c r="N60" s="120">
        <v>0</v>
      </c>
    </row>
    <row r="61" spans="1:14" ht="13.25" customHeight="1">
      <c r="A61" s="73" t="s">
        <v>22</v>
      </c>
      <c r="B61" s="120">
        <v>12.84126716414794</v>
      </c>
      <c r="C61" s="120">
        <v>0</v>
      </c>
      <c r="D61" s="120">
        <v>0</v>
      </c>
      <c r="E61" s="120">
        <v>0</v>
      </c>
      <c r="F61" s="120">
        <v>12.803532008830024</v>
      </c>
      <c r="G61" s="120">
        <v>12.913907284768209</v>
      </c>
      <c r="H61" s="120">
        <v>0</v>
      </c>
      <c r="I61" s="120">
        <v>0</v>
      </c>
      <c r="J61" s="120">
        <v>0</v>
      </c>
      <c r="K61" s="120">
        <v>0</v>
      </c>
      <c r="L61" s="120">
        <v>0</v>
      </c>
      <c r="M61" s="120">
        <v>0</v>
      </c>
      <c r="N61" s="120">
        <v>0</v>
      </c>
    </row>
    <row r="62" spans="1:14" ht="13.25" customHeight="1">
      <c r="A62" s="73" t="s">
        <v>23</v>
      </c>
      <c r="B62" s="120">
        <v>0</v>
      </c>
      <c r="C62" s="120">
        <v>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</row>
    <row r="63" spans="1:14" ht="13.25" customHeight="1">
      <c r="A63" s="73" t="s">
        <v>24</v>
      </c>
      <c r="B63" s="120">
        <v>13.16091511204734</v>
      </c>
      <c r="C63" s="120">
        <v>0</v>
      </c>
      <c r="D63" s="120">
        <v>0</v>
      </c>
      <c r="E63" s="120">
        <v>0</v>
      </c>
      <c r="F63" s="120">
        <v>13.24503311258278</v>
      </c>
      <c r="G63" s="120">
        <v>13.200883002207505</v>
      </c>
      <c r="H63" s="120">
        <v>13.178807947019868</v>
      </c>
      <c r="I63" s="120">
        <v>13.203532008830022</v>
      </c>
      <c r="J63" s="120">
        <v>13.178807947019864</v>
      </c>
      <c r="K63" s="120">
        <v>0</v>
      </c>
      <c r="L63" s="120">
        <v>13.156732891832229</v>
      </c>
      <c r="M63" s="120">
        <v>13.134657836644591</v>
      </c>
      <c r="N63" s="120">
        <v>13.112582781456954</v>
      </c>
    </row>
    <row r="64" spans="1:14" ht="13.25" customHeight="1">
      <c r="A64" s="73" t="s">
        <v>25</v>
      </c>
      <c r="B64" s="120">
        <v>0</v>
      </c>
      <c r="C64" s="120">
        <v>0</v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L64" s="120">
        <v>0</v>
      </c>
      <c r="M64" s="120">
        <v>0</v>
      </c>
      <c r="N64" s="120">
        <v>0</v>
      </c>
    </row>
    <row r="65" spans="1:14" ht="13.25" customHeight="1">
      <c r="A65" s="73" t="s">
        <v>97</v>
      </c>
      <c r="B65" s="120">
        <v>0</v>
      </c>
      <c r="C65" s="120">
        <v>0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L65" s="120">
        <v>0</v>
      </c>
      <c r="M65" s="120">
        <v>0</v>
      </c>
      <c r="N65" s="120">
        <v>0</v>
      </c>
    </row>
    <row r="66" spans="1:14" ht="13.25" customHeight="1">
      <c r="A66" s="73" t="s">
        <v>98</v>
      </c>
      <c r="B66" s="120">
        <v>0</v>
      </c>
      <c r="C66" s="120">
        <v>0</v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L66" s="120">
        <v>0</v>
      </c>
      <c r="M66" s="120">
        <v>0</v>
      </c>
      <c r="N66" s="120">
        <v>0</v>
      </c>
    </row>
    <row r="67" spans="1:14" ht="13.25" customHeight="1">
      <c r="A67" s="73" t="s">
        <v>127</v>
      </c>
      <c r="B67" s="120">
        <v>0</v>
      </c>
      <c r="C67" s="120">
        <v>0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L67" s="120">
        <v>0</v>
      </c>
      <c r="M67" s="120">
        <v>0</v>
      </c>
      <c r="N67" s="120">
        <v>0</v>
      </c>
    </row>
    <row r="68" spans="1:14" ht="13.25" customHeight="1">
      <c r="A68" s="73" t="s">
        <v>29</v>
      </c>
      <c r="B68" s="120">
        <v>0</v>
      </c>
      <c r="C68" s="120">
        <v>0</v>
      </c>
      <c r="D68" s="120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L68" s="120">
        <v>0</v>
      </c>
      <c r="M68" s="120">
        <v>0</v>
      </c>
      <c r="N68" s="120">
        <v>0</v>
      </c>
    </row>
    <row r="69" spans="1:14" ht="13.25" customHeight="1">
      <c r="A69" s="73" t="s">
        <v>30</v>
      </c>
      <c r="B69" s="120">
        <v>0</v>
      </c>
      <c r="C69" s="120">
        <v>0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</row>
    <row r="70" spans="1:14" ht="13.25" customHeight="1">
      <c r="A70" s="73" t="s">
        <v>31</v>
      </c>
      <c r="B70" s="120">
        <v>14.063357323296762</v>
      </c>
      <c r="C70" s="120">
        <v>0</v>
      </c>
      <c r="D70" s="120">
        <v>13.907284768211918</v>
      </c>
      <c r="E70" s="120">
        <v>0</v>
      </c>
      <c r="F70" s="120">
        <v>14.017660044150107</v>
      </c>
      <c r="G70" s="120">
        <v>14.083885209713026</v>
      </c>
      <c r="H70" s="120">
        <v>14.105960264900663</v>
      </c>
      <c r="I70" s="120">
        <v>14.150110375275938</v>
      </c>
      <c r="J70" s="120">
        <v>0</v>
      </c>
      <c r="K70" s="120">
        <v>0</v>
      </c>
      <c r="L70" s="120">
        <v>0</v>
      </c>
      <c r="M70" s="120">
        <v>0</v>
      </c>
      <c r="N70" s="120">
        <v>0</v>
      </c>
    </row>
    <row r="71" spans="1:14" ht="13.25" customHeight="1">
      <c r="A71" s="73" t="s">
        <v>32</v>
      </c>
      <c r="B71" s="120">
        <v>0</v>
      </c>
      <c r="C71" s="120">
        <v>0</v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0</v>
      </c>
      <c r="N71" s="120">
        <v>0</v>
      </c>
    </row>
    <row r="72" spans="1:14" ht="13.25" customHeight="1">
      <c r="A72" s="73" t="s">
        <v>33</v>
      </c>
      <c r="B72" s="120">
        <v>12.686453621744029</v>
      </c>
      <c r="C72" s="120">
        <v>9.0949227373068435</v>
      </c>
      <c r="D72" s="120">
        <v>13.642384105960264</v>
      </c>
      <c r="E72" s="120">
        <v>13.620309050772628</v>
      </c>
      <c r="F72" s="120">
        <v>13.752759381898453</v>
      </c>
      <c r="G72" s="120">
        <v>13.620309050772626</v>
      </c>
      <c r="H72" s="120">
        <v>13.68653421633554</v>
      </c>
      <c r="I72" s="120">
        <v>13.730684326710817</v>
      </c>
      <c r="J72" s="120">
        <v>13.708609271523176</v>
      </c>
      <c r="K72" s="120">
        <v>13.730684326710817</v>
      </c>
      <c r="L72" s="120">
        <v>13.752759381898455</v>
      </c>
      <c r="M72" s="120">
        <v>13.708609271523178</v>
      </c>
      <c r="N72" s="120">
        <v>13.730684326710815</v>
      </c>
    </row>
    <row r="73" spans="1:14" ht="13.25" customHeight="1">
      <c r="A73" s="73" t="s">
        <v>34</v>
      </c>
      <c r="B73" s="120">
        <v>13.503220907610405</v>
      </c>
      <c r="C73" s="120">
        <v>0</v>
      </c>
      <c r="D73" s="120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120">
        <v>0</v>
      </c>
      <c r="L73" s="120">
        <v>12.913907284768213</v>
      </c>
      <c r="M73" s="120">
        <v>13.642384105960264</v>
      </c>
      <c r="N73" s="120">
        <v>13.620309050772624</v>
      </c>
    </row>
    <row r="74" spans="1:14" ht="13.25" customHeight="1">
      <c r="A74" s="73" t="s">
        <v>35</v>
      </c>
      <c r="B74" s="120">
        <v>15.311655857170331</v>
      </c>
      <c r="C74" s="120">
        <v>0</v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120">
        <v>0</v>
      </c>
      <c r="L74" s="120">
        <v>15.540838852097126</v>
      </c>
      <c r="M74" s="120">
        <v>15.56291390728477</v>
      </c>
      <c r="N74" s="120">
        <v>11.147902869757173</v>
      </c>
    </row>
    <row r="75" spans="1:14" ht="13.25" customHeight="1">
      <c r="A75" s="73" t="s">
        <v>36</v>
      </c>
      <c r="B75" s="120">
        <v>15.782211655557033</v>
      </c>
      <c r="C75" s="120">
        <v>0</v>
      </c>
      <c r="D75" s="120">
        <v>15.783664459161146</v>
      </c>
      <c r="E75" s="120">
        <v>15.805739514348785</v>
      </c>
      <c r="F75" s="120">
        <v>15.78366445916115</v>
      </c>
      <c r="G75" s="120">
        <v>15.739514348785875</v>
      </c>
      <c r="H75" s="120">
        <v>15.78366445916115</v>
      </c>
      <c r="I75" s="120">
        <v>0</v>
      </c>
      <c r="J75" s="120">
        <v>0</v>
      </c>
      <c r="K75" s="120">
        <v>15.805739514348785</v>
      </c>
      <c r="L75" s="120">
        <v>15.827814569536423</v>
      </c>
      <c r="M75" s="120">
        <v>15.849889624724064</v>
      </c>
      <c r="N75" s="120">
        <v>15.83664459161148</v>
      </c>
    </row>
    <row r="76" spans="1:14" ht="13.25" customHeight="1">
      <c r="A76" s="73" t="s">
        <v>37</v>
      </c>
      <c r="B76" s="120">
        <v>17.02312124368456</v>
      </c>
      <c r="C76" s="120">
        <v>17.019867549668874</v>
      </c>
      <c r="D76" s="120">
        <v>16.997792494481235</v>
      </c>
      <c r="E76" s="120">
        <v>17.041942604856509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120">
        <v>0</v>
      </c>
      <c r="L76" s="120">
        <v>0</v>
      </c>
      <c r="M76" s="120">
        <v>0</v>
      </c>
      <c r="N76" s="120">
        <v>17.041942604856512</v>
      </c>
    </row>
    <row r="77" spans="1:14" ht="13.25" customHeight="1">
      <c r="A77" s="73" t="s">
        <v>38</v>
      </c>
      <c r="B77" s="120">
        <v>15.060566608810296</v>
      </c>
      <c r="C77" s="120">
        <v>14.67991169977925</v>
      </c>
      <c r="D77" s="120">
        <v>15.011037527593817</v>
      </c>
      <c r="E77" s="120">
        <v>15.055187637969095</v>
      </c>
      <c r="F77" s="120">
        <v>15.099337748344368</v>
      </c>
      <c r="G77" s="120">
        <v>0</v>
      </c>
      <c r="H77" s="120">
        <v>0</v>
      </c>
      <c r="I77" s="120">
        <v>0</v>
      </c>
      <c r="J77" s="120">
        <v>15.121412803532007</v>
      </c>
      <c r="K77" s="120">
        <v>15.18763796909492</v>
      </c>
      <c r="L77" s="120">
        <v>15.121412803532007</v>
      </c>
      <c r="M77" s="120">
        <v>15.099337748344368</v>
      </c>
      <c r="N77" s="120">
        <v>14.856512141280353</v>
      </c>
    </row>
    <row r="78" spans="1:14" ht="13.25" customHeight="1">
      <c r="A78" s="73" t="s">
        <v>39</v>
      </c>
      <c r="B78" s="120">
        <v>15.429763390753056</v>
      </c>
      <c r="C78" s="120">
        <v>0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L78" s="120">
        <v>15.894039735099337</v>
      </c>
      <c r="M78" s="120">
        <v>15.011037527593817</v>
      </c>
      <c r="N78" s="120">
        <v>0</v>
      </c>
    </row>
    <row r="79" spans="1:14" ht="13.25" customHeight="1">
      <c r="A79" s="73" t="s">
        <v>40</v>
      </c>
      <c r="B79" s="120">
        <v>13.004055454780735</v>
      </c>
      <c r="C79" s="120">
        <v>12.913907284768209</v>
      </c>
      <c r="D79" s="120">
        <v>12.935982339955851</v>
      </c>
      <c r="E79" s="120">
        <v>12.958057395143488</v>
      </c>
      <c r="F79" s="120">
        <v>13.024282560706403</v>
      </c>
      <c r="G79" s="120">
        <v>12.980132450331126</v>
      </c>
      <c r="H79" s="120">
        <v>13.024282560706402</v>
      </c>
      <c r="I79" s="120">
        <v>0</v>
      </c>
      <c r="J79" s="120">
        <v>13.046357615894038</v>
      </c>
      <c r="K79" s="120">
        <v>13.090507726269315</v>
      </c>
      <c r="L79" s="120">
        <v>13.134657836644591</v>
      </c>
      <c r="M79" s="120">
        <v>13.090507726269315</v>
      </c>
      <c r="N79" s="120">
        <v>13.068432671081675</v>
      </c>
    </row>
    <row r="80" spans="1:14" ht="13.25" customHeight="1">
      <c r="A80" s="73" t="s">
        <v>41</v>
      </c>
      <c r="B80" s="120">
        <v>12.553090088009814</v>
      </c>
      <c r="C80" s="120">
        <v>12.338858774977533</v>
      </c>
      <c r="D80" s="120">
        <v>12.397840876853147</v>
      </c>
      <c r="E80" s="120">
        <v>12.445889354488886</v>
      </c>
      <c r="F80" s="120">
        <v>12.43639210224635</v>
      </c>
      <c r="G80" s="120">
        <v>12.494481236203089</v>
      </c>
      <c r="H80" s="120">
        <v>0</v>
      </c>
      <c r="I80" s="120">
        <v>0</v>
      </c>
      <c r="J80" s="120">
        <v>0</v>
      </c>
      <c r="K80" s="120">
        <v>0</v>
      </c>
      <c r="L80" s="120">
        <v>0</v>
      </c>
      <c r="M80" s="120">
        <v>13.046357615894038</v>
      </c>
      <c r="N80" s="120">
        <v>13.024282560706403</v>
      </c>
    </row>
    <row r="81" spans="1:14" ht="13.25" customHeight="1">
      <c r="A81" s="73" t="s">
        <v>100</v>
      </c>
      <c r="B81" s="120">
        <v>12.595529379004882</v>
      </c>
      <c r="C81" s="120">
        <v>12.362030905077262</v>
      </c>
      <c r="D81" s="120">
        <v>12.406181015452537</v>
      </c>
      <c r="E81" s="120">
        <v>12.450331125827816</v>
      </c>
      <c r="F81" s="120">
        <v>12.428256070640174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L81" s="120">
        <v>0</v>
      </c>
      <c r="M81" s="120">
        <v>13.046357615894038</v>
      </c>
      <c r="N81" s="120">
        <v>13.024282560706403</v>
      </c>
    </row>
    <row r="82" spans="1:14" ht="13.25" customHeight="1">
      <c r="A82" s="73" t="s">
        <v>101</v>
      </c>
      <c r="B82" s="120">
        <v>12.377227550640423</v>
      </c>
      <c r="C82" s="120">
        <v>12.317880794701988</v>
      </c>
      <c r="D82" s="120">
        <v>12.362030905077262</v>
      </c>
      <c r="E82" s="120">
        <v>12.428256070640176</v>
      </c>
      <c r="F82" s="120">
        <v>12.472406181015453</v>
      </c>
      <c r="G82" s="120">
        <v>12.494481236203089</v>
      </c>
      <c r="H82" s="120">
        <v>0</v>
      </c>
      <c r="I82" s="120">
        <v>0</v>
      </c>
      <c r="J82" s="120">
        <v>0</v>
      </c>
      <c r="K82" s="120">
        <v>0</v>
      </c>
      <c r="L82" s="120">
        <v>0</v>
      </c>
      <c r="M82" s="120">
        <v>0</v>
      </c>
      <c r="N82" s="120">
        <v>0</v>
      </c>
    </row>
    <row r="83" spans="1:14" ht="13.25" customHeight="1">
      <c r="A83" s="73" t="s">
        <v>44</v>
      </c>
      <c r="B83" s="120">
        <v>14.4426319650981</v>
      </c>
      <c r="C83" s="120">
        <v>14.569536423841058</v>
      </c>
      <c r="D83" s="120">
        <v>14.525386313465786</v>
      </c>
      <c r="E83" s="120">
        <v>14.569536423841061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120">
        <v>0</v>
      </c>
      <c r="L83" s="120">
        <v>0</v>
      </c>
      <c r="M83" s="120">
        <v>14.348785871964681</v>
      </c>
      <c r="N83" s="120">
        <v>14.392935982339955</v>
      </c>
    </row>
    <row r="84" spans="1:14" ht="13.25" customHeight="1">
      <c r="A84" s="73" t="s">
        <v>45</v>
      </c>
      <c r="B84" s="120">
        <v>14.678794355596526</v>
      </c>
      <c r="C84" s="120">
        <v>14.419072847682118</v>
      </c>
      <c r="D84" s="120">
        <v>14.470975717439295</v>
      </c>
      <c r="E84" s="120">
        <v>14.531055187637969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120">
        <v>0</v>
      </c>
      <c r="L84" s="120">
        <v>0</v>
      </c>
      <c r="M84" s="120">
        <v>14.803249448123619</v>
      </c>
      <c r="N84" s="120">
        <v>14.826030905077262</v>
      </c>
    </row>
    <row r="85" spans="1:14" ht="13.25" customHeight="1">
      <c r="A85" s="73" t="s">
        <v>46</v>
      </c>
      <c r="B85" s="120">
        <v>0</v>
      </c>
      <c r="C85" s="120">
        <v>0</v>
      </c>
      <c r="D85" s="120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120">
        <v>0</v>
      </c>
      <c r="L85" s="120">
        <v>0</v>
      </c>
      <c r="M85" s="120">
        <v>0</v>
      </c>
      <c r="N85" s="120">
        <v>0</v>
      </c>
    </row>
    <row r="86" spans="1:14" ht="13.25" customHeight="1">
      <c r="A86" s="73" t="s">
        <v>47</v>
      </c>
      <c r="B86" s="120">
        <v>0</v>
      </c>
      <c r="C86" s="120">
        <v>0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120">
        <v>0</v>
      </c>
      <c r="L86" s="120">
        <v>0</v>
      </c>
      <c r="M86" s="120">
        <v>0</v>
      </c>
      <c r="N86" s="120">
        <v>0</v>
      </c>
    </row>
    <row r="87" spans="1:14" ht="13.25" customHeight="1">
      <c r="A87" s="73" t="s">
        <v>48</v>
      </c>
      <c r="B87" s="120">
        <v>0</v>
      </c>
      <c r="C87" s="120">
        <v>0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120">
        <v>0</v>
      </c>
      <c r="L87" s="120">
        <v>0</v>
      </c>
      <c r="M87" s="120">
        <v>0</v>
      </c>
      <c r="N87" s="120">
        <v>0</v>
      </c>
    </row>
    <row r="88" spans="1:14" ht="13.25" customHeight="1">
      <c r="A88" s="73" t="s">
        <v>49</v>
      </c>
      <c r="B88" s="120">
        <v>0</v>
      </c>
      <c r="C88" s="120">
        <v>0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120">
        <v>0</v>
      </c>
      <c r="L88" s="120">
        <v>0</v>
      </c>
      <c r="M88" s="120">
        <v>0</v>
      </c>
      <c r="N88" s="120">
        <v>0</v>
      </c>
    </row>
    <row r="89" spans="1:14" ht="13.25" customHeight="1">
      <c r="A89" s="73" t="s">
        <v>360</v>
      </c>
    </row>
    <row r="90" spans="1:14" ht="13.25" customHeight="1">
      <c r="A90" s="73" t="s">
        <v>359</v>
      </c>
    </row>
    <row r="91" spans="1:14" ht="13.25" customHeight="1">
      <c r="A91" s="73" t="s">
        <v>353</v>
      </c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Hoja112">
    <tabColor theme="9" tint="0.59999389629810485"/>
  </sheetPr>
  <dimension ref="A1:AA92"/>
  <sheetViews>
    <sheetView showGridLines="0" zoomScaleNormal="100" workbookViewId="0"/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7" ht="17" customHeight="1">
      <c r="A1" s="418" t="s">
        <v>605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7" ht="13.25" customHeight="1">
      <c r="A2" s="448" t="s">
        <v>399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7" ht="4.25" customHeight="1" thickBot="1">
      <c r="A3" s="112"/>
      <c r="B3" s="113"/>
      <c r="C3" s="114"/>
      <c r="D3" s="113"/>
      <c r="E3" s="113"/>
      <c r="F3" s="113"/>
      <c r="G3" s="113"/>
      <c r="H3" s="113"/>
      <c r="I3" s="113"/>
      <c r="J3" s="111"/>
      <c r="K3" s="111"/>
      <c r="L3" s="111"/>
      <c r="M3" s="111"/>
      <c r="N3" s="111"/>
    </row>
    <row r="4" spans="1:27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7" ht="15" customHeight="1">
      <c r="A5" s="723" t="s">
        <v>103</v>
      </c>
      <c r="B5" s="724">
        <v>6.46</v>
      </c>
      <c r="C5" s="724">
        <v>6.65</v>
      </c>
      <c r="D5" s="724">
        <v>6.34</v>
      </c>
      <c r="E5" s="724">
        <v>6.41</v>
      </c>
      <c r="F5" s="724">
        <v>5.99</v>
      </c>
      <c r="G5" s="724">
        <v>6.34</v>
      </c>
      <c r="H5" s="724">
        <v>6.7</v>
      </c>
      <c r="I5" s="724">
        <v>6.34</v>
      </c>
      <c r="J5" s="725">
        <v>0</v>
      </c>
      <c r="K5" s="725">
        <v>6.85</v>
      </c>
      <c r="L5" s="724">
        <v>6.91</v>
      </c>
      <c r="M5" s="724">
        <v>6.4</v>
      </c>
      <c r="N5" s="724">
        <v>6.59</v>
      </c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ht="12" customHeight="1">
      <c r="A6" s="73" t="s">
        <v>21</v>
      </c>
      <c r="B6" s="728">
        <v>0</v>
      </c>
      <c r="C6" s="411">
        <v>0</v>
      </c>
      <c r="D6" s="411">
        <v>0</v>
      </c>
      <c r="E6" s="411">
        <v>0</v>
      </c>
      <c r="F6" s="411">
        <v>0</v>
      </c>
      <c r="G6" s="411">
        <v>0</v>
      </c>
      <c r="H6" s="411">
        <v>0</v>
      </c>
      <c r="I6" s="411">
        <v>0</v>
      </c>
      <c r="J6" s="411">
        <v>0</v>
      </c>
      <c r="K6" s="411">
        <v>0</v>
      </c>
      <c r="L6" s="411">
        <v>0</v>
      </c>
      <c r="M6" s="411">
        <v>0</v>
      </c>
      <c r="N6" s="411">
        <v>0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 spans="1:27" ht="12" customHeight="1">
      <c r="A7" s="73" t="s">
        <v>22</v>
      </c>
      <c r="B7" s="728">
        <v>0</v>
      </c>
      <c r="C7" s="411">
        <v>0</v>
      </c>
      <c r="D7" s="411">
        <v>0</v>
      </c>
      <c r="E7" s="411">
        <v>0</v>
      </c>
      <c r="F7" s="411">
        <v>0</v>
      </c>
      <c r="G7" s="411">
        <v>0</v>
      </c>
      <c r="H7" s="411">
        <v>0</v>
      </c>
      <c r="I7" s="411">
        <v>0</v>
      </c>
      <c r="J7" s="411">
        <v>0</v>
      </c>
      <c r="K7" s="411">
        <v>0</v>
      </c>
      <c r="L7" s="411">
        <v>0</v>
      </c>
      <c r="M7" s="411">
        <v>0</v>
      </c>
      <c r="N7" s="411">
        <v>0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 spans="1:27" ht="12" customHeight="1">
      <c r="A8" s="73" t="s">
        <v>23</v>
      </c>
      <c r="B8" s="728">
        <v>0</v>
      </c>
      <c r="C8" s="411">
        <v>0</v>
      </c>
      <c r="D8" s="411">
        <v>0</v>
      </c>
      <c r="E8" s="411">
        <v>0</v>
      </c>
      <c r="F8" s="411">
        <v>0</v>
      </c>
      <c r="G8" s="411">
        <v>0</v>
      </c>
      <c r="H8" s="411">
        <v>0</v>
      </c>
      <c r="I8" s="411">
        <v>0</v>
      </c>
      <c r="J8" s="411">
        <v>0</v>
      </c>
      <c r="K8" s="411">
        <v>0</v>
      </c>
      <c r="L8" s="411">
        <v>0</v>
      </c>
      <c r="M8" s="411">
        <v>0</v>
      </c>
      <c r="N8" s="411">
        <v>0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 spans="1:27" ht="12" customHeight="1">
      <c r="A9" s="73" t="s">
        <v>24</v>
      </c>
      <c r="B9" s="728">
        <v>0</v>
      </c>
      <c r="C9" s="411">
        <v>0</v>
      </c>
      <c r="D9" s="411">
        <v>0</v>
      </c>
      <c r="E9" s="411">
        <v>0</v>
      </c>
      <c r="F9" s="411">
        <v>0</v>
      </c>
      <c r="G9" s="411">
        <v>0</v>
      </c>
      <c r="H9" s="411">
        <v>0</v>
      </c>
      <c r="I9" s="411">
        <v>0</v>
      </c>
      <c r="J9" s="411">
        <v>0</v>
      </c>
      <c r="K9" s="411">
        <v>0</v>
      </c>
      <c r="L9" s="411">
        <v>0</v>
      </c>
      <c r="M9" s="411">
        <v>0</v>
      </c>
      <c r="N9" s="411">
        <v>0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 spans="1:27" ht="12" customHeight="1">
      <c r="A10" s="73" t="s">
        <v>25</v>
      </c>
      <c r="B10" s="728">
        <v>0</v>
      </c>
      <c r="C10" s="411">
        <v>0</v>
      </c>
      <c r="D10" s="411">
        <v>0</v>
      </c>
      <c r="E10" s="411">
        <v>0</v>
      </c>
      <c r="F10" s="411">
        <v>0</v>
      </c>
      <c r="G10" s="411">
        <v>0</v>
      </c>
      <c r="H10" s="411">
        <v>0</v>
      </c>
      <c r="I10" s="411">
        <v>0</v>
      </c>
      <c r="J10" s="411">
        <v>0</v>
      </c>
      <c r="K10" s="411">
        <v>0</v>
      </c>
      <c r="L10" s="411">
        <v>0</v>
      </c>
      <c r="M10" s="411">
        <v>0</v>
      </c>
      <c r="N10" s="411">
        <v>0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 spans="1:27" ht="12" customHeight="1">
      <c r="A11" s="73" t="s">
        <v>97</v>
      </c>
      <c r="B11" s="728">
        <v>0</v>
      </c>
      <c r="C11" s="411">
        <v>0</v>
      </c>
      <c r="D11" s="411">
        <v>0</v>
      </c>
      <c r="E11" s="411">
        <v>0</v>
      </c>
      <c r="F11" s="411">
        <v>0</v>
      </c>
      <c r="G11" s="411">
        <v>0</v>
      </c>
      <c r="H11" s="411">
        <v>0</v>
      </c>
      <c r="I11" s="411">
        <v>0</v>
      </c>
      <c r="J11" s="411">
        <v>0</v>
      </c>
      <c r="K11" s="411">
        <v>0</v>
      </c>
      <c r="L11" s="411">
        <v>0</v>
      </c>
      <c r="M11" s="411">
        <v>0</v>
      </c>
      <c r="N11" s="411">
        <v>0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 spans="1:27" ht="12" customHeight="1">
      <c r="A12" s="73" t="s">
        <v>98</v>
      </c>
      <c r="B12" s="728">
        <v>0</v>
      </c>
      <c r="C12" s="411">
        <v>0</v>
      </c>
      <c r="D12" s="411">
        <v>0</v>
      </c>
      <c r="E12" s="411">
        <v>0</v>
      </c>
      <c r="F12" s="411">
        <v>0</v>
      </c>
      <c r="G12" s="411">
        <v>0</v>
      </c>
      <c r="H12" s="411">
        <v>0</v>
      </c>
      <c r="I12" s="411">
        <v>0</v>
      </c>
      <c r="J12" s="411">
        <v>0</v>
      </c>
      <c r="K12" s="411">
        <v>0</v>
      </c>
      <c r="L12" s="411">
        <v>0</v>
      </c>
      <c r="M12" s="411">
        <v>0</v>
      </c>
      <c r="N12" s="411">
        <v>0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 spans="1:27" ht="12" customHeight="1">
      <c r="A13" s="73" t="s">
        <v>127</v>
      </c>
      <c r="B13" s="728">
        <v>0</v>
      </c>
      <c r="C13" s="411">
        <v>0</v>
      </c>
      <c r="D13" s="411">
        <v>0</v>
      </c>
      <c r="E13" s="411">
        <v>0</v>
      </c>
      <c r="F13" s="411">
        <v>0</v>
      </c>
      <c r="G13" s="411">
        <v>0</v>
      </c>
      <c r="H13" s="411">
        <v>0</v>
      </c>
      <c r="I13" s="411">
        <v>0</v>
      </c>
      <c r="J13" s="411">
        <v>0</v>
      </c>
      <c r="K13" s="411">
        <v>0</v>
      </c>
      <c r="L13" s="411">
        <v>0</v>
      </c>
      <c r="M13" s="411">
        <v>0</v>
      </c>
      <c r="N13" s="411">
        <v>0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 spans="1:27" ht="12" customHeight="1">
      <c r="A14" s="73" t="s">
        <v>29</v>
      </c>
      <c r="B14" s="728">
        <v>0</v>
      </c>
      <c r="C14" s="411">
        <v>0</v>
      </c>
      <c r="D14" s="411">
        <v>0</v>
      </c>
      <c r="E14" s="411">
        <v>0</v>
      </c>
      <c r="F14" s="411">
        <v>0</v>
      </c>
      <c r="G14" s="411">
        <v>0</v>
      </c>
      <c r="H14" s="411">
        <v>0</v>
      </c>
      <c r="I14" s="411">
        <v>0</v>
      </c>
      <c r="J14" s="411">
        <v>0</v>
      </c>
      <c r="K14" s="411">
        <v>0</v>
      </c>
      <c r="L14" s="411">
        <v>0</v>
      </c>
      <c r="M14" s="411">
        <v>0</v>
      </c>
      <c r="N14" s="411">
        <v>0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 spans="1:27" ht="12" customHeight="1">
      <c r="A15" s="73" t="s">
        <v>30</v>
      </c>
      <c r="B15" s="728">
        <v>0</v>
      </c>
      <c r="C15" s="411">
        <v>0</v>
      </c>
      <c r="D15" s="411">
        <v>0</v>
      </c>
      <c r="E15" s="411">
        <v>0</v>
      </c>
      <c r="F15" s="411">
        <v>0</v>
      </c>
      <c r="G15" s="411">
        <v>0</v>
      </c>
      <c r="H15" s="411">
        <v>0</v>
      </c>
      <c r="I15" s="411">
        <v>0</v>
      </c>
      <c r="J15" s="411">
        <v>0</v>
      </c>
      <c r="K15" s="411">
        <v>0</v>
      </c>
      <c r="L15" s="411">
        <v>0</v>
      </c>
      <c r="M15" s="411">
        <v>0</v>
      </c>
      <c r="N15" s="411">
        <v>0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spans="1:27" ht="12" customHeight="1">
      <c r="A16" s="73" t="s">
        <v>31</v>
      </c>
      <c r="B16" s="728">
        <v>6.39</v>
      </c>
      <c r="C16" s="411">
        <v>0</v>
      </c>
      <c r="D16" s="411">
        <v>0</v>
      </c>
      <c r="E16" s="411">
        <v>6.4</v>
      </c>
      <c r="F16" s="411">
        <v>6.45</v>
      </c>
      <c r="G16" s="411">
        <v>6.36</v>
      </c>
      <c r="H16" s="411">
        <v>6.36</v>
      </c>
      <c r="I16" s="411">
        <v>6.34</v>
      </c>
      <c r="J16" s="411">
        <v>0</v>
      </c>
      <c r="K16" s="411">
        <v>0</v>
      </c>
      <c r="L16" s="411">
        <v>0</v>
      </c>
      <c r="M16" s="411">
        <v>0</v>
      </c>
      <c r="N16" s="411">
        <v>0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 spans="1:27" ht="12" customHeight="1">
      <c r="A17" s="73" t="s">
        <v>32</v>
      </c>
      <c r="B17" s="728">
        <v>0</v>
      </c>
      <c r="C17" s="411">
        <v>0</v>
      </c>
      <c r="D17" s="411">
        <v>0</v>
      </c>
      <c r="E17" s="411">
        <v>0</v>
      </c>
      <c r="F17" s="411">
        <v>0</v>
      </c>
      <c r="G17" s="411">
        <v>0</v>
      </c>
      <c r="H17" s="411">
        <v>0</v>
      </c>
      <c r="I17" s="411">
        <v>0</v>
      </c>
      <c r="J17" s="411">
        <v>0</v>
      </c>
      <c r="K17" s="411">
        <v>0</v>
      </c>
      <c r="L17" s="411">
        <v>0</v>
      </c>
      <c r="M17" s="411">
        <v>0</v>
      </c>
      <c r="N17" s="411">
        <v>0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spans="1:27" ht="12" customHeight="1">
      <c r="A18" s="73" t="s">
        <v>33</v>
      </c>
      <c r="B18" s="728">
        <v>0</v>
      </c>
      <c r="C18" s="411">
        <v>0</v>
      </c>
      <c r="D18" s="411">
        <v>0</v>
      </c>
      <c r="E18" s="411">
        <v>0</v>
      </c>
      <c r="F18" s="411">
        <v>0</v>
      </c>
      <c r="G18" s="411">
        <v>0</v>
      </c>
      <c r="H18" s="411">
        <v>0</v>
      </c>
      <c r="I18" s="411">
        <v>0</v>
      </c>
      <c r="J18" s="411">
        <v>0</v>
      </c>
      <c r="K18" s="411">
        <v>0</v>
      </c>
      <c r="L18" s="411">
        <v>0</v>
      </c>
      <c r="M18" s="411">
        <v>0</v>
      </c>
      <c r="N18" s="411">
        <v>0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 spans="1:27" ht="12" customHeight="1">
      <c r="A19" s="73" t="s">
        <v>34</v>
      </c>
      <c r="B19" s="728">
        <v>7.51</v>
      </c>
      <c r="C19" s="411">
        <v>0</v>
      </c>
      <c r="D19" s="411">
        <v>0</v>
      </c>
      <c r="E19" s="411">
        <v>0</v>
      </c>
      <c r="F19" s="411">
        <v>0</v>
      </c>
      <c r="G19" s="411">
        <v>0</v>
      </c>
      <c r="H19" s="411">
        <v>0</v>
      </c>
      <c r="I19" s="411">
        <v>0</v>
      </c>
      <c r="J19" s="411">
        <v>0</v>
      </c>
      <c r="K19" s="411">
        <v>0</v>
      </c>
      <c r="L19" s="411">
        <v>7.44</v>
      </c>
      <c r="M19" s="411">
        <v>7.48</v>
      </c>
      <c r="N19" s="411">
        <v>7.6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spans="1:27" ht="12" customHeight="1">
      <c r="A20" s="73" t="s">
        <v>35</v>
      </c>
      <c r="B20" s="728">
        <v>6.85</v>
      </c>
      <c r="C20" s="411">
        <v>0</v>
      </c>
      <c r="D20" s="411">
        <v>0</v>
      </c>
      <c r="E20" s="411">
        <v>0</v>
      </c>
      <c r="F20" s="411">
        <v>0</v>
      </c>
      <c r="G20" s="411">
        <v>0</v>
      </c>
      <c r="H20" s="411">
        <v>0</v>
      </c>
      <c r="I20" s="411">
        <v>0</v>
      </c>
      <c r="J20" s="411">
        <v>0</v>
      </c>
      <c r="K20" s="411">
        <v>6.84</v>
      </c>
      <c r="L20" s="411">
        <v>6.87</v>
      </c>
      <c r="M20" s="411">
        <v>6.84</v>
      </c>
      <c r="N20" s="411">
        <v>6.85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 spans="1:27" ht="12" customHeight="1">
      <c r="A21" s="73" t="s">
        <v>36</v>
      </c>
      <c r="B21" s="728">
        <v>6.88</v>
      </c>
      <c r="C21" s="411">
        <v>0</v>
      </c>
      <c r="D21" s="411">
        <v>6.9</v>
      </c>
      <c r="E21" s="411">
        <v>6.91</v>
      </c>
      <c r="F21" s="411">
        <v>6.93</v>
      </c>
      <c r="G21" s="411">
        <v>6.84</v>
      </c>
      <c r="H21" s="411">
        <v>6.85</v>
      </c>
      <c r="I21" s="411">
        <v>0</v>
      </c>
      <c r="J21" s="411">
        <v>0</v>
      </c>
      <c r="K21" s="411">
        <v>0</v>
      </c>
      <c r="L21" s="411">
        <v>0</v>
      </c>
      <c r="M21" s="411">
        <v>6.82</v>
      </c>
      <c r="N21" s="411">
        <v>6.84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 spans="1:27" ht="12" customHeight="1">
      <c r="A22" s="73" t="s">
        <v>37</v>
      </c>
      <c r="B22" s="728">
        <v>7.2</v>
      </c>
      <c r="C22" s="411">
        <v>7.2</v>
      </c>
      <c r="D22" s="411">
        <v>7.18</v>
      </c>
      <c r="E22" s="411">
        <v>7.2</v>
      </c>
      <c r="F22" s="411">
        <v>0</v>
      </c>
      <c r="G22" s="411">
        <v>0</v>
      </c>
      <c r="H22" s="411">
        <v>0</v>
      </c>
      <c r="I22" s="411">
        <v>0</v>
      </c>
      <c r="J22" s="411">
        <v>0</v>
      </c>
      <c r="K22" s="411">
        <v>0</v>
      </c>
      <c r="L22" s="411">
        <v>0</v>
      </c>
      <c r="M22" s="411">
        <v>0</v>
      </c>
      <c r="N22" s="411">
        <v>7.24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1:27" ht="12" customHeight="1">
      <c r="A23" s="73" t="s">
        <v>38</v>
      </c>
      <c r="B23" s="728">
        <v>6.94</v>
      </c>
      <c r="C23" s="411">
        <v>0</v>
      </c>
      <c r="D23" s="411">
        <v>0</v>
      </c>
      <c r="E23" s="411">
        <v>0</v>
      </c>
      <c r="F23" s="411">
        <v>0</v>
      </c>
      <c r="G23" s="411">
        <v>0</v>
      </c>
      <c r="H23" s="411">
        <v>0</v>
      </c>
      <c r="I23" s="411">
        <v>0</v>
      </c>
      <c r="J23" s="411">
        <v>0</v>
      </c>
      <c r="K23" s="411">
        <v>6.95</v>
      </c>
      <c r="L23" s="411">
        <v>6.94</v>
      </c>
      <c r="M23" s="411">
        <v>6.93</v>
      </c>
      <c r="N23" s="411">
        <v>6.95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1:27" ht="12" customHeight="1">
      <c r="A24" s="73" t="s">
        <v>39</v>
      </c>
      <c r="B24" s="728">
        <v>0</v>
      </c>
      <c r="C24" s="411">
        <v>0</v>
      </c>
      <c r="D24" s="411">
        <v>0</v>
      </c>
      <c r="E24" s="411">
        <v>0</v>
      </c>
      <c r="F24" s="411">
        <v>0</v>
      </c>
      <c r="G24" s="411">
        <v>0</v>
      </c>
      <c r="H24" s="411">
        <v>0</v>
      </c>
      <c r="I24" s="411">
        <v>0</v>
      </c>
      <c r="J24" s="411">
        <v>0</v>
      </c>
      <c r="K24" s="411">
        <v>0</v>
      </c>
      <c r="L24" s="411">
        <v>0</v>
      </c>
      <c r="M24" s="411">
        <v>0</v>
      </c>
      <c r="N24" s="411">
        <v>0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1:27" ht="12" customHeight="1">
      <c r="A25" s="73" t="s">
        <v>40</v>
      </c>
      <c r="B25" s="728">
        <v>6.09</v>
      </c>
      <c r="C25" s="411">
        <v>0</v>
      </c>
      <c r="D25" s="411">
        <v>6.08</v>
      </c>
      <c r="E25" s="411">
        <v>6.1</v>
      </c>
      <c r="F25" s="411">
        <v>6.14</v>
      </c>
      <c r="G25" s="411">
        <v>6.06</v>
      </c>
      <c r="H25" s="411">
        <v>6.03</v>
      </c>
      <c r="I25" s="411">
        <v>0</v>
      </c>
      <c r="J25" s="411">
        <v>0</v>
      </c>
      <c r="K25" s="411">
        <v>0</v>
      </c>
      <c r="L25" s="411">
        <v>0</v>
      </c>
      <c r="M25" s="411">
        <v>6.01</v>
      </c>
      <c r="N25" s="411">
        <v>6.01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1:27" ht="12" customHeight="1">
      <c r="A26" s="73" t="s">
        <v>41</v>
      </c>
      <c r="B26" s="728">
        <v>5.81</v>
      </c>
      <c r="C26" s="411">
        <v>5.82</v>
      </c>
      <c r="D26" s="411">
        <v>5.8</v>
      </c>
      <c r="E26" s="411">
        <v>5.8</v>
      </c>
      <c r="F26" s="411">
        <v>5.85</v>
      </c>
      <c r="G26" s="411">
        <v>5.75</v>
      </c>
      <c r="H26" s="411">
        <v>0</v>
      </c>
      <c r="I26" s="411">
        <v>0</v>
      </c>
      <c r="J26" s="411">
        <v>0</v>
      </c>
      <c r="K26" s="411">
        <v>0</v>
      </c>
      <c r="L26" s="411">
        <v>0</v>
      </c>
      <c r="M26" s="411">
        <v>5.74</v>
      </c>
      <c r="N26" s="411">
        <v>5.78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1:27" ht="12" customHeight="1">
      <c r="A27" s="73" t="s">
        <v>100</v>
      </c>
      <c r="B27" s="728">
        <v>5.81</v>
      </c>
      <c r="C27" s="411">
        <v>5.78</v>
      </c>
      <c r="D27" s="411">
        <v>5.81</v>
      </c>
      <c r="E27" s="411">
        <v>5.81</v>
      </c>
      <c r="F27" s="411">
        <v>5.85</v>
      </c>
      <c r="G27" s="411">
        <v>5.76</v>
      </c>
      <c r="H27" s="411">
        <v>0</v>
      </c>
      <c r="I27" s="411">
        <v>0</v>
      </c>
      <c r="J27" s="411">
        <v>0</v>
      </c>
      <c r="K27" s="411">
        <v>0</v>
      </c>
      <c r="L27" s="411">
        <v>0</v>
      </c>
      <c r="M27" s="411">
        <v>5.74</v>
      </c>
      <c r="N27" s="411">
        <v>5.78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1:27" ht="12" customHeight="1">
      <c r="A28" s="73" t="s">
        <v>101</v>
      </c>
      <c r="B28" s="728">
        <v>5.8</v>
      </c>
      <c r="C28" s="411">
        <v>5.83</v>
      </c>
      <c r="D28" s="411">
        <v>5.79</v>
      </c>
      <c r="E28" s="411">
        <v>5.79</v>
      </c>
      <c r="F28" s="411">
        <v>5.81</v>
      </c>
      <c r="G28" s="411">
        <v>5.75</v>
      </c>
      <c r="H28" s="411">
        <v>0</v>
      </c>
      <c r="I28" s="411">
        <v>0</v>
      </c>
      <c r="J28" s="411">
        <v>0</v>
      </c>
      <c r="K28" s="411">
        <v>0</v>
      </c>
      <c r="L28" s="411">
        <v>0</v>
      </c>
      <c r="M28" s="411">
        <v>0</v>
      </c>
      <c r="N28" s="411">
        <v>0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 spans="1:27" ht="12" customHeight="1">
      <c r="A29" s="73" t="s">
        <v>44</v>
      </c>
      <c r="B29" s="728">
        <v>6.64</v>
      </c>
      <c r="C29" s="411">
        <v>6.62</v>
      </c>
      <c r="D29" s="411">
        <v>6.67</v>
      </c>
      <c r="E29" s="411">
        <v>6.7</v>
      </c>
      <c r="F29" s="411">
        <v>0</v>
      </c>
      <c r="G29" s="411">
        <v>0</v>
      </c>
      <c r="H29" s="411">
        <v>0</v>
      </c>
      <c r="I29" s="411">
        <v>0</v>
      </c>
      <c r="J29" s="411">
        <v>0</v>
      </c>
      <c r="K29" s="411">
        <v>0</v>
      </c>
      <c r="L29" s="411">
        <v>0</v>
      </c>
      <c r="M29" s="411">
        <v>6.64</v>
      </c>
      <c r="N29" s="411">
        <v>6.69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 spans="1:27" ht="12" customHeight="1">
      <c r="A30" s="73" t="s">
        <v>45</v>
      </c>
      <c r="B30" s="728">
        <v>6.3</v>
      </c>
      <c r="C30" s="411">
        <v>0</v>
      </c>
      <c r="D30" s="411">
        <v>6.27</v>
      </c>
      <c r="E30" s="411">
        <v>6.34</v>
      </c>
      <c r="F30" s="411">
        <v>0</v>
      </c>
      <c r="G30" s="411">
        <v>0</v>
      </c>
      <c r="H30" s="411">
        <v>0</v>
      </c>
      <c r="I30" s="411">
        <v>0</v>
      </c>
      <c r="J30" s="411">
        <v>0</v>
      </c>
      <c r="K30" s="411">
        <v>0</v>
      </c>
      <c r="L30" s="411">
        <v>0</v>
      </c>
      <c r="M30" s="411">
        <v>6.3</v>
      </c>
      <c r="N30" s="411">
        <v>6.31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 spans="1:27" ht="12" customHeight="1">
      <c r="A31" s="73" t="s">
        <v>46</v>
      </c>
      <c r="B31" s="728">
        <v>0</v>
      </c>
      <c r="C31" s="411">
        <v>0</v>
      </c>
      <c r="D31" s="411">
        <v>0</v>
      </c>
      <c r="E31" s="411">
        <v>0</v>
      </c>
      <c r="F31" s="411">
        <v>0</v>
      </c>
      <c r="G31" s="411">
        <v>0</v>
      </c>
      <c r="H31" s="411">
        <v>0</v>
      </c>
      <c r="I31" s="411">
        <v>0</v>
      </c>
      <c r="J31" s="411">
        <v>0</v>
      </c>
      <c r="K31" s="411">
        <v>0</v>
      </c>
      <c r="L31" s="411">
        <v>0</v>
      </c>
      <c r="M31" s="411">
        <v>0</v>
      </c>
      <c r="N31" s="411">
        <v>0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 spans="1:27" ht="12" customHeight="1">
      <c r="A32" s="73" t="s">
        <v>47</v>
      </c>
      <c r="B32" s="728">
        <v>0</v>
      </c>
      <c r="C32" s="411">
        <v>0</v>
      </c>
      <c r="D32" s="411">
        <v>0</v>
      </c>
      <c r="E32" s="411">
        <v>0</v>
      </c>
      <c r="F32" s="411">
        <v>0</v>
      </c>
      <c r="G32" s="411">
        <v>0</v>
      </c>
      <c r="H32" s="411">
        <v>0</v>
      </c>
      <c r="I32" s="411">
        <v>0</v>
      </c>
      <c r="J32" s="411">
        <v>0</v>
      </c>
      <c r="K32" s="411">
        <v>0</v>
      </c>
      <c r="L32" s="411">
        <v>0</v>
      </c>
      <c r="M32" s="411">
        <v>0</v>
      </c>
      <c r="N32" s="411">
        <v>0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 spans="1:27" ht="12" customHeight="1">
      <c r="A33" s="73" t="s">
        <v>48</v>
      </c>
      <c r="B33" s="728">
        <v>0</v>
      </c>
      <c r="C33" s="411">
        <v>0</v>
      </c>
      <c r="D33" s="411">
        <v>0</v>
      </c>
      <c r="E33" s="411">
        <v>0</v>
      </c>
      <c r="F33" s="411">
        <v>0</v>
      </c>
      <c r="G33" s="411">
        <v>0</v>
      </c>
      <c r="H33" s="411">
        <v>0</v>
      </c>
      <c r="I33" s="411">
        <v>0</v>
      </c>
      <c r="J33" s="411">
        <v>0</v>
      </c>
      <c r="K33" s="411">
        <v>0</v>
      </c>
      <c r="L33" s="411">
        <v>0</v>
      </c>
      <c r="M33" s="411">
        <v>0</v>
      </c>
      <c r="N33" s="411">
        <v>0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 spans="1:27" ht="12" customHeight="1" thickBot="1">
      <c r="A34" s="121" t="s">
        <v>49</v>
      </c>
      <c r="B34" s="729">
        <v>0</v>
      </c>
      <c r="C34" s="412">
        <v>0</v>
      </c>
      <c r="D34" s="412">
        <v>0</v>
      </c>
      <c r="E34" s="412">
        <v>0</v>
      </c>
      <c r="F34" s="412">
        <v>0</v>
      </c>
      <c r="G34" s="412">
        <v>0</v>
      </c>
      <c r="H34" s="412">
        <v>0</v>
      </c>
      <c r="I34" s="412">
        <v>0</v>
      </c>
      <c r="J34" s="412">
        <v>0</v>
      </c>
      <c r="K34" s="412">
        <v>0</v>
      </c>
      <c r="L34" s="412">
        <v>0</v>
      </c>
      <c r="M34" s="412">
        <v>0</v>
      </c>
      <c r="N34" s="412">
        <v>0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 spans="1:27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7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7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7" ht="13.25" customHeight="1">
      <c r="A38" s="865"/>
      <c r="B38" s="796"/>
      <c r="C38" s="796"/>
      <c r="D38" s="796"/>
    </row>
    <row r="39" spans="1:27" ht="13.25" customHeight="1">
      <c r="A39" s="24"/>
    </row>
    <row r="55" spans="1:14" ht="13.25" customHeight="1">
      <c r="A55" s="8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</row>
    <row r="56" spans="1:14" ht="13.25" customHeight="1">
      <c r="A56" s="81"/>
      <c r="B56" s="109"/>
      <c r="C56" s="109"/>
      <c r="D56" s="109"/>
      <c r="E56" s="109"/>
      <c r="F56" s="109"/>
      <c r="G56" s="112"/>
      <c r="H56" s="111"/>
      <c r="I56" s="109"/>
      <c r="J56" s="109"/>
      <c r="K56" s="109"/>
      <c r="L56" s="109"/>
      <c r="M56" s="109"/>
      <c r="N56" s="109"/>
    </row>
    <row r="57" spans="1:14" ht="13.25" customHeight="1" thickBot="1">
      <c r="A57" s="112"/>
      <c r="B57" s="113"/>
      <c r="C57" s="114"/>
      <c r="D57" s="113"/>
      <c r="E57" s="113"/>
      <c r="F57" s="113"/>
      <c r="G57" s="113"/>
      <c r="H57" s="113"/>
      <c r="I57" s="113"/>
      <c r="J57" s="111"/>
      <c r="K57" s="111"/>
      <c r="L57" s="111"/>
      <c r="M57" s="111"/>
      <c r="N57" s="111"/>
    </row>
    <row r="58" spans="1:14" ht="13.25" customHeight="1">
      <c r="A58" s="115"/>
      <c r="B58" s="75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</row>
    <row r="59" spans="1:14" ht="13.25" customHeight="1">
      <c r="A59" s="117"/>
      <c r="B59" s="118"/>
      <c r="C59" s="118"/>
      <c r="D59" s="118"/>
      <c r="E59" s="118"/>
      <c r="F59" s="118"/>
      <c r="G59" s="118"/>
      <c r="H59" s="118"/>
      <c r="I59" s="118"/>
      <c r="J59" s="124"/>
      <c r="K59" s="124"/>
      <c r="L59" s="118"/>
      <c r="M59" s="118"/>
      <c r="N59" s="118"/>
    </row>
    <row r="60" spans="1:14" ht="13.25" customHeight="1"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</row>
    <row r="61" spans="1:14" ht="13.25" customHeight="1"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</row>
    <row r="62" spans="1:14" ht="13.25" customHeight="1"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</row>
    <row r="63" spans="1:14" ht="13.25" customHeight="1"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</row>
    <row r="64" spans="1:14" ht="13.25" customHeight="1"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</row>
    <row r="65" spans="2:14" ht="13.25" customHeight="1"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</row>
    <row r="66" spans="2:14" ht="13.25" customHeight="1"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</row>
    <row r="67" spans="2:14" ht="13.25" customHeight="1"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</row>
    <row r="68" spans="2:14" ht="13.25" customHeight="1"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</row>
    <row r="69" spans="2:14" ht="13.25" customHeight="1"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</row>
    <row r="70" spans="2:14" ht="13.25" customHeight="1">
      <c r="B70" s="120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</row>
    <row r="71" spans="2:14" ht="13.25" customHeight="1"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</row>
    <row r="72" spans="2:14" ht="13.25" customHeight="1"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</row>
    <row r="73" spans="2:14" ht="13.25" customHeight="1">
      <c r="B73" s="120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</row>
    <row r="74" spans="2:14" ht="13.25" customHeight="1">
      <c r="B74" s="120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</row>
    <row r="75" spans="2:14" ht="13.25" customHeight="1">
      <c r="B75" s="120"/>
      <c r="C75" s="120"/>
      <c r="D75" s="120"/>
      <c r="E75" s="120"/>
      <c r="F75" s="119"/>
      <c r="G75" s="119"/>
      <c r="H75" s="120"/>
      <c r="I75" s="119"/>
      <c r="J75" s="119"/>
      <c r="K75" s="119"/>
      <c r="L75" s="119"/>
      <c r="M75" s="119"/>
      <c r="N75" s="119"/>
    </row>
    <row r="76" spans="2:14" ht="13.25" customHeight="1">
      <c r="B76" s="120"/>
      <c r="C76" s="120"/>
      <c r="D76" s="120"/>
      <c r="E76" s="120"/>
      <c r="F76" s="119"/>
      <c r="G76" s="119"/>
      <c r="H76" s="119"/>
      <c r="I76" s="119"/>
      <c r="J76" s="119"/>
      <c r="K76" s="119"/>
      <c r="L76" s="119"/>
      <c r="M76" s="119"/>
      <c r="N76" s="120"/>
    </row>
    <row r="77" spans="2:14" ht="13.25" customHeight="1">
      <c r="B77" s="120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</row>
    <row r="78" spans="2:14" ht="13.25" customHeight="1"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</row>
    <row r="79" spans="2:14" ht="13.25" customHeight="1">
      <c r="B79" s="120"/>
      <c r="C79" s="120"/>
      <c r="D79" s="120"/>
      <c r="E79" s="120"/>
      <c r="F79" s="119"/>
      <c r="G79" s="120"/>
      <c r="H79" s="120"/>
      <c r="I79" s="119"/>
      <c r="J79" s="119"/>
      <c r="K79" s="119"/>
      <c r="L79" s="119"/>
      <c r="M79" s="119"/>
      <c r="N79" s="120"/>
    </row>
    <row r="80" spans="2:14" ht="13.25" customHeight="1"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</row>
    <row r="81" spans="1:14" ht="13.25" customHeight="1"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</row>
    <row r="82" spans="1:14" ht="13.25" customHeight="1">
      <c r="B82" s="120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</row>
    <row r="83" spans="1:14" ht="13.25" customHeight="1">
      <c r="B83" s="120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</row>
    <row r="84" spans="1:14" ht="13.25" customHeight="1">
      <c r="B84" s="120"/>
      <c r="C84" s="119"/>
      <c r="D84" s="120"/>
      <c r="E84" s="120"/>
      <c r="F84" s="119"/>
      <c r="G84" s="119"/>
      <c r="H84" s="119"/>
      <c r="I84" s="119"/>
      <c r="J84" s="119"/>
      <c r="K84" s="119"/>
      <c r="L84" s="119"/>
      <c r="M84" s="120"/>
      <c r="N84" s="120"/>
    </row>
    <row r="85" spans="1:14" ht="13.25" customHeight="1"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</row>
    <row r="86" spans="1:14" ht="13.25" customHeight="1"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</row>
    <row r="87" spans="1:14" ht="13.25" customHeight="1"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</row>
    <row r="88" spans="1:14" ht="13.25" customHeight="1" thickBot="1">
      <c r="A88" s="121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</row>
    <row r="89" spans="1:14" ht="13.25" customHeight="1">
      <c r="A89" s="9"/>
      <c r="B89" s="123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</row>
    <row r="90" spans="1:14" ht="13.25" customHeight="1">
      <c r="A90" s="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</row>
    <row r="91" spans="1:14" ht="13.25" customHeight="1">
      <c r="A91" s="11"/>
    </row>
    <row r="92" spans="1:14" ht="13.25" customHeight="1">
      <c r="A92" s="24"/>
    </row>
  </sheetData>
  <printOptions horizontalCentered="1" verticalCentered="1" gridLinesSet="0"/>
  <pageMargins left="0" right="0" top="0" bottom="0" header="0" footer="0"/>
  <pageSetup paperSize="9" orientation="landscape" horizontalDpi="180" verticalDpi="180" r:id="rId1"/>
  <headerFooter scaleWithDoc="0"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113">
    <tabColor theme="9" tint="0.59999389629810485"/>
  </sheetPr>
  <dimension ref="A1:AA39"/>
  <sheetViews>
    <sheetView showGridLines="0" zoomScaleNormal="100" workbookViewId="0">
      <selection activeCell="H18" sqref="H18"/>
    </sheetView>
  </sheetViews>
  <sheetFormatPr baseColWidth="10" defaultColWidth="7" defaultRowHeight="13.25" customHeight="1"/>
  <cols>
    <col min="1" max="1" width="12.3984375" style="73" customWidth="1"/>
    <col min="2" max="14" width="9" style="73" customWidth="1"/>
    <col min="15" max="16384" width="7" style="73"/>
  </cols>
  <sheetData>
    <row r="1" spans="1:27" ht="17" customHeight="1">
      <c r="A1" s="418" t="s">
        <v>604</v>
      </c>
      <c r="B1" s="418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27" ht="13.25" customHeight="1">
      <c r="A2" s="448" t="s">
        <v>399</v>
      </c>
      <c r="B2" s="246"/>
      <c r="C2" s="109"/>
      <c r="D2" s="109"/>
      <c r="E2" s="109"/>
      <c r="F2" s="109"/>
      <c r="G2" s="112"/>
      <c r="H2" s="111"/>
      <c r="I2" s="109"/>
      <c r="J2" s="109"/>
      <c r="K2" s="109"/>
      <c r="L2" s="109"/>
      <c r="M2" s="109"/>
      <c r="N2" s="109"/>
    </row>
    <row r="3" spans="1:27" ht="4.25" customHeight="1" thickBot="1">
      <c r="A3" s="112"/>
      <c r="B3" s="113"/>
      <c r="C3" s="114"/>
      <c r="D3" s="113"/>
      <c r="E3" s="113"/>
      <c r="F3" s="113"/>
      <c r="G3" s="113"/>
      <c r="H3" s="113"/>
      <c r="I3" s="113"/>
      <c r="J3" s="111"/>
      <c r="K3" s="111"/>
      <c r="L3" s="111"/>
      <c r="M3" s="111"/>
      <c r="N3" s="111"/>
    </row>
    <row r="4" spans="1:27" ht="15" customHeight="1">
      <c r="A4" s="568" t="s">
        <v>18</v>
      </c>
      <c r="B4" s="568" t="s">
        <v>54</v>
      </c>
      <c r="C4" s="568" t="s">
        <v>55</v>
      </c>
      <c r="D4" s="568" t="s">
        <v>56</v>
      </c>
      <c r="E4" s="568" t="s">
        <v>57</v>
      </c>
      <c r="F4" s="568" t="s">
        <v>58</v>
      </c>
      <c r="G4" s="568" t="s">
        <v>59</v>
      </c>
      <c r="H4" s="568" t="s">
        <v>60</v>
      </c>
      <c r="I4" s="568" t="s">
        <v>61</v>
      </c>
      <c r="J4" s="568" t="s">
        <v>62</v>
      </c>
      <c r="K4" s="568" t="s">
        <v>63</v>
      </c>
      <c r="L4" s="568" t="s">
        <v>64</v>
      </c>
      <c r="M4" s="568" t="s">
        <v>65</v>
      </c>
      <c r="N4" s="568" t="s">
        <v>66</v>
      </c>
    </row>
    <row r="5" spans="1:27" ht="15" customHeight="1">
      <c r="A5" s="723" t="s">
        <v>103</v>
      </c>
      <c r="B5" s="724">
        <v>6.9</v>
      </c>
      <c r="C5" s="724">
        <v>6.91</v>
      </c>
      <c r="D5" s="724">
        <v>6.78</v>
      </c>
      <c r="E5" s="724">
        <v>6.78</v>
      </c>
      <c r="F5" s="724">
        <v>6.99</v>
      </c>
      <c r="G5" s="724">
        <v>7.63</v>
      </c>
      <c r="H5" s="724">
        <v>7.61</v>
      </c>
      <c r="I5" s="724">
        <v>7.48</v>
      </c>
      <c r="J5" s="724">
        <v>7.22</v>
      </c>
      <c r="K5" s="724">
        <v>7.18</v>
      </c>
      <c r="L5" s="724">
        <v>7.06</v>
      </c>
      <c r="M5" s="724">
        <v>6.65</v>
      </c>
      <c r="N5" s="724">
        <v>6.81</v>
      </c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ht="12" customHeight="1">
      <c r="A6" s="73" t="s">
        <v>21</v>
      </c>
      <c r="B6" s="728">
        <v>0</v>
      </c>
      <c r="C6" s="411">
        <v>0</v>
      </c>
      <c r="D6" s="411">
        <v>0</v>
      </c>
      <c r="E6" s="411">
        <v>0</v>
      </c>
      <c r="F6" s="411">
        <v>0</v>
      </c>
      <c r="G6" s="411">
        <v>0</v>
      </c>
      <c r="H6" s="411">
        <v>0</v>
      </c>
      <c r="I6" s="411">
        <v>0</v>
      </c>
      <c r="J6" s="411">
        <v>0</v>
      </c>
      <c r="K6" s="411">
        <v>0</v>
      </c>
      <c r="L6" s="411">
        <v>0</v>
      </c>
      <c r="M6" s="411">
        <v>0</v>
      </c>
      <c r="N6" s="411">
        <v>0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 spans="1:27" ht="12" customHeight="1">
      <c r="A7" s="73" t="s">
        <v>22</v>
      </c>
      <c r="B7" s="728">
        <v>6.99</v>
      </c>
      <c r="C7" s="411">
        <v>0</v>
      </c>
      <c r="D7" s="411">
        <v>0</v>
      </c>
      <c r="E7" s="411">
        <v>0</v>
      </c>
      <c r="F7" s="411">
        <v>6.98</v>
      </c>
      <c r="G7" s="411">
        <v>6.98</v>
      </c>
      <c r="H7" s="411">
        <v>0</v>
      </c>
      <c r="I7" s="411">
        <v>0</v>
      </c>
      <c r="J7" s="411">
        <v>0</v>
      </c>
      <c r="K7" s="411">
        <v>0</v>
      </c>
      <c r="L7" s="411">
        <v>0</v>
      </c>
      <c r="M7" s="411">
        <v>6.98</v>
      </c>
      <c r="N7" s="411">
        <v>7</v>
      </c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 spans="1:27" ht="12" customHeight="1">
      <c r="A8" s="73" t="s">
        <v>23</v>
      </c>
      <c r="B8" s="728">
        <v>0</v>
      </c>
      <c r="C8" s="411">
        <v>0</v>
      </c>
      <c r="D8" s="411">
        <v>0</v>
      </c>
      <c r="E8" s="411">
        <v>0</v>
      </c>
      <c r="F8" s="411">
        <v>0</v>
      </c>
      <c r="G8" s="411">
        <v>0</v>
      </c>
      <c r="H8" s="411">
        <v>0</v>
      </c>
      <c r="I8" s="411">
        <v>0</v>
      </c>
      <c r="J8" s="411">
        <v>0</v>
      </c>
      <c r="K8" s="411">
        <v>0</v>
      </c>
      <c r="L8" s="411">
        <v>0</v>
      </c>
      <c r="M8" s="411">
        <v>0</v>
      </c>
      <c r="N8" s="411">
        <v>0</v>
      </c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 spans="1:27" ht="12" customHeight="1">
      <c r="A9" s="73" t="s">
        <v>24</v>
      </c>
      <c r="B9" s="728">
        <v>7.7</v>
      </c>
      <c r="C9" s="411">
        <v>7.92</v>
      </c>
      <c r="D9" s="411">
        <v>0</v>
      </c>
      <c r="E9" s="411">
        <v>0</v>
      </c>
      <c r="F9" s="411">
        <v>7.8</v>
      </c>
      <c r="G9" s="411">
        <v>7.78</v>
      </c>
      <c r="H9" s="411">
        <v>7.76</v>
      </c>
      <c r="I9" s="411">
        <v>7.77</v>
      </c>
      <c r="J9" s="411">
        <v>7.32</v>
      </c>
      <c r="K9" s="411">
        <v>7.85</v>
      </c>
      <c r="L9" s="411">
        <v>7.31</v>
      </c>
      <c r="M9" s="411">
        <v>7.14</v>
      </c>
      <c r="N9" s="411">
        <v>7.01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 spans="1:27" ht="12" customHeight="1">
      <c r="A10" s="73" t="s">
        <v>25</v>
      </c>
      <c r="B10" s="728">
        <v>7.02</v>
      </c>
      <c r="C10" s="411">
        <v>7.07</v>
      </c>
      <c r="D10" s="411">
        <v>7.05</v>
      </c>
      <c r="E10" s="411">
        <v>7.07</v>
      </c>
      <c r="F10" s="411">
        <v>7.09</v>
      </c>
      <c r="G10" s="411">
        <v>7.02</v>
      </c>
      <c r="H10" s="411">
        <v>7</v>
      </c>
      <c r="I10" s="411">
        <v>6.99</v>
      </c>
      <c r="J10" s="411">
        <v>6.99</v>
      </c>
      <c r="K10" s="411">
        <v>7</v>
      </c>
      <c r="L10" s="411">
        <v>0</v>
      </c>
      <c r="M10" s="411">
        <v>0</v>
      </c>
      <c r="N10" s="411">
        <v>0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 spans="1:27" ht="12" customHeight="1">
      <c r="A11" s="73" t="s">
        <v>97</v>
      </c>
      <c r="B11" s="728">
        <v>7.03</v>
      </c>
      <c r="C11" s="411">
        <v>7.07</v>
      </c>
      <c r="D11" s="411">
        <v>7.05</v>
      </c>
      <c r="E11" s="411">
        <v>7.07</v>
      </c>
      <c r="F11" s="411">
        <v>7.09</v>
      </c>
      <c r="G11" s="411">
        <v>7.02</v>
      </c>
      <c r="H11" s="411">
        <v>7</v>
      </c>
      <c r="I11" s="411">
        <v>7.01</v>
      </c>
      <c r="J11" s="411">
        <v>7.02</v>
      </c>
      <c r="K11" s="411">
        <v>7.01</v>
      </c>
      <c r="L11" s="411">
        <v>0</v>
      </c>
      <c r="M11" s="411">
        <v>0</v>
      </c>
      <c r="N11" s="411">
        <v>0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 spans="1:27" ht="12" customHeight="1">
      <c r="A12" s="73" t="s">
        <v>98</v>
      </c>
      <c r="B12" s="728">
        <v>6.96</v>
      </c>
      <c r="C12" s="411">
        <v>0</v>
      </c>
      <c r="D12" s="411">
        <v>0</v>
      </c>
      <c r="E12" s="411">
        <v>0</v>
      </c>
      <c r="F12" s="411">
        <v>0</v>
      </c>
      <c r="G12" s="411">
        <v>0</v>
      </c>
      <c r="H12" s="411">
        <v>0</v>
      </c>
      <c r="I12" s="411">
        <v>6.95</v>
      </c>
      <c r="J12" s="411">
        <v>6.95</v>
      </c>
      <c r="K12" s="411">
        <v>6.98</v>
      </c>
      <c r="L12" s="411">
        <v>0</v>
      </c>
      <c r="M12" s="411">
        <v>0</v>
      </c>
      <c r="N12" s="411">
        <v>0</v>
      </c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 spans="1:27" ht="12" customHeight="1">
      <c r="A13" s="73" t="s">
        <v>127</v>
      </c>
      <c r="B13" s="728">
        <v>0</v>
      </c>
      <c r="C13" s="411">
        <v>0</v>
      </c>
      <c r="D13" s="411">
        <v>0</v>
      </c>
      <c r="E13" s="411">
        <v>0</v>
      </c>
      <c r="F13" s="411">
        <v>0</v>
      </c>
      <c r="G13" s="411">
        <v>0</v>
      </c>
      <c r="H13" s="411">
        <v>0</v>
      </c>
      <c r="I13" s="411">
        <v>0</v>
      </c>
      <c r="J13" s="411">
        <v>0</v>
      </c>
      <c r="K13" s="411">
        <v>0</v>
      </c>
      <c r="L13" s="411">
        <v>0</v>
      </c>
      <c r="M13" s="411">
        <v>0</v>
      </c>
      <c r="N13" s="411">
        <v>0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 spans="1:27" ht="12" customHeight="1">
      <c r="A14" s="73" t="s">
        <v>29</v>
      </c>
      <c r="B14" s="728">
        <v>6.94</v>
      </c>
      <c r="C14" s="411">
        <v>0</v>
      </c>
      <c r="D14" s="411">
        <v>0</v>
      </c>
      <c r="E14" s="411">
        <v>0</v>
      </c>
      <c r="F14" s="411">
        <v>7.01</v>
      </c>
      <c r="G14" s="411">
        <v>6.94</v>
      </c>
      <c r="H14" s="411">
        <v>6.92</v>
      </c>
      <c r="I14" s="411">
        <v>6.89</v>
      </c>
      <c r="J14" s="411">
        <v>6.91</v>
      </c>
      <c r="K14" s="411">
        <v>0</v>
      </c>
      <c r="L14" s="411">
        <v>0</v>
      </c>
      <c r="M14" s="411">
        <v>0</v>
      </c>
      <c r="N14" s="411">
        <v>0</v>
      </c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 spans="1:27" ht="12" customHeight="1">
      <c r="A15" s="73" t="s">
        <v>30</v>
      </c>
      <c r="B15" s="728">
        <v>7.46</v>
      </c>
      <c r="C15" s="411">
        <v>7.47</v>
      </c>
      <c r="D15" s="411">
        <v>7.45</v>
      </c>
      <c r="E15" s="411">
        <v>7.47</v>
      </c>
      <c r="F15" s="411">
        <v>0</v>
      </c>
      <c r="G15" s="411">
        <v>0</v>
      </c>
      <c r="H15" s="411">
        <v>0</v>
      </c>
      <c r="I15" s="411">
        <v>0</v>
      </c>
      <c r="J15" s="411">
        <v>0</v>
      </c>
      <c r="K15" s="411">
        <v>0</v>
      </c>
      <c r="L15" s="411">
        <v>0</v>
      </c>
      <c r="M15" s="411">
        <v>0</v>
      </c>
      <c r="N15" s="411">
        <v>0</v>
      </c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spans="1:27" ht="12" customHeight="1">
      <c r="A16" s="73" t="s">
        <v>31</v>
      </c>
      <c r="B16" s="728">
        <v>7.48</v>
      </c>
      <c r="C16" s="411">
        <v>0</v>
      </c>
      <c r="D16" s="411">
        <v>0</v>
      </c>
      <c r="E16" s="411">
        <v>7.61</v>
      </c>
      <c r="F16" s="411">
        <v>7.64</v>
      </c>
      <c r="G16" s="411">
        <v>7.46</v>
      </c>
      <c r="H16" s="411">
        <v>7.45</v>
      </c>
      <c r="I16" s="411">
        <v>7.44</v>
      </c>
      <c r="J16" s="411">
        <v>7.42</v>
      </c>
      <c r="K16" s="411">
        <v>0</v>
      </c>
      <c r="L16" s="411">
        <v>0</v>
      </c>
      <c r="M16" s="411">
        <v>0</v>
      </c>
      <c r="N16" s="411">
        <v>0</v>
      </c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 spans="1:27" ht="12" customHeight="1">
      <c r="A17" s="73" t="s">
        <v>32</v>
      </c>
      <c r="B17" s="728">
        <v>0</v>
      </c>
      <c r="C17" s="411">
        <v>0</v>
      </c>
      <c r="D17" s="411">
        <v>0</v>
      </c>
      <c r="E17" s="411">
        <v>0</v>
      </c>
      <c r="F17" s="411">
        <v>0</v>
      </c>
      <c r="G17" s="411">
        <v>0</v>
      </c>
      <c r="H17" s="411">
        <v>0</v>
      </c>
      <c r="I17" s="411">
        <v>0</v>
      </c>
      <c r="J17" s="411">
        <v>0</v>
      </c>
      <c r="K17" s="411">
        <v>0</v>
      </c>
      <c r="L17" s="411">
        <v>0</v>
      </c>
      <c r="M17" s="411">
        <v>0</v>
      </c>
      <c r="N17" s="411">
        <v>0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spans="1:27" ht="12" customHeight="1">
      <c r="A18" s="73" t="s">
        <v>33</v>
      </c>
      <c r="B18" s="728">
        <v>7.2</v>
      </c>
      <c r="C18" s="411">
        <v>7.33</v>
      </c>
      <c r="D18" s="411">
        <v>7.36</v>
      </c>
      <c r="E18" s="411">
        <v>7.4</v>
      </c>
      <c r="F18" s="411">
        <v>7.38</v>
      </c>
      <c r="G18" s="411">
        <v>7.24</v>
      </c>
      <c r="H18" s="411">
        <v>7.22</v>
      </c>
      <c r="I18" s="411">
        <v>7.2</v>
      </c>
      <c r="J18" s="411">
        <v>7.18</v>
      </c>
      <c r="K18" s="411">
        <v>7.16</v>
      </c>
      <c r="L18" s="411">
        <v>7.15</v>
      </c>
      <c r="M18" s="411">
        <v>7.13</v>
      </c>
      <c r="N18" s="411">
        <v>7.16</v>
      </c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 spans="1:27" ht="12" customHeight="1">
      <c r="A19" s="73" t="s">
        <v>34</v>
      </c>
      <c r="B19" s="728">
        <v>6.91</v>
      </c>
      <c r="C19" s="411">
        <v>6.87</v>
      </c>
      <c r="D19" s="411">
        <v>6.94</v>
      </c>
      <c r="E19" s="411">
        <v>6.96</v>
      </c>
      <c r="F19" s="411">
        <v>0</v>
      </c>
      <c r="G19" s="411">
        <v>0</v>
      </c>
      <c r="H19" s="411">
        <v>0</v>
      </c>
      <c r="I19" s="411">
        <v>0</v>
      </c>
      <c r="J19" s="411">
        <v>0</v>
      </c>
      <c r="K19" s="411">
        <v>0</v>
      </c>
      <c r="L19" s="411">
        <v>0</v>
      </c>
      <c r="M19" s="411">
        <v>0</v>
      </c>
      <c r="N19" s="411">
        <v>0</v>
      </c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spans="1:27" ht="12" customHeight="1">
      <c r="A20" s="105" t="s">
        <v>35</v>
      </c>
      <c r="B20" s="728">
        <v>7.13</v>
      </c>
      <c r="C20" s="411">
        <v>7.09</v>
      </c>
      <c r="D20" s="411">
        <v>7.11</v>
      </c>
      <c r="E20" s="411">
        <v>7.15</v>
      </c>
      <c r="F20" s="411">
        <v>7.18</v>
      </c>
      <c r="G20" s="411">
        <v>0</v>
      </c>
      <c r="H20" s="411">
        <v>0</v>
      </c>
      <c r="I20" s="411">
        <v>0</v>
      </c>
      <c r="J20" s="411">
        <v>0</v>
      </c>
      <c r="K20" s="411">
        <v>0</v>
      </c>
      <c r="L20" s="411">
        <v>0</v>
      </c>
      <c r="M20" s="411">
        <v>0</v>
      </c>
      <c r="N20" s="411">
        <v>0</v>
      </c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 spans="1:27" ht="12" customHeight="1">
      <c r="A21" s="73" t="s">
        <v>36</v>
      </c>
      <c r="B21" s="728">
        <v>7.07</v>
      </c>
      <c r="C21" s="411">
        <v>0</v>
      </c>
      <c r="D21" s="411">
        <v>7.06</v>
      </c>
      <c r="E21" s="411">
        <v>7.13</v>
      </c>
      <c r="F21" s="411">
        <v>7.15</v>
      </c>
      <c r="G21" s="411">
        <v>0</v>
      </c>
      <c r="H21" s="411">
        <v>0</v>
      </c>
      <c r="I21" s="411">
        <v>0</v>
      </c>
      <c r="J21" s="411">
        <v>0</v>
      </c>
      <c r="K21" s="411">
        <v>0</v>
      </c>
      <c r="L21" s="411">
        <v>0</v>
      </c>
      <c r="M21" s="411">
        <v>0</v>
      </c>
      <c r="N21" s="411">
        <v>0</v>
      </c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 spans="1:27" ht="12" customHeight="1">
      <c r="A22" s="73" t="s">
        <v>37</v>
      </c>
      <c r="B22" s="728">
        <v>7.19</v>
      </c>
      <c r="C22" s="411">
        <v>7.11</v>
      </c>
      <c r="D22" s="411">
        <v>7.13</v>
      </c>
      <c r="E22" s="411">
        <v>7.17</v>
      </c>
      <c r="F22" s="411">
        <v>0</v>
      </c>
      <c r="G22" s="411">
        <v>0</v>
      </c>
      <c r="H22" s="411">
        <v>0</v>
      </c>
      <c r="I22" s="411">
        <v>0</v>
      </c>
      <c r="J22" s="411">
        <v>0</v>
      </c>
      <c r="K22" s="411">
        <v>0</v>
      </c>
      <c r="L22" s="411">
        <v>0</v>
      </c>
      <c r="M22" s="411">
        <v>0</v>
      </c>
      <c r="N22" s="411">
        <v>7.42</v>
      </c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1:27" ht="12" customHeight="1">
      <c r="A23" s="105" t="s">
        <v>131</v>
      </c>
      <c r="B23" s="728">
        <v>6.96</v>
      </c>
      <c r="C23" s="411">
        <v>0</v>
      </c>
      <c r="D23" s="411">
        <v>0</v>
      </c>
      <c r="E23" s="411">
        <v>0</v>
      </c>
      <c r="F23" s="411">
        <v>0</v>
      </c>
      <c r="G23" s="411">
        <v>0</v>
      </c>
      <c r="H23" s="411">
        <v>0</v>
      </c>
      <c r="I23" s="411">
        <v>0</v>
      </c>
      <c r="J23" s="411">
        <v>0</v>
      </c>
      <c r="K23" s="411">
        <v>6.89</v>
      </c>
      <c r="L23" s="411">
        <v>6.98</v>
      </c>
      <c r="M23" s="411">
        <v>6.98</v>
      </c>
      <c r="N23" s="411">
        <v>7.55</v>
      </c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1:27" ht="12" customHeight="1">
      <c r="A24" s="73" t="s">
        <v>39</v>
      </c>
      <c r="B24" s="728">
        <v>0</v>
      </c>
      <c r="C24" s="411">
        <v>0</v>
      </c>
      <c r="D24" s="411">
        <v>0</v>
      </c>
      <c r="E24" s="411">
        <v>0</v>
      </c>
      <c r="F24" s="411">
        <v>0</v>
      </c>
      <c r="G24" s="411">
        <v>0</v>
      </c>
      <c r="H24" s="411">
        <v>0</v>
      </c>
      <c r="I24" s="411">
        <v>0</v>
      </c>
      <c r="J24" s="411">
        <v>0</v>
      </c>
      <c r="K24" s="411">
        <v>0</v>
      </c>
      <c r="L24" s="411">
        <v>0</v>
      </c>
      <c r="M24" s="411">
        <v>0</v>
      </c>
      <c r="N24" s="411">
        <v>0</v>
      </c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1:27" ht="12" customHeight="1">
      <c r="A25" s="73" t="s">
        <v>40</v>
      </c>
      <c r="B25" s="728">
        <v>6.47</v>
      </c>
      <c r="C25" s="411">
        <v>6.49</v>
      </c>
      <c r="D25" s="411">
        <v>6.47</v>
      </c>
      <c r="E25" s="415">
        <v>6.5</v>
      </c>
      <c r="F25" s="411">
        <v>6.5</v>
      </c>
      <c r="G25" s="411">
        <v>6.37</v>
      </c>
      <c r="H25" s="411">
        <v>6.34</v>
      </c>
      <c r="I25" s="411">
        <v>6.31</v>
      </c>
      <c r="J25" s="411">
        <v>0</v>
      </c>
      <c r="K25" s="411">
        <v>6.3</v>
      </c>
      <c r="L25" s="411">
        <v>6.31</v>
      </c>
      <c r="M25" s="411">
        <v>6.32</v>
      </c>
      <c r="N25" s="411">
        <v>6.3</v>
      </c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1:27" ht="12" customHeight="1">
      <c r="A26" s="73" t="s">
        <v>41</v>
      </c>
      <c r="B26" s="728">
        <v>6.31</v>
      </c>
      <c r="C26" s="411">
        <v>6.3</v>
      </c>
      <c r="D26" s="411">
        <v>6.3</v>
      </c>
      <c r="E26" s="411">
        <v>6.32</v>
      </c>
      <c r="F26" s="411">
        <v>6.34</v>
      </c>
      <c r="G26" s="411">
        <v>6.27</v>
      </c>
      <c r="H26" s="411">
        <v>0</v>
      </c>
      <c r="I26" s="411">
        <v>0</v>
      </c>
      <c r="J26" s="411">
        <v>0</v>
      </c>
      <c r="K26" s="411">
        <v>0</v>
      </c>
      <c r="L26" s="411">
        <v>0</v>
      </c>
      <c r="M26" s="411">
        <v>6.25</v>
      </c>
      <c r="N26" s="411">
        <v>6.27</v>
      </c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1:27" ht="12" customHeight="1">
      <c r="A27" s="73" t="s">
        <v>100</v>
      </c>
      <c r="B27" s="728">
        <v>6.3</v>
      </c>
      <c r="C27" s="411">
        <v>6.29</v>
      </c>
      <c r="D27" s="411">
        <v>6.3</v>
      </c>
      <c r="E27" s="411">
        <v>6.31</v>
      </c>
      <c r="F27" s="411">
        <v>6.34</v>
      </c>
      <c r="G27" s="411">
        <v>6.27</v>
      </c>
      <c r="H27" s="411">
        <v>0</v>
      </c>
      <c r="I27" s="411">
        <v>0</v>
      </c>
      <c r="J27" s="411">
        <v>0</v>
      </c>
      <c r="K27" s="411">
        <v>0</v>
      </c>
      <c r="L27" s="411">
        <v>0</v>
      </c>
      <c r="M27" s="411">
        <v>6.25</v>
      </c>
      <c r="N27" s="411">
        <v>6.27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1:27" ht="12" customHeight="1">
      <c r="A28" s="73" t="s">
        <v>101</v>
      </c>
      <c r="B28" s="728">
        <v>6.32</v>
      </c>
      <c r="C28" s="411">
        <v>6.32</v>
      </c>
      <c r="D28" s="411">
        <v>6.31</v>
      </c>
      <c r="E28" s="411">
        <v>6.34</v>
      </c>
      <c r="F28" s="411">
        <v>0</v>
      </c>
      <c r="G28" s="411">
        <v>0</v>
      </c>
      <c r="H28" s="411">
        <v>0</v>
      </c>
      <c r="I28" s="411">
        <v>0</v>
      </c>
      <c r="J28" s="411">
        <v>0</v>
      </c>
      <c r="K28" s="411">
        <v>0</v>
      </c>
      <c r="L28" s="411">
        <v>0</v>
      </c>
      <c r="M28" s="411">
        <v>0</v>
      </c>
      <c r="N28" s="411">
        <v>0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 spans="1:27" ht="12" customHeight="1">
      <c r="A29" s="73" t="s">
        <v>44</v>
      </c>
      <c r="B29" s="728">
        <v>6.95</v>
      </c>
      <c r="C29" s="411">
        <v>6.91</v>
      </c>
      <c r="D29" s="411">
        <v>6.93</v>
      </c>
      <c r="E29" s="411">
        <v>6.96</v>
      </c>
      <c r="F29" s="411">
        <v>0</v>
      </c>
      <c r="G29" s="411">
        <v>0</v>
      </c>
      <c r="H29" s="411">
        <v>0</v>
      </c>
      <c r="I29" s="411">
        <v>0</v>
      </c>
      <c r="J29" s="411">
        <v>0</v>
      </c>
      <c r="K29" s="411">
        <v>0</v>
      </c>
      <c r="L29" s="411">
        <v>0</v>
      </c>
      <c r="M29" s="411">
        <v>6.98</v>
      </c>
      <c r="N29" s="411">
        <v>6.98</v>
      </c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 spans="1:27" ht="12" customHeight="1">
      <c r="A30" s="73" t="s">
        <v>45</v>
      </c>
      <c r="B30" s="728">
        <v>6.55</v>
      </c>
      <c r="C30" s="411">
        <v>0</v>
      </c>
      <c r="D30" s="411">
        <v>6.54</v>
      </c>
      <c r="E30" s="411">
        <v>6.56</v>
      </c>
      <c r="F30" s="411">
        <v>0</v>
      </c>
      <c r="G30" s="411">
        <v>0</v>
      </c>
      <c r="H30" s="411">
        <v>0</v>
      </c>
      <c r="I30" s="411">
        <v>0</v>
      </c>
      <c r="J30" s="411">
        <v>0</v>
      </c>
      <c r="K30" s="411">
        <v>0</v>
      </c>
      <c r="L30" s="411">
        <v>0</v>
      </c>
      <c r="M30" s="411">
        <v>6.54</v>
      </c>
      <c r="N30" s="411">
        <v>6.58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 spans="1:27" ht="12" customHeight="1">
      <c r="A31" s="73" t="s">
        <v>46</v>
      </c>
      <c r="B31" s="728">
        <v>0</v>
      </c>
      <c r="C31" s="411">
        <v>0</v>
      </c>
      <c r="D31" s="411">
        <v>0</v>
      </c>
      <c r="E31" s="411">
        <v>0</v>
      </c>
      <c r="F31" s="411">
        <v>0</v>
      </c>
      <c r="G31" s="411">
        <v>0</v>
      </c>
      <c r="H31" s="411">
        <v>0</v>
      </c>
      <c r="I31" s="411">
        <v>0</v>
      </c>
      <c r="J31" s="411">
        <v>0</v>
      </c>
      <c r="K31" s="411">
        <v>0</v>
      </c>
      <c r="L31" s="411">
        <v>0</v>
      </c>
      <c r="M31" s="411">
        <v>0</v>
      </c>
      <c r="N31" s="411">
        <v>0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 spans="1:27" ht="12" customHeight="1">
      <c r="A32" s="73" t="s">
        <v>47</v>
      </c>
      <c r="B32" s="728">
        <v>0</v>
      </c>
      <c r="C32" s="411">
        <v>0</v>
      </c>
      <c r="D32" s="411">
        <v>0</v>
      </c>
      <c r="E32" s="411">
        <v>0</v>
      </c>
      <c r="F32" s="411">
        <v>0</v>
      </c>
      <c r="G32" s="411">
        <v>0</v>
      </c>
      <c r="H32" s="411">
        <v>0</v>
      </c>
      <c r="I32" s="411">
        <v>0</v>
      </c>
      <c r="J32" s="411">
        <v>0</v>
      </c>
      <c r="K32" s="411">
        <v>0</v>
      </c>
      <c r="L32" s="411">
        <v>0</v>
      </c>
      <c r="M32" s="411">
        <v>0</v>
      </c>
      <c r="N32" s="411">
        <v>0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 spans="1:27" ht="12" customHeight="1">
      <c r="A33" s="73" t="s">
        <v>48</v>
      </c>
      <c r="B33" s="728">
        <v>0</v>
      </c>
      <c r="C33" s="411">
        <v>0</v>
      </c>
      <c r="D33" s="411">
        <v>0</v>
      </c>
      <c r="E33" s="411">
        <v>0</v>
      </c>
      <c r="F33" s="411">
        <v>0</v>
      </c>
      <c r="G33" s="411">
        <v>0</v>
      </c>
      <c r="H33" s="411">
        <v>0</v>
      </c>
      <c r="I33" s="411">
        <v>0</v>
      </c>
      <c r="J33" s="411">
        <v>0</v>
      </c>
      <c r="K33" s="411">
        <v>0</v>
      </c>
      <c r="L33" s="411">
        <v>0</v>
      </c>
      <c r="M33" s="411">
        <v>0</v>
      </c>
      <c r="N33" s="411">
        <v>0</v>
      </c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 spans="1:27" ht="12" customHeight="1" thickBot="1">
      <c r="A34" s="121" t="s">
        <v>49</v>
      </c>
      <c r="B34" s="729">
        <v>0</v>
      </c>
      <c r="C34" s="412">
        <v>0</v>
      </c>
      <c r="D34" s="412">
        <v>0</v>
      </c>
      <c r="E34" s="412">
        <v>0</v>
      </c>
      <c r="F34" s="412">
        <v>0</v>
      </c>
      <c r="G34" s="412">
        <v>0</v>
      </c>
      <c r="H34" s="412">
        <v>0</v>
      </c>
      <c r="I34" s="412">
        <v>0</v>
      </c>
      <c r="J34" s="412">
        <v>0</v>
      </c>
      <c r="K34" s="412">
        <v>0</v>
      </c>
      <c r="L34" s="412">
        <v>0</v>
      </c>
      <c r="M34" s="412">
        <v>0</v>
      </c>
      <c r="N34" s="412">
        <v>0</v>
      </c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 spans="1:27" ht="9" customHeight="1">
      <c r="A35" s="778" t="s">
        <v>402</v>
      </c>
      <c r="B35" s="863"/>
      <c r="C35" s="864"/>
      <c r="D35" s="864"/>
      <c r="E35" s="416"/>
      <c r="F35" s="416"/>
      <c r="G35" s="416"/>
      <c r="H35" s="416"/>
      <c r="I35" s="416"/>
      <c r="J35" s="416"/>
      <c r="K35" s="416"/>
      <c r="L35" s="416"/>
      <c r="M35" s="416"/>
      <c r="N35" s="416"/>
    </row>
    <row r="36" spans="1:27" ht="9" customHeight="1">
      <c r="A36" s="778" t="s">
        <v>359</v>
      </c>
      <c r="B36" s="864"/>
      <c r="C36" s="864"/>
      <c r="D36" s="864"/>
      <c r="E36" s="416"/>
      <c r="F36" s="416"/>
      <c r="G36" s="416"/>
      <c r="H36" s="416"/>
      <c r="I36" s="416"/>
      <c r="J36" s="416"/>
      <c r="K36" s="416"/>
      <c r="L36" s="416"/>
      <c r="M36" s="416"/>
      <c r="N36" s="416"/>
    </row>
    <row r="37" spans="1:27" ht="9" customHeight="1">
      <c r="A37" s="780" t="s">
        <v>358</v>
      </c>
      <c r="B37" s="796"/>
      <c r="C37" s="796"/>
      <c r="D37" s="796"/>
      <c r="E37" s="190"/>
      <c r="F37" s="190"/>
      <c r="G37" s="190"/>
      <c r="H37" s="190"/>
      <c r="I37" s="190"/>
      <c r="J37" s="190"/>
      <c r="K37" s="190"/>
      <c r="L37" s="190"/>
      <c r="M37" s="190"/>
      <c r="N37" s="190"/>
    </row>
    <row r="38" spans="1:27" ht="13.25" customHeight="1">
      <c r="A38" s="865"/>
      <c r="B38" s="796"/>
      <c r="C38" s="796"/>
      <c r="D38" s="796"/>
    </row>
    <row r="39" spans="1:27" ht="13.25" customHeight="1">
      <c r="A39" s="24"/>
    </row>
  </sheetData>
  <printOptions horizontalCentered="1" verticalCentered="1" gridLinesSet="0"/>
  <pageMargins left="0" right="0" top="0" bottom="0" header="0" footer="0"/>
  <pageSetup paperSize="9" orientation="landscape" horizontalDpi="240" verticalDpi="144" r:id="rId1"/>
  <headerFooter scaleWithDoc="0"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Hoja114">
    <tabColor theme="9" tint="0.59999389629810485"/>
  </sheetPr>
  <dimension ref="A1"/>
  <sheetViews>
    <sheetView showGridLines="0" zoomScaleNormal="100" workbookViewId="0">
      <selection activeCell="A33" sqref="A33"/>
    </sheetView>
  </sheetViews>
  <sheetFormatPr baseColWidth="10" defaultColWidth="7" defaultRowHeight="13.25" customHeight="1"/>
  <cols>
    <col min="1" max="1" width="11.19921875" style="17" customWidth="1"/>
    <col min="2" max="9" width="8" style="17" customWidth="1"/>
    <col min="10" max="16384" width="7" style="17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115">
    <tabColor theme="9" tint="0.59999389629810485"/>
  </sheetPr>
  <dimension ref="A2:AB57"/>
  <sheetViews>
    <sheetView showGridLines="0" zoomScaleNormal="100" workbookViewId="0">
      <selection activeCell="B49" sqref="B49"/>
    </sheetView>
  </sheetViews>
  <sheetFormatPr baseColWidth="10" defaultColWidth="7" defaultRowHeight="13.25" customHeight="1"/>
  <cols>
    <col min="1" max="1" width="1" style="73" customWidth="1"/>
    <col min="2" max="2" width="17.19921875" style="73" customWidth="1"/>
    <col min="3" max="3" width="10.3984375" style="73" customWidth="1"/>
    <col min="4" max="4" width="8.3984375" style="73" hidden="1" customWidth="1"/>
    <col min="5" max="16" width="8" style="73" customWidth="1"/>
    <col min="17" max="16384" width="7" style="73"/>
  </cols>
  <sheetData>
    <row r="2" spans="1:18" ht="13.25" customHeight="1">
      <c r="A2" s="209" t="s">
        <v>573</v>
      </c>
      <c r="B2" s="421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</row>
    <row r="3" spans="1:18" ht="4.25" customHeight="1" thickBot="1">
      <c r="A3" s="998"/>
      <c r="B3" s="998"/>
      <c r="C3" s="998"/>
      <c r="D3" s="998"/>
      <c r="E3" s="998"/>
      <c r="F3" s="998"/>
      <c r="G3" s="998"/>
      <c r="H3" s="998"/>
      <c r="I3" s="998"/>
      <c r="J3" s="998"/>
      <c r="K3" s="998"/>
      <c r="L3" s="998"/>
      <c r="M3" s="998"/>
      <c r="N3" s="998"/>
      <c r="O3" s="998"/>
      <c r="P3" s="998"/>
    </row>
    <row r="4" spans="1:18" ht="24">
      <c r="A4" s="999" t="s">
        <v>53</v>
      </c>
      <c r="B4" s="999"/>
      <c r="C4" s="730" t="s">
        <v>301</v>
      </c>
      <c r="D4" s="565">
        <v>2010</v>
      </c>
      <c r="E4" s="565">
        <v>2011</v>
      </c>
      <c r="F4" s="565">
        <v>2012</v>
      </c>
      <c r="G4" s="565">
        <v>2013</v>
      </c>
      <c r="H4" s="565">
        <v>2014</v>
      </c>
      <c r="I4" s="565">
        <v>2015</v>
      </c>
      <c r="J4" s="565">
        <v>2016</v>
      </c>
      <c r="K4" s="565">
        <v>2017</v>
      </c>
      <c r="L4" s="565">
        <v>2018</v>
      </c>
      <c r="M4" s="565">
        <v>2019</v>
      </c>
      <c r="N4" s="565">
        <v>2020</v>
      </c>
      <c r="O4" s="565">
        <v>2021</v>
      </c>
      <c r="P4" s="565" t="s">
        <v>486</v>
      </c>
      <c r="Q4" s="420"/>
    </row>
    <row r="5" spans="1:18" ht="6" customHeight="1">
      <c r="C5" s="76"/>
      <c r="J5" s="76"/>
      <c r="K5" s="76"/>
      <c r="L5" s="76"/>
      <c r="M5" s="76"/>
      <c r="N5" s="76"/>
      <c r="O5" s="76"/>
      <c r="P5" s="76"/>
    </row>
    <row r="6" spans="1:18" ht="9" customHeight="1">
      <c r="A6" s="907" t="s">
        <v>385</v>
      </c>
      <c r="B6" s="908"/>
      <c r="C6" s="408"/>
      <c r="D6" s="908"/>
      <c r="E6" s="908"/>
      <c r="F6" s="908"/>
      <c r="G6" s="908"/>
      <c r="H6" s="908"/>
      <c r="I6" s="908"/>
      <c r="J6" s="908"/>
      <c r="K6" s="908"/>
      <c r="L6" s="908"/>
      <c r="M6" s="908"/>
      <c r="N6" s="908"/>
      <c r="O6" s="908"/>
      <c r="P6" s="908"/>
    </row>
    <row r="7" spans="1:18" ht="9" customHeight="1">
      <c r="A7" s="909"/>
      <c r="B7" s="908" t="s">
        <v>132</v>
      </c>
      <c r="C7" s="883" t="s">
        <v>133</v>
      </c>
      <c r="D7" s="910">
        <v>509638.7</v>
      </c>
      <c r="E7" s="910">
        <v>535763.30000000005</v>
      </c>
      <c r="F7" s="910">
        <v>573449.5</v>
      </c>
      <c r="G7" s="910">
        <v>591941.6</v>
      </c>
      <c r="H7" s="910">
        <v>622701.30000000005</v>
      </c>
      <c r="I7" s="910">
        <v>671495.6</v>
      </c>
      <c r="J7" s="910">
        <v>686384.7</v>
      </c>
      <c r="K7" s="910">
        <v>705259.7</v>
      </c>
      <c r="L7" s="910">
        <v>765689.3</v>
      </c>
      <c r="M7" s="910">
        <v>794391.6</v>
      </c>
      <c r="N7" s="910">
        <v>728096.32499999995</v>
      </c>
      <c r="O7" s="910">
        <v>772876.34400000004</v>
      </c>
      <c r="P7" s="910">
        <v>793502.70499999996</v>
      </c>
      <c r="Q7" s="106"/>
      <c r="R7" s="106"/>
    </row>
    <row r="8" spans="1:18" ht="9" customHeight="1">
      <c r="A8" s="909"/>
      <c r="B8" s="911" t="s">
        <v>134</v>
      </c>
      <c r="C8" s="883" t="s">
        <v>133</v>
      </c>
      <c r="D8" s="910">
        <v>17802.2</v>
      </c>
      <c r="E8" s="910">
        <v>16970.5</v>
      </c>
      <c r="F8" s="910">
        <v>19624.7</v>
      </c>
      <c r="G8" s="910">
        <v>19794</v>
      </c>
      <c r="H8" s="910">
        <v>21107.9</v>
      </c>
      <c r="I8" s="910">
        <v>22094.5</v>
      </c>
      <c r="J8" s="910">
        <v>22977.200000000001</v>
      </c>
      <c r="K8" s="910">
        <v>24632.7</v>
      </c>
      <c r="L8" s="910">
        <v>28089.3</v>
      </c>
      <c r="M8" s="910">
        <v>26179.3</v>
      </c>
      <c r="N8" s="910">
        <v>28790.07</v>
      </c>
      <c r="O8" s="910">
        <v>29636.13</v>
      </c>
      <c r="P8" s="910">
        <v>25469.4</v>
      </c>
    </row>
    <row r="9" spans="1:18" ht="4" customHeight="1">
      <c r="A9" s="909"/>
      <c r="B9" s="911"/>
      <c r="C9" s="883"/>
      <c r="D9" s="912"/>
      <c r="E9" s="910"/>
      <c r="F9" s="910"/>
      <c r="G9" s="910"/>
      <c r="H9" s="910"/>
      <c r="I9" s="910"/>
      <c r="J9" s="910"/>
      <c r="K9" s="910"/>
      <c r="L9" s="910"/>
      <c r="M9" s="910"/>
      <c r="N9" s="910"/>
      <c r="O9" s="910"/>
      <c r="P9" s="910"/>
    </row>
    <row r="10" spans="1:18" ht="9" customHeight="1">
      <c r="A10" s="907" t="s">
        <v>323</v>
      </c>
      <c r="B10" s="908"/>
      <c r="C10" s="883"/>
      <c r="D10" s="913"/>
      <c r="E10" s="914"/>
      <c r="F10" s="914"/>
      <c r="G10" s="914"/>
      <c r="H10" s="913"/>
      <c r="I10" s="913"/>
      <c r="J10" s="913"/>
      <c r="K10" s="913"/>
      <c r="L10" s="913"/>
      <c r="M10" s="913"/>
      <c r="N10" s="913"/>
      <c r="O10" s="913"/>
      <c r="P10" s="913"/>
    </row>
    <row r="11" spans="1:18" ht="9" customHeight="1">
      <c r="A11" s="909"/>
      <c r="B11" s="911" t="s">
        <v>208</v>
      </c>
      <c r="C11" s="883" t="s">
        <v>218</v>
      </c>
      <c r="D11" s="449">
        <v>1019935</v>
      </c>
      <c r="E11" s="449">
        <v>1108345</v>
      </c>
      <c r="F11" s="449">
        <v>1211140</v>
      </c>
      <c r="G11" s="449">
        <v>1254348</v>
      </c>
      <c r="H11" s="449">
        <v>1317426</v>
      </c>
      <c r="I11" s="449">
        <v>1423586</v>
      </c>
      <c r="J11" s="449">
        <v>1513950</v>
      </c>
      <c r="K11" s="449">
        <v>1569280</v>
      </c>
      <c r="L11" s="449">
        <v>1687636</v>
      </c>
      <c r="M11" s="449">
        <v>1762856</v>
      </c>
      <c r="N11" s="449">
        <v>1723497.46</v>
      </c>
      <c r="O11" s="449">
        <v>1751607.81</v>
      </c>
      <c r="P11" s="449">
        <v>1801776.29</v>
      </c>
    </row>
    <row r="12" spans="1:18" ht="9" customHeight="1">
      <c r="A12" s="909"/>
      <c r="B12" s="911" t="s">
        <v>135</v>
      </c>
      <c r="C12" s="883" t="s">
        <v>218</v>
      </c>
      <c r="D12" s="915">
        <v>950902</v>
      </c>
      <c r="E12" s="915">
        <v>1035362</v>
      </c>
      <c r="F12" s="915">
        <v>1132510</v>
      </c>
      <c r="G12" s="915">
        <v>1175749</v>
      </c>
      <c r="H12" s="915">
        <v>1233202</v>
      </c>
      <c r="I12" s="915">
        <v>1329855</v>
      </c>
      <c r="J12" s="915">
        <v>1405474</v>
      </c>
      <c r="K12" s="915">
        <v>1464548</v>
      </c>
      <c r="L12" s="915">
        <v>1581767</v>
      </c>
      <c r="M12" s="915">
        <v>1651949</v>
      </c>
      <c r="N12" s="915">
        <v>1616385.6</v>
      </c>
      <c r="O12" s="915">
        <v>1639181.6</v>
      </c>
      <c r="P12" s="915">
        <v>1686820.1</v>
      </c>
      <c r="R12" s="107"/>
    </row>
    <row r="13" spans="1:18" ht="9" customHeight="1">
      <c r="A13" s="909"/>
      <c r="B13" s="916" t="s">
        <v>16</v>
      </c>
      <c r="C13" s="883" t="s">
        <v>218</v>
      </c>
      <c r="D13" s="915">
        <v>285102</v>
      </c>
      <c r="E13" s="915">
        <v>317654</v>
      </c>
      <c r="F13" s="915">
        <v>314024</v>
      </c>
      <c r="G13" s="449">
        <v>349791</v>
      </c>
      <c r="H13" s="449">
        <v>358630</v>
      </c>
      <c r="I13" s="449">
        <v>386255</v>
      </c>
      <c r="J13" s="449">
        <v>400980</v>
      </c>
      <c r="K13" s="449">
        <v>415336</v>
      </c>
      <c r="L13" s="449">
        <v>452234</v>
      </c>
      <c r="M13" s="449">
        <v>488484</v>
      </c>
      <c r="N13" s="449">
        <v>497525.4</v>
      </c>
      <c r="O13" s="449">
        <v>504112</v>
      </c>
      <c r="P13" s="449">
        <v>510961.6</v>
      </c>
    </row>
    <row r="14" spans="1:18" ht="4" customHeight="1">
      <c r="A14" s="909"/>
      <c r="B14" s="908"/>
      <c r="C14" s="883"/>
      <c r="D14" s="908"/>
      <c r="E14" s="908"/>
      <c r="F14" s="913"/>
      <c r="G14" s="913"/>
      <c r="H14" s="913"/>
      <c r="I14" s="913"/>
      <c r="J14" s="913"/>
      <c r="K14" s="913"/>
      <c r="L14" s="913"/>
      <c r="M14" s="913"/>
      <c r="N14" s="913"/>
      <c r="O14" s="913"/>
      <c r="P14" s="913"/>
    </row>
    <row r="15" spans="1:18" ht="9" customHeight="1">
      <c r="A15" s="907" t="s">
        <v>324</v>
      </c>
      <c r="B15" s="908"/>
      <c r="C15" s="883" t="s">
        <v>133</v>
      </c>
      <c r="D15" s="910">
        <v>196808.8</v>
      </c>
      <c r="E15" s="910">
        <v>192834</v>
      </c>
      <c r="F15" s="910">
        <v>211177.5</v>
      </c>
      <c r="G15" s="910">
        <v>222099.5</v>
      </c>
      <c r="H15" s="910">
        <v>246732.9</v>
      </c>
      <c r="I15" s="910">
        <v>260297</v>
      </c>
      <c r="J15" s="910">
        <v>256532.1</v>
      </c>
      <c r="K15" s="910">
        <v>250137.9</v>
      </c>
      <c r="L15" s="910">
        <v>281178</v>
      </c>
      <c r="M15" s="910">
        <v>311304.2</v>
      </c>
      <c r="N15" s="910">
        <v>267264.34999999998</v>
      </c>
      <c r="O15" s="910">
        <v>275978.8</v>
      </c>
      <c r="P15" s="910">
        <v>273732.3</v>
      </c>
      <c r="Q15" s="106"/>
      <c r="R15" s="106"/>
    </row>
    <row r="16" spans="1:18" ht="9" customHeight="1">
      <c r="A16" s="909"/>
      <c r="B16" s="908" t="s">
        <v>136</v>
      </c>
      <c r="C16" s="883" t="s">
        <v>218</v>
      </c>
      <c r="D16" s="910">
        <v>518878</v>
      </c>
      <c r="E16" s="910">
        <v>515501.8</v>
      </c>
      <c r="F16" s="910">
        <v>572760.1</v>
      </c>
      <c r="G16" s="910">
        <v>609490</v>
      </c>
      <c r="H16" s="910">
        <v>680859.7</v>
      </c>
      <c r="I16" s="910">
        <v>710283.3</v>
      </c>
      <c r="J16" s="910">
        <v>698269.4</v>
      </c>
      <c r="K16" s="910">
        <v>700353.7</v>
      </c>
      <c r="L16" s="910">
        <v>764638.6</v>
      </c>
      <c r="M16" s="910">
        <v>862757.2</v>
      </c>
      <c r="N16" s="910">
        <v>733525.8</v>
      </c>
      <c r="O16" s="910">
        <v>739055.1</v>
      </c>
      <c r="P16" s="910">
        <v>742698</v>
      </c>
      <c r="R16" s="106"/>
    </row>
    <row r="17" spans="1:18" ht="9" customHeight="1">
      <c r="A17" s="909"/>
      <c r="B17" s="908" t="s">
        <v>137</v>
      </c>
      <c r="C17" s="883" t="s">
        <v>434</v>
      </c>
      <c r="D17" s="917">
        <v>2.6360000000000001</v>
      </c>
      <c r="E17" s="917">
        <v>2.673</v>
      </c>
      <c r="F17" s="917">
        <v>2.7120000000000002</v>
      </c>
      <c r="G17" s="917">
        <f t="shared" ref="G17:L17" si="0">G16/G15</f>
        <v>2.7442204957687881</v>
      </c>
      <c r="H17" s="917">
        <f t="shared" si="0"/>
        <v>2.7595010637008683</v>
      </c>
      <c r="I17" s="917">
        <f t="shared" si="0"/>
        <v>2.7287417834243195</v>
      </c>
      <c r="J17" s="917">
        <f t="shared" si="0"/>
        <v>2.7219572131518825</v>
      </c>
      <c r="K17" s="917">
        <f t="shared" si="0"/>
        <v>2.7998703914920529</v>
      </c>
      <c r="L17" s="917">
        <f t="shared" si="0"/>
        <v>2.719411191487243</v>
      </c>
      <c r="M17" s="917">
        <f t="shared" ref="M17" si="1">M16/M15</f>
        <v>2.7714280758178012</v>
      </c>
      <c r="N17" s="917">
        <f t="shared" ref="N17:P17" si="2">N16/N15</f>
        <v>2.7445703102564938</v>
      </c>
      <c r="O17" s="917">
        <f t="shared" si="2"/>
        <v>2.6779415665261244</v>
      </c>
      <c r="P17" s="917">
        <f t="shared" si="2"/>
        <v>2.7132274853935763</v>
      </c>
    </row>
    <row r="18" spans="1:18" ht="4" customHeight="1">
      <c r="A18" s="909"/>
      <c r="B18" s="908"/>
      <c r="C18" s="883"/>
      <c r="D18" s="918"/>
      <c r="E18" s="918"/>
      <c r="F18" s="918"/>
      <c r="G18" s="918"/>
      <c r="H18" s="918"/>
      <c r="I18" s="918"/>
      <c r="J18" s="918"/>
      <c r="K18" s="918"/>
      <c r="L18" s="918"/>
      <c r="M18" s="918"/>
      <c r="N18" s="918"/>
      <c r="O18" s="918"/>
      <c r="P18" s="918"/>
    </row>
    <row r="19" spans="1:18" ht="9" customHeight="1">
      <c r="A19" s="907" t="s">
        <v>325</v>
      </c>
      <c r="B19" s="908"/>
      <c r="C19" s="883"/>
      <c r="D19" s="918"/>
      <c r="E19" s="918"/>
      <c r="F19" s="918"/>
      <c r="G19" s="918"/>
      <c r="H19" s="918"/>
      <c r="I19" s="918"/>
      <c r="J19" s="918"/>
      <c r="K19" s="918"/>
      <c r="L19" s="918"/>
      <c r="M19" s="918"/>
      <c r="N19" s="918"/>
      <c r="O19" s="918"/>
      <c r="P19" s="918"/>
    </row>
    <row r="20" spans="1:18" ht="9" customHeight="1">
      <c r="A20" s="907"/>
      <c r="B20" s="908" t="s">
        <v>209</v>
      </c>
      <c r="C20" s="883" t="s">
        <v>435</v>
      </c>
      <c r="D20" s="919">
        <v>3.88</v>
      </c>
      <c r="E20" s="919">
        <v>4.1900000000000004</v>
      </c>
      <c r="F20" s="919">
        <v>4.16</v>
      </c>
      <c r="G20" s="919">
        <v>4.45</v>
      </c>
      <c r="H20" s="919">
        <v>4.37</v>
      </c>
      <c r="I20" s="919">
        <v>4.41</v>
      </c>
      <c r="J20" s="919">
        <v>4.71</v>
      </c>
      <c r="K20" s="919">
        <v>4.4000000000000004</v>
      </c>
      <c r="L20" s="919">
        <v>4.5999999999999996</v>
      </c>
      <c r="M20" s="919">
        <v>3.85</v>
      </c>
      <c r="N20" s="920">
        <v>4.5229486984300697</v>
      </c>
      <c r="O20" s="920">
        <v>5.89</v>
      </c>
      <c r="P20" s="920">
        <v>5.98</v>
      </c>
      <c r="Q20" s="77"/>
      <c r="R20" s="77"/>
    </row>
    <row r="21" spans="1:18" ht="9" customHeight="1">
      <c r="A21" s="909"/>
      <c r="B21" s="908" t="s">
        <v>210</v>
      </c>
      <c r="C21" s="883" t="s">
        <v>435</v>
      </c>
      <c r="D21" s="919">
        <v>4.16</v>
      </c>
      <c r="E21" s="919">
        <v>4.43</v>
      </c>
      <c r="F21" s="919">
        <v>4.4000000000000004</v>
      </c>
      <c r="G21" s="919">
        <v>4.8099999999999996</v>
      </c>
      <c r="H21" s="919">
        <v>4.8</v>
      </c>
      <c r="I21" s="919">
        <v>4.9000000000000004</v>
      </c>
      <c r="J21" s="919">
        <v>5.04</v>
      </c>
      <c r="K21" s="919">
        <v>4.6399999999999997</v>
      </c>
      <c r="L21" s="919">
        <v>4.8600000000000003</v>
      </c>
      <c r="M21" s="919">
        <v>4.04</v>
      </c>
      <c r="N21" s="920">
        <v>4.8499999999999996</v>
      </c>
      <c r="O21" s="920">
        <v>6.22</v>
      </c>
      <c r="P21" s="920">
        <v>6.3</v>
      </c>
      <c r="R21" s="108"/>
    </row>
    <row r="22" spans="1:18" ht="9" customHeight="1">
      <c r="A22" s="909"/>
      <c r="B22" s="908" t="s">
        <v>211</v>
      </c>
      <c r="C22" s="883" t="s">
        <v>435</v>
      </c>
      <c r="D22" s="919">
        <v>5.53</v>
      </c>
      <c r="E22" s="919">
        <v>5.92</v>
      </c>
      <c r="F22" s="919">
        <v>6.39</v>
      </c>
      <c r="G22" s="919">
        <v>6.72</v>
      </c>
      <c r="H22" s="919">
        <v>6.75</v>
      </c>
      <c r="I22" s="919">
        <v>6.85</v>
      </c>
      <c r="J22" s="919">
        <v>7</v>
      </c>
      <c r="K22" s="919">
        <v>6.61</v>
      </c>
      <c r="L22" s="919">
        <v>6.59</v>
      </c>
      <c r="M22" s="919">
        <v>6.12</v>
      </c>
      <c r="N22" s="920">
        <v>6.19</v>
      </c>
      <c r="O22" s="920">
        <v>7.5049999999999999</v>
      </c>
      <c r="P22" s="920">
        <v>7.58</v>
      </c>
      <c r="Q22" s="109"/>
    </row>
    <row r="23" spans="1:18" ht="9" customHeight="1">
      <c r="A23" s="909"/>
      <c r="B23" s="908" t="s">
        <v>212</v>
      </c>
      <c r="C23" s="883" t="s">
        <v>435</v>
      </c>
      <c r="D23" s="919">
        <v>6.75</v>
      </c>
      <c r="E23" s="919">
        <v>7</v>
      </c>
      <c r="F23" s="919">
        <v>7.24</v>
      </c>
      <c r="G23" s="919">
        <v>7.71</v>
      </c>
      <c r="H23" s="919">
        <v>7.88</v>
      </c>
      <c r="I23" s="919">
        <v>8.2799999999999994</v>
      </c>
      <c r="J23" s="919">
        <v>8.51</v>
      </c>
      <c r="K23" s="919">
        <v>8.14</v>
      </c>
      <c r="L23" s="919">
        <v>8.0500000000000007</v>
      </c>
      <c r="M23" s="919">
        <v>7.62</v>
      </c>
      <c r="N23" s="919">
        <v>7.6858333333333322</v>
      </c>
      <c r="O23" s="919">
        <v>9.0050000000000008</v>
      </c>
      <c r="P23" s="919">
        <v>9.67</v>
      </c>
      <c r="Q23" s="108"/>
    </row>
    <row r="24" spans="1:18" ht="4" customHeight="1">
      <c r="A24" s="909"/>
      <c r="B24" s="908"/>
      <c r="C24" s="883"/>
      <c r="D24" s="918"/>
      <c r="E24" s="918"/>
      <c r="F24" s="918"/>
      <c r="G24" s="918"/>
      <c r="H24" s="918"/>
      <c r="I24" s="918"/>
      <c r="J24" s="918"/>
      <c r="K24" s="918"/>
      <c r="L24" s="918"/>
      <c r="M24" s="918"/>
      <c r="N24" s="918"/>
      <c r="O24" s="918"/>
      <c r="P24" s="918"/>
    </row>
    <row r="25" spans="1:18" ht="9" customHeight="1">
      <c r="A25" s="907" t="s">
        <v>326</v>
      </c>
      <c r="B25" s="908"/>
      <c r="C25" s="883"/>
      <c r="D25" s="921"/>
      <c r="E25" s="921"/>
      <c r="F25" s="921"/>
      <c r="G25" s="921"/>
      <c r="H25" s="921"/>
      <c r="I25" s="921"/>
      <c r="J25" s="921"/>
      <c r="K25" s="921"/>
      <c r="L25" s="921"/>
      <c r="M25" s="921"/>
      <c r="N25" s="921"/>
      <c r="O25" s="921"/>
      <c r="P25" s="921"/>
    </row>
    <row r="26" spans="1:18" ht="9" customHeight="1">
      <c r="A26" s="909"/>
      <c r="B26" s="908" t="s">
        <v>138</v>
      </c>
      <c r="C26" s="883" t="s">
        <v>133</v>
      </c>
      <c r="D26" s="910">
        <v>9039.6</v>
      </c>
      <c r="E26" s="910">
        <v>9845.2999999999993</v>
      </c>
      <c r="F26" s="910">
        <v>8769.9</v>
      </c>
      <c r="G26" s="910">
        <v>5597.6</v>
      </c>
      <c r="H26" s="910">
        <v>4478</v>
      </c>
      <c r="I26" s="910">
        <v>4256.8</v>
      </c>
      <c r="J26" s="910">
        <v>4834.5</v>
      </c>
      <c r="K26" s="910">
        <v>4942.8999999999996</v>
      </c>
      <c r="L26" s="910">
        <v>5323.9</v>
      </c>
      <c r="M26" s="910">
        <v>6543.11</v>
      </c>
      <c r="N26" s="910">
        <v>5024.5349999999999</v>
      </c>
      <c r="O26" s="910">
        <v>4187.982</v>
      </c>
      <c r="P26" s="910">
        <v>4039.1950000000002</v>
      </c>
      <c r="Q26" s="106"/>
      <c r="R26" s="514"/>
    </row>
    <row r="27" spans="1:18" ht="9" customHeight="1">
      <c r="A27" s="909"/>
      <c r="B27" s="908" t="s">
        <v>139</v>
      </c>
      <c r="C27" s="883" t="s">
        <v>133</v>
      </c>
      <c r="D27" s="910">
        <v>4180.3999999999996</v>
      </c>
      <c r="E27" s="910">
        <v>4529.2</v>
      </c>
      <c r="F27" s="910">
        <v>4569.8</v>
      </c>
      <c r="G27" s="910">
        <v>4135.3999999999996</v>
      </c>
      <c r="H27" s="910">
        <v>3760.4</v>
      </c>
      <c r="I27" s="910">
        <v>3759.6</v>
      </c>
      <c r="J27" s="910">
        <v>3592.6</v>
      </c>
      <c r="K27" s="910">
        <v>4277</v>
      </c>
      <c r="L27" s="910">
        <v>4063.3</v>
      </c>
      <c r="M27" s="910">
        <v>5011.9380000000001</v>
      </c>
      <c r="N27" s="910">
        <v>4473.3720000000003</v>
      </c>
      <c r="O27" s="910">
        <v>4060.86</v>
      </c>
      <c r="P27" s="910">
        <v>4069.59</v>
      </c>
      <c r="Q27" s="106"/>
      <c r="R27" s="106"/>
    </row>
    <row r="28" spans="1:18" ht="4" customHeight="1">
      <c r="A28" s="909"/>
      <c r="B28" s="908"/>
      <c r="C28" s="883"/>
      <c r="D28" s="908"/>
      <c r="E28" s="908"/>
      <c r="F28" s="908"/>
      <c r="G28" s="908"/>
      <c r="H28" s="908"/>
      <c r="I28" s="908"/>
      <c r="J28" s="908"/>
      <c r="K28" s="908"/>
      <c r="L28" s="908"/>
      <c r="M28" s="908"/>
      <c r="N28" s="908"/>
      <c r="O28" s="908"/>
      <c r="P28" s="908"/>
    </row>
    <row r="29" spans="1:18" ht="9" customHeight="1">
      <c r="A29" s="907" t="s">
        <v>327</v>
      </c>
      <c r="B29" s="908"/>
      <c r="C29" s="883"/>
      <c r="D29" s="922"/>
      <c r="E29" s="922"/>
      <c r="F29" s="922"/>
      <c r="G29" s="922"/>
      <c r="H29" s="922"/>
      <c r="I29" s="922"/>
      <c r="J29" s="922"/>
      <c r="K29" s="922"/>
      <c r="L29" s="922"/>
      <c r="M29" s="922"/>
      <c r="N29" s="922"/>
      <c r="O29" s="922"/>
      <c r="P29" s="922"/>
      <c r="Q29" s="106"/>
    </row>
    <row r="30" spans="1:18" ht="9" customHeight="1">
      <c r="A30" s="909"/>
      <c r="B30" s="911" t="s">
        <v>208</v>
      </c>
      <c r="C30" s="883" t="s">
        <v>218</v>
      </c>
      <c r="D30" s="449">
        <v>1031493</v>
      </c>
      <c r="E30" s="449">
        <v>1123093</v>
      </c>
      <c r="F30" s="449">
        <v>1226207</v>
      </c>
      <c r="G30" s="449">
        <v>1268686</v>
      </c>
      <c r="H30" s="449">
        <v>1333429</v>
      </c>
      <c r="I30" s="449">
        <v>1441252</v>
      </c>
      <c r="J30" s="449">
        <v>1540472</v>
      </c>
      <c r="K30" s="449">
        <v>1608072</v>
      </c>
      <c r="L30" s="449">
        <v>1745540</v>
      </c>
      <c r="M30" s="449">
        <v>1792476</v>
      </c>
      <c r="N30" s="449">
        <v>1786771</v>
      </c>
      <c r="O30" s="449">
        <v>1842269.2</v>
      </c>
      <c r="P30" s="449">
        <v>1882830</v>
      </c>
      <c r="R30" s="77"/>
    </row>
    <row r="31" spans="1:18" ht="9" customHeight="1">
      <c r="A31" s="909"/>
      <c r="B31" s="911" t="s">
        <v>135</v>
      </c>
      <c r="C31" s="883" t="s">
        <v>218</v>
      </c>
      <c r="D31" s="449">
        <v>951245</v>
      </c>
      <c r="E31" s="449">
        <v>1009651</v>
      </c>
      <c r="F31" s="449">
        <v>1093406</v>
      </c>
      <c r="G31" s="449">
        <v>1175740</v>
      </c>
      <c r="H31" s="449">
        <v>1233132</v>
      </c>
      <c r="I31" s="449">
        <v>1329926</v>
      </c>
      <c r="J31" s="449">
        <v>1405514</v>
      </c>
      <c r="K31" s="449">
        <v>1480708</v>
      </c>
      <c r="L31" s="449">
        <v>1616317</v>
      </c>
      <c r="M31" s="449">
        <v>1658504</v>
      </c>
      <c r="N31" s="449">
        <v>1660444</v>
      </c>
      <c r="O31" s="449">
        <v>1705918.9</v>
      </c>
      <c r="P31" s="449">
        <v>1746956</v>
      </c>
      <c r="R31" s="449"/>
    </row>
    <row r="32" spans="1:18" ht="9" customHeight="1">
      <c r="A32" s="909"/>
      <c r="B32" s="908" t="s">
        <v>16</v>
      </c>
      <c r="C32" s="883" t="s">
        <v>218</v>
      </c>
      <c r="D32" s="449">
        <v>285102</v>
      </c>
      <c r="E32" s="449">
        <v>317654</v>
      </c>
      <c r="F32" s="449">
        <v>314024</v>
      </c>
      <c r="G32" s="449">
        <v>349791</v>
      </c>
      <c r="H32" s="449">
        <v>358630</v>
      </c>
      <c r="I32" s="449">
        <v>386255</v>
      </c>
      <c r="J32" s="449">
        <v>400980</v>
      </c>
      <c r="K32" s="449">
        <v>415335</v>
      </c>
      <c r="L32" s="449">
        <v>452234</v>
      </c>
      <c r="M32" s="449">
        <v>488484</v>
      </c>
      <c r="N32" s="449">
        <v>497525</v>
      </c>
      <c r="O32" s="449">
        <v>504112</v>
      </c>
      <c r="P32" s="449">
        <v>510962</v>
      </c>
      <c r="Q32" s="77"/>
      <c r="R32" s="449"/>
    </row>
    <row r="33" spans="1:28" ht="4" customHeight="1">
      <c r="A33" s="909"/>
      <c r="B33" s="916"/>
      <c r="C33" s="883"/>
      <c r="D33" s="912"/>
      <c r="E33" s="923"/>
      <c r="F33" s="923"/>
      <c r="G33" s="923"/>
      <c r="H33" s="912"/>
      <c r="I33" s="912"/>
      <c r="J33" s="912"/>
      <c r="K33" s="912"/>
      <c r="L33" s="912"/>
      <c r="M33" s="912"/>
      <c r="N33" s="912"/>
      <c r="O33" s="912"/>
      <c r="P33" s="912"/>
    </row>
    <row r="34" spans="1:28" ht="9" customHeight="1">
      <c r="A34" s="419" t="s">
        <v>328</v>
      </c>
      <c r="B34" s="916"/>
      <c r="C34" s="883"/>
      <c r="D34" s="924"/>
      <c r="E34" s="924"/>
      <c r="F34" s="924"/>
      <c r="G34" s="924"/>
      <c r="H34" s="924"/>
      <c r="I34" s="924"/>
      <c r="J34" s="924"/>
      <c r="K34" s="924"/>
      <c r="L34" s="924"/>
      <c r="M34" s="924"/>
      <c r="N34" s="924"/>
      <c r="O34" s="924"/>
      <c r="P34" s="924"/>
    </row>
    <row r="35" spans="1:28" ht="9" customHeight="1">
      <c r="A35" s="909"/>
      <c r="B35" s="911" t="s">
        <v>208</v>
      </c>
      <c r="C35" s="883" t="s">
        <v>436</v>
      </c>
      <c r="D35" s="910">
        <v>35</v>
      </c>
      <c r="E35" s="910">
        <v>37.700000000000003</v>
      </c>
      <c r="F35" s="910">
        <v>40.689</v>
      </c>
      <c r="G35" s="910">
        <v>41.63</v>
      </c>
      <c r="H35" s="910">
        <v>43.273000000000003</v>
      </c>
      <c r="I35" s="910">
        <v>46.265999999999998</v>
      </c>
      <c r="J35" s="910">
        <v>48.921999999999997</v>
      </c>
      <c r="K35" s="910">
        <v>50.896000000000001</v>
      </c>
      <c r="L35" s="910">
        <v>54.311</v>
      </c>
      <c r="M35" s="910">
        <v>56.02</v>
      </c>
      <c r="N35" s="910">
        <v>54.433999999999997</v>
      </c>
      <c r="O35" s="910">
        <v>55.575000000000003</v>
      </c>
      <c r="P35" s="910">
        <v>56.253</v>
      </c>
      <c r="Q35" s="935"/>
      <c r="R35" s="935"/>
      <c r="S35" s="935"/>
      <c r="T35" s="935"/>
      <c r="U35" s="935"/>
      <c r="V35" s="935"/>
      <c r="W35" s="935"/>
      <c r="X35" s="935"/>
      <c r="Y35" s="935"/>
      <c r="Z35" s="935"/>
      <c r="AA35" s="935"/>
      <c r="AB35" s="935"/>
    </row>
    <row r="36" spans="1:28" ht="9" customHeight="1">
      <c r="A36" s="909"/>
      <c r="B36" s="911" t="s">
        <v>135</v>
      </c>
      <c r="C36" s="883" t="s">
        <v>436</v>
      </c>
      <c r="D36" s="910">
        <v>32.299999999999997</v>
      </c>
      <c r="E36" s="910">
        <v>33.9</v>
      </c>
      <c r="F36" s="910">
        <v>36.283000000000001</v>
      </c>
      <c r="G36" s="910">
        <v>38.58</v>
      </c>
      <c r="H36" s="910">
        <v>40.018000000000001</v>
      </c>
      <c r="I36" s="910">
        <v>42.692</v>
      </c>
      <c r="J36" s="910">
        <v>44.636000000000003</v>
      </c>
      <c r="K36" s="910">
        <v>46.860999999999997</v>
      </c>
      <c r="L36" s="910">
        <v>50.286999999999999</v>
      </c>
      <c r="M36" s="910">
        <v>51.901000000000003</v>
      </c>
      <c r="N36" s="910">
        <v>50.585999999999999</v>
      </c>
      <c r="O36" s="910">
        <v>51.462000000000003</v>
      </c>
      <c r="P36" s="910">
        <v>52.194000000000003</v>
      </c>
      <c r="Q36" s="935"/>
      <c r="R36" s="935"/>
      <c r="S36" s="935"/>
      <c r="T36" s="935"/>
      <c r="U36" s="935"/>
      <c r="V36" s="935"/>
      <c r="W36" s="935"/>
      <c r="X36" s="935"/>
      <c r="Y36" s="935"/>
      <c r="Z36" s="935"/>
      <c r="AA36" s="935"/>
      <c r="AB36" s="935"/>
    </row>
    <row r="37" spans="1:28" ht="9" customHeight="1">
      <c r="A37" s="909"/>
      <c r="B37" s="908" t="s">
        <v>16</v>
      </c>
      <c r="C37" s="883" t="s">
        <v>436</v>
      </c>
      <c r="D37" s="910">
        <v>9.6999999999999993</v>
      </c>
      <c r="E37" s="910">
        <v>10.7</v>
      </c>
      <c r="F37" s="910">
        <v>10.42</v>
      </c>
      <c r="G37" s="910">
        <v>11.478</v>
      </c>
      <c r="H37" s="910">
        <v>11.638</v>
      </c>
      <c r="I37" s="910">
        <v>12.398999999999999</v>
      </c>
      <c r="J37" s="910">
        <v>12.734</v>
      </c>
      <c r="K37" s="910">
        <v>13.05</v>
      </c>
      <c r="L37" s="910">
        <v>14.061</v>
      </c>
      <c r="M37" s="910">
        <v>15.025</v>
      </c>
      <c r="N37" s="910">
        <v>15.157</v>
      </c>
      <c r="O37" s="910">
        <v>15.207000000000001</v>
      </c>
      <c r="P37" s="910">
        <v>15.266</v>
      </c>
      <c r="Q37" s="935"/>
      <c r="R37" s="935"/>
      <c r="S37" s="935"/>
      <c r="T37" s="935"/>
      <c r="U37" s="935"/>
      <c r="V37" s="935"/>
      <c r="W37" s="935"/>
      <c r="X37" s="935"/>
      <c r="Y37" s="935"/>
      <c r="Z37" s="935"/>
      <c r="AA37" s="935"/>
      <c r="AB37" s="935"/>
    </row>
    <row r="38" spans="1:28" ht="9" customHeight="1">
      <c r="A38" s="909"/>
      <c r="B38" s="911"/>
      <c r="C38" s="883" t="s">
        <v>300</v>
      </c>
      <c r="D38" s="449">
        <v>154</v>
      </c>
      <c r="E38" s="449">
        <v>170</v>
      </c>
      <c r="F38" s="449">
        <v>166</v>
      </c>
      <c r="G38" s="449">
        <v>183</v>
      </c>
      <c r="H38" s="449">
        <v>186</v>
      </c>
      <c r="I38" s="449">
        <v>198</v>
      </c>
      <c r="J38" s="449">
        <v>203</v>
      </c>
      <c r="K38" s="449">
        <v>208</v>
      </c>
      <c r="L38" s="449">
        <v>224</v>
      </c>
      <c r="M38" s="449">
        <v>240</v>
      </c>
      <c r="N38" s="449">
        <v>242</v>
      </c>
      <c r="O38" s="449">
        <v>243</v>
      </c>
      <c r="P38" s="449">
        <v>244</v>
      </c>
    </row>
    <row r="39" spans="1:28" ht="4" customHeight="1">
      <c r="A39" s="909"/>
      <c r="B39" s="911"/>
      <c r="C39" s="883"/>
      <c r="D39" s="912"/>
      <c r="E39" s="912"/>
      <c r="F39" s="912"/>
      <c r="G39" s="912"/>
      <c r="H39" s="912"/>
      <c r="I39" s="912"/>
      <c r="J39" s="912"/>
      <c r="K39" s="912"/>
      <c r="L39" s="912"/>
      <c r="M39" s="912"/>
      <c r="N39" s="912"/>
      <c r="O39" s="912"/>
      <c r="P39" s="912"/>
    </row>
    <row r="40" spans="1:28" ht="9" customHeight="1">
      <c r="A40" s="907" t="s">
        <v>215</v>
      </c>
      <c r="B40" s="908"/>
      <c r="C40" s="883"/>
      <c r="D40" s="913"/>
      <c r="E40" s="913"/>
      <c r="F40" s="913"/>
      <c r="G40" s="913"/>
      <c r="H40" s="913"/>
      <c r="I40" s="913"/>
      <c r="J40" s="913"/>
      <c r="K40" s="913"/>
      <c r="L40" s="913"/>
      <c r="M40" s="913"/>
      <c r="N40" s="913"/>
      <c r="O40" s="913"/>
      <c r="P40" s="913"/>
    </row>
    <row r="41" spans="1:28" ht="9" customHeight="1">
      <c r="A41" s="909"/>
      <c r="B41" s="911" t="s">
        <v>208</v>
      </c>
      <c r="C41" s="883" t="s">
        <v>218</v>
      </c>
      <c r="D41" s="449">
        <v>663307</v>
      </c>
      <c r="E41" s="449">
        <v>667741</v>
      </c>
      <c r="F41" s="449">
        <v>700274</v>
      </c>
      <c r="G41" s="449">
        <v>714462</v>
      </c>
      <c r="H41" s="449">
        <v>731096</v>
      </c>
      <c r="I41" s="449">
        <v>775685</v>
      </c>
      <c r="J41" s="449">
        <v>782264</v>
      </c>
      <c r="K41" s="449">
        <v>809020</v>
      </c>
      <c r="L41" s="449">
        <v>833996</v>
      </c>
      <c r="M41" s="449">
        <v>856947</v>
      </c>
      <c r="N41" s="449">
        <v>850798</v>
      </c>
      <c r="O41" s="449">
        <v>856508</v>
      </c>
      <c r="P41" s="449">
        <v>830462</v>
      </c>
    </row>
    <row r="42" spans="1:28" ht="9" customHeight="1">
      <c r="A42" s="909"/>
      <c r="B42" s="911" t="s">
        <v>135</v>
      </c>
      <c r="C42" s="883" t="s">
        <v>218</v>
      </c>
      <c r="D42" s="915">
        <v>610168</v>
      </c>
      <c r="E42" s="915">
        <v>612926</v>
      </c>
      <c r="F42" s="915">
        <v>637376</v>
      </c>
      <c r="G42" s="915">
        <v>652364</v>
      </c>
      <c r="H42" s="915">
        <v>682187</v>
      </c>
      <c r="I42" s="915">
        <v>700034</v>
      </c>
      <c r="J42" s="915">
        <v>726536</v>
      </c>
      <c r="K42" s="915">
        <v>755693</v>
      </c>
      <c r="L42" s="915">
        <v>759191</v>
      </c>
      <c r="M42" s="915">
        <v>772967</v>
      </c>
      <c r="N42" s="915">
        <v>777584</v>
      </c>
      <c r="O42" s="915">
        <v>805788</v>
      </c>
      <c r="P42" s="915">
        <v>802830</v>
      </c>
    </row>
    <row r="43" spans="1:28" ht="9" customHeight="1">
      <c r="A43" s="909"/>
      <c r="B43" s="908" t="s">
        <v>16</v>
      </c>
      <c r="C43" s="883" t="s">
        <v>218</v>
      </c>
      <c r="D43" s="449">
        <v>136849</v>
      </c>
      <c r="E43" s="449">
        <v>139128</v>
      </c>
      <c r="F43" s="449">
        <v>138171</v>
      </c>
      <c r="G43" s="449">
        <v>145163</v>
      </c>
      <c r="H43" s="449">
        <v>154211</v>
      </c>
      <c r="I43" s="449">
        <v>162227</v>
      </c>
      <c r="J43" s="449">
        <v>168412</v>
      </c>
      <c r="K43" s="449">
        <v>174441</v>
      </c>
      <c r="L43" s="449">
        <v>185416</v>
      </c>
      <c r="M43" s="449">
        <v>195394</v>
      </c>
      <c r="N43" s="449">
        <v>199110</v>
      </c>
      <c r="O43" s="449">
        <v>208961</v>
      </c>
      <c r="P43" s="449">
        <v>219713</v>
      </c>
      <c r="Q43" s="204"/>
      <c r="R43" s="204"/>
      <c r="S43" s="204"/>
      <c r="T43" s="204"/>
      <c r="U43" s="204"/>
      <c r="V43" s="204"/>
      <c r="W43" s="204"/>
      <c r="X43" s="204"/>
      <c r="Y43" s="204"/>
    </row>
    <row r="44" spans="1:28" ht="4" customHeight="1">
      <c r="A44" s="909"/>
      <c r="B44" s="916"/>
      <c r="C44" s="883"/>
      <c r="D44" s="918"/>
      <c r="E44" s="918"/>
      <c r="F44" s="918"/>
      <c r="G44" s="918"/>
      <c r="H44" s="918"/>
      <c r="I44" s="918"/>
      <c r="J44" s="918"/>
      <c r="K44" s="918"/>
      <c r="L44" s="918"/>
      <c r="M44" s="918"/>
      <c r="N44" s="918"/>
      <c r="O44" s="918"/>
      <c r="P44" s="918"/>
    </row>
    <row r="45" spans="1:28" ht="9" customHeight="1">
      <c r="A45" s="419" t="s">
        <v>329</v>
      </c>
      <c r="B45" s="916"/>
      <c r="C45" s="883"/>
      <c r="D45" s="924"/>
      <c r="E45" s="924"/>
      <c r="F45" s="924"/>
      <c r="G45" s="924"/>
      <c r="H45" s="924"/>
      <c r="I45" s="924"/>
      <c r="J45" s="924"/>
      <c r="K45" s="924"/>
      <c r="L45" s="924"/>
      <c r="M45" s="924"/>
      <c r="N45" s="924"/>
      <c r="O45" s="924"/>
      <c r="P45" s="924"/>
    </row>
    <row r="46" spans="1:28" ht="9" customHeight="1">
      <c r="A46" s="909"/>
      <c r="B46" s="911" t="s">
        <v>208</v>
      </c>
      <c r="C46" s="883" t="s">
        <v>436</v>
      </c>
      <c r="D46" s="910">
        <v>64.3</v>
      </c>
      <c r="E46" s="910">
        <v>71.8</v>
      </c>
      <c r="F46" s="910">
        <v>74.097999999999999</v>
      </c>
      <c r="G46" s="910">
        <v>74.421999999999997</v>
      </c>
      <c r="H46" s="910">
        <v>74.697000000000003</v>
      </c>
      <c r="I46" s="910">
        <v>75.286000000000001</v>
      </c>
      <c r="J46" s="910">
        <v>77.766000000000005</v>
      </c>
      <c r="K46" s="910">
        <v>79.176000000000002</v>
      </c>
      <c r="L46" s="910">
        <v>80.358999999999995</v>
      </c>
      <c r="M46" s="910">
        <v>81.295000000000002</v>
      </c>
      <c r="N46" s="910">
        <v>77.278000000000006</v>
      </c>
      <c r="O46" s="910">
        <v>78.763000000000005</v>
      </c>
      <c r="P46" s="910">
        <v>78.763000000000005</v>
      </c>
      <c r="Q46" s="935"/>
      <c r="R46" s="935"/>
      <c r="S46" s="935"/>
      <c r="T46" s="935"/>
      <c r="U46" s="935"/>
      <c r="V46" s="935"/>
      <c r="W46" s="935"/>
      <c r="X46" s="935"/>
      <c r="Y46" s="935"/>
      <c r="Z46" s="935"/>
      <c r="AA46" s="935"/>
    </row>
    <row r="47" spans="1:28" ht="9" customHeight="1">
      <c r="A47" s="909"/>
      <c r="B47" s="911" t="s">
        <v>135</v>
      </c>
      <c r="C47" s="883" t="s">
        <v>436</v>
      </c>
      <c r="D47" s="910">
        <v>59.1</v>
      </c>
      <c r="E47" s="910">
        <v>65.900000000000006</v>
      </c>
      <c r="F47" s="910">
        <v>67.442999999999998</v>
      </c>
      <c r="G47" s="910">
        <v>67.953999999999994</v>
      </c>
      <c r="H47" s="910">
        <v>69.956000000000003</v>
      </c>
      <c r="I47" s="910">
        <v>70.677000000000007</v>
      </c>
      <c r="J47" s="910">
        <v>72.225999999999999</v>
      </c>
      <c r="K47" s="910">
        <v>73.956999999999994</v>
      </c>
      <c r="L47" s="910">
        <v>73.152000000000001</v>
      </c>
      <c r="M47" s="910">
        <v>73.328999999999994</v>
      </c>
      <c r="N47" s="910">
        <v>72.626999999999995</v>
      </c>
      <c r="O47" s="910">
        <v>74.099000000000004</v>
      </c>
      <c r="P47" s="910">
        <v>74.099000000000004</v>
      </c>
      <c r="Q47" s="935"/>
      <c r="R47" s="935"/>
      <c r="S47" s="935"/>
      <c r="T47" s="935"/>
      <c r="U47" s="935"/>
      <c r="V47" s="935"/>
      <c r="W47" s="935"/>
      <c r="X47" s="935"/>
      <c r="Y47" s="935"/>
      <c r="Z47" s="935"/>
      <c r="AA47" s="935"/>
    </row>
    <row r="48" spans="1:28" ht="9" customHeight="1">
      <c r="A48" s="909"/>
      <c r="B48" s="908" t="s">
        <v>16</v>
      </c>
      <c r="C48" s="883" t="s">
        <v>436</v>
      </c>
      <c r="D48" s="910">
        <v>13.3</v>
      </c>
      <c r="E48" s="910">
        <v>15</v>
      </c>
      <c r="F48" s="910">
        <v>14.62</v>
      </c>
      <c r="G48" s="910">
        <v>15.121</v>
      </c>
      <c r="H48" s="910">
        <v>15.814</v>
      </c>
      <c r="I48" s="910">
        <v>16.379000000000001</v>
      </c>
      <c r="J48" s="910">
        <v>16.742000000000001</v>
      </c>
      <c r="K48" s="910">
        <v>17.071999999999999</v>
      </c>
      <c r="L48" s="910">
        <v>17.866</v>
      </c>
      <c r="M48" s="910">
        <v>18.536000000000001</v>
      </c>
      <c r="N48" s="910">
        <v>18.597000000000001</v>
      </c>
      <c r="O48" s="910">
        <v>19.216000000000001</v>
      </c>
      <c r="P48" s="910">
        <v>19.891999999999999</v>
      </c>
      <c r="Q48" s="935"/>
      <c r="R48" s="935"/>
      <c r="S48" s="935"/>
      <c r="T48" s="935"/>
      <c r="U48" s="935"/>
      <c r="V48" s="935"/>
      <c r="W48" s="935"/>
      <c r="X48" s="935"/>
      <c r="Y48" s="935"/>
      <c r="Z48" s="935"/>
      <c r="AA48" s="935"/>
    </row>
    <row r="49" spans="1:28" ht="4" customHeight="1">
      <c r="A49" s="909"/>
      <c r="B49" s="916"/>
      <c r="C49" s="883" t="s">
        <v>300</v>
      </c>
      <c r="D49" s="449">
        <v>212</v>
      </c>
      <c r="E49" s="449">
        <v>239</v>
      </c>
      <c r="F49" s="449">
        <v>234</v>
      </c>
      <c r="G49" s="449">
        <v>242</v>
      </c>
      <c r="H49" s="449">
        <v>253.1</v>
      </c>
      <c r="I49" s="449">
        <v>262.10000000000002</v>
      </c>
      <c r="J49" s="449">
        <v>267.89999999999998</v>
      </c>
      <c r="K49" s="449">
        <v>273.2</v>
      </c>
      <c r="L49" s="449">
        <v>285.89999999999998</v>
      </c>
      <c r="M49" s="449">
        <v>296.7</v>
      </c>
      <c r="N49" s="449">
        <v>297.60000000000002</v>
      </c>
      <c r="O49" s="449">
        <v>304.2</v>
      </c>
      <c r="P49" s="449">
        <v>304.2</v>
      </c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</row>
    <row r="50" spans="1:28" ht="9" customHeight="1">
      <c r="A50" s="909"/>
      <c r="B50" s="916"/>
      <c r="C50" s="883"/>
      <c r="D50" s="922"/>
      <c r="E50" s="922"/>
      <c r="F50" s="922"/>
      <c r="G50" s="922"/>
      <c r="H50" s="922"/>
      <c r="I50" s="922"/>
      <c r="J50" s="922"/>
      <c r="K50" s="922"/>
      <c r="L50" s="922"/>
      <c r="M50" s="922"/>
      <c r="N50" s="922"/>
      <c r="O50" s="922"/>
      <c r="P50" s="922"/>
    </row>
    <row r="51" spans="1:28" ht="9" customHeight="1">
      <c r="A51" s="909" t="s">
        <v>330</v>
      </c>
      <c r="B51" s="908"/>
      <c r="C51" s="925" t="s">
        <v>299</v>
      </c>
      <c r="D51" s="917">
        <v>2.8239999999999998</v>
      </c>
      <c r="E51" s="917">
        <v>2.754</v>
      </c>
      <c r="F51" s="917">
        <v>2.6379999999999999</v>
      </c>
      <c r="G51" s="917">
        <v>2.702</v>
      </c>
      <c r="H51" s="917">
        <v>2.8380000000000001</v>
      </c>
      <c r="I51" s="917">
        <v>3.1850000000000001</v>
      </c>
      <c r="J51" s="917">
        <v>3.375</v>
      </c>
      <c r="K51" s="917">
        <v>3.26</v>
      </c>
      <c r="L51" s="917">
        <v>3.2869999999999999</v>
      </c>
      <c r="M51" s="917">
        <v>3.335</v>
      </c>
      <c r="N51" s="917">
        <v>3.4950000000000001</v>
      </c>
      <c r="O51" s="917">
        <v>3.8809999999999998</v>
      </c>
      <c r="P51" s="917">
        <v>3.835</v>
      </c>
    </row>
    <row r="52" spans="1:28" ht="2" customHeight="1" thickBot="1">
      <c r="A52" s="74"/>
      <c r="B52" s="74"/>
      <c r="C52" s="11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</row>
    <row r="53" spans="1:28" ht="9" customHeight="1">
      <c r="A53" s="796"/>
      <c r="B53" s="778" t="s">
        <v>402</v>
      </c>
      <c r="C53" s="778" t="s">
        <v>422</v>
      </c>
      <c r="D53" s="794"/>
      <c r="E53" s="794"/>
      <c r="F53" s="802"/>
      <c r="G53" s="866" t="s">
        <v>423</v>
      </c>
      <c r="H53" s="794"/>
      <c r="I53" s="794"/>
      <c r="J53" s="866" t="s">
        <v>424</v>
      </c>
      <c r="K53" s="794"/>
      <c r="L53" s="188"/>
      <c r="M53" s="794" t="s">
        <v>363</v>
      </c>
      <c r="N53" s="188"/>
      <c r="O53" s="188"/>
      <c r="P53" s="188"/>
      <c r="Q53" s="190"/>
      <c r="R53" s="190"/>
    </row>
    <row r="54" spans="1:28" ht="9" customHeight="1">
      <c r="A54" s="796"/>
      <c r="B54" s="865" t="s">
        <v>376</v>
      </c>
      <c r="C54" s="865"/>
      <c r="D54" s="796"/>
      <c r="E54" s="796"/>
      <c r="F54" s="796"/>
      <c r="G54" s="796"/>
      <c r="H54" s="796"/>
      <c r="I54" s="796"/>
      <c r="J54" s="796"/>
      <c r="K54" s="796"/>
      <c r="L54" s="190"/>
      <c r="M54" s="190"/>
      <c r="N54" s="190"/>
      <c r="O54" s="190"/>
      <c r="P54" s="190"/>
      <c r="Q54" s="190"/>
      <c r="R54" s="190"/>
    </row>
    <row r="55" spans="1:28" ht="9" customHeight="1">
      <c r="A55" s="796"/>
      <c r="B55" s="780" t="s">
        <v>358</v>
      </c>
      <c r="C55" s="780"/>
      <c r="D55" s="796"/>
      <c r="E55" s="796"/>
      <c r="F55" s="796"/>
      <c r="G55" s="796"/>
      <c r="H55" s="796"/>
      <c r="I55" s="796"/>
      <c r="J55" s="796"/>
      <c r="K55" s="796"/>
      <c r="L55" s="190"/>
      <c r="M55" s="190"/>
      <c r="N55" s="190"/>
      <c r="O55" s="190"/>
      <c r="P55" s="190"/>
      <c r="Q55" s="190"/>
      <c r="R55" s="190"/>
    </row>
    <row r="56" spans="1:28" ht="10.25" customHeight="1">
      <c r="A56" s="796"/>
      <c r="B56" s="796"/>
      <c r="C56" s="796"/>
      <c r="D56" s="796"/>
      <c r="E56" s="796"/>
      <c r="F56" s="794"/>
      <c r="G56" s="794"/>
      <c r="H56" s="794"/>
      <c r="I56" s="794"/>
      <c r="J56" s="794"/>
      <c r="K56" s="794"/>
      <c r="L56" s="188"/>
      <c r="M56" s="188"/>
      <c r="N56" s="188"/>
      <c r="O56" s="188"/>
      <c r="P56" s="188"/>
      <c r="Q56" s="190"/>
      <c r="R56" s="190"/>
    </row>
    <row r="57" spans="1:28" ht="13.25" customHeight="1">
      <c r="J57" s="78"/>
    </row>
  </sheetData>
  <mergeCells count="2">
    <mergeCell ref="A3:P3"/>
    <mergeCell ref="A4:B4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Hoja116">
    <tabColor theme="9" tint="0.59999389629810485"/>
  </sheetPr>
  <dimension ref="A3:V59"/>
  <sheetViews>
    <sheetView showGridLines="0" zoomScaleNormal="100" workbookViewId="0">
      <selection activeCell="M17" sqref="M17:M21"/>
    </sheetView>
  </sheetViews>
  <sheetFormatPr baseColWidth="10" defaultColWidth="7" defaultRowHeight="13.25" customHeight="1"/>
  <cols>
    <col min="1" max="1" width="13.19921875" style="97" customWidth="1"/>
    <col min="2" max="9" width="8" style="97" hidden="1" customWidth="1"/>
    <col min="10" max="21" width="9" style="97" customWidth="1"/>
    <col min="22" max="23" width="8.59765625" style="97" customWidth="1"/>
    <col min="24" max="27" width="8.3984375" style="97" customWidth="1"/>
    <col min="28" max="16384" width="7" style="97"/>
  </cols>
  <sheetData>
    <row r="3" spans="1:21" ht="13.25" customHeight="1">
      <c r="A3" s="423" t="s">
        <v>575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</row>
    <row r="4" spans="1:21" ht="13.25" customHeight="1">
      <c r="A4" s="422" t="s">
        <v>304</v>
      </c>
    </row>
    <row r="5" spans="1:21" ht="4.25" customHeight="1" thickBot="1">
      <c r="A5" s="1000"/>
      <c r="B5" s="1000"/>
      <c r="C5" s="1000"/>
      <c r="D5" s="1000"/>
      <c r="E5" s="1000"/>
      <c r="F5" s="1000"/>
      <c r="G5" s="1000"/>
      <c r="H5" s="1000"/>
      <c r="I5" s="1000"/>
      <c r="J5" s="1000"/>
      <c r="K5" s="1000"/>
      <c r="L5" s="1000"/>
      <c r="M5" s="1000"/>
      <c r="N5" s="1000"/>
      <c r="O5" s="1000"/>
      <c r="P5" s="1000"/>
      <c r="Q5" s="1000"/>
      <c r="R5" s="1000"/>
      <c r="S5" s="1000"/>
      <c r="T5" s="1000"/>
      <c r="U5" s="1000"/>
    </row>
    <row r="6" spans="1:21" ht="15" customHeight="1">
      <c r="A6" s="750" t="s">
        <v>53</v>
      </c>
      <c r="B6" s="750">
        <v>2000</v>
      </c>
      <c r="C6" s="750">
        <v>2001</v>
      </c>
      <c r="D6" s="750">
        <v>2002</v>
      </c>
      <c r="E6" s="750">
        <v>2003</v>
      </c>
      <c r="F6" s="750">
        <v>2004</v>
      </c>
      <c r="G6" s="750">
        <v>2005</v>
      </c>
      <c r="H6" s="750">
        <v>2009</v>
      </c>
      <c r="I6" s="750">
        <v>2010</v>
      </c>
      <c r="J6" s="870" t="s">
        <v>306</v>
      </c>
      <c r="K6" s="870" t="s">
        <v>307</v>
      </c>
      <c r="L6" s="870" t="s">
        <v>308</v>
      </c>
      <c r="M6" s="870" t="s">
        <v>309</v>
      </c>
      <c r="N6" s="870" t="s">
        <v>310</v>
      </c>
      <c r="O6" s="870" t="s">
        <v>311</v>
      </c>
      <c r="P6" s="870" t="s">
        <v>312</v>
      </c>
      <c r="Q6" s="870" t="s">
        <v>305</v>
      </c>
      <c r="R6" s="750">
        <v>2019</v>
      </c>
      <c r="S6" s="750">
        <v>2020</v>
      </c>
      <c r="T6" s="750">
        <v>2021</v>
      </c>
      <c r="U6" s="750" t="s">
        <v>574</v>
      </c>
    </row>
    <row r="7" spans="1:21" ht="5" customHeight="1"/>
    <row r="8" spans="1:21" ht="9" customHeight="1">
      <c r="A8" s="904" t="s">
        <v>302</v>
      </c>
    </row>
    <row r="9" spans="1:21" ht="2" customHeight="1"/>
    <row r="10" spans="1:21" ht="10.25" customHeight="1">
      <c r="A10" s="904" t="s">
        <v>313</v>
      </c>
    </row>
    <row r="11" spans="1:21" ht="10.25" customHeight="1">
      <c r="A11" s="95" t="s">
        <v>140</v>
      </c>
      <c r="B11" s="905">
        <v>92749</v>
      </c>
      <c r="C11" s="905">
        <v>97776</v>
      </c>
      <c r="D11" s="905">
        <v>80988</v>
      </c>
      <c r="E11" s="905">
        <v>113000</v>
      </c>
      <c r="F11" s="905">
        <v>102500</v>
      </c>
      <c r="G11" s="905">
        <v>117060</v>
      </c>
      <c r="H11" s="905">
        <v>133600</v>
      </c>
      <c r="I11" s="905">
        <v>137210</v>
      </c>
      <c r="J11" s="905">
        <v>145610</v>
      </c>
      <c r="K11" s="905">
        <v>126800</v>
      </c>
      <c r="L11" s="905">
        <v>163845</v>
      </c>
      <c r="M11" s="905">
        <v>204535</v>
      </c>
      <c r="N11" s="905">
        <v>189474</v>
      </c>
      <c r="O11" s="905">
        <v>193317</v>
      </c>
      <c r="P11" s="905">
        <v>132712</v>
      </c>
      <c r="Q11" s="905">
        <v>73793</v>
      </c>
      <c r="R11" s="905">
        <v>159615</v>
      </c>
      <c r="S11" s="905">
        <v>139183</v>
      </c>
      <c r="T11" s="905">
        <v>158193</v>
      </c>
      <c r="U11" s="905">
        <v>187991</v>
      </c>
    </row>
    <row r="12" spans="1:21" ht="10.25" customHeight="1">
      <c r="A12" s="95" t="s">
        <v>141</v>
      </c>
      <c r="B12" s="905">
        <v>0</v>
      </c>
      <c r="C12" s="905">
        <v>0</v>
      </c>
      <c r="D12" s="905">
        <v>0</v>
      </c>
      <c r="E12" s="905">
        <v>0</v>
      </c>
      <c r="F12" s="905">
        <v>0</v>
      </c>
      <c r="G12" s="905">
        <v>0</v>
      </c>
      <c r="H12" s="905">
        <v>0</v>
      </c>
      <c r="I12" s="905">
        <v>0</v>
      </c>
      <c r="J12" s="905">
        <v>0</v>
      </c>
      <c r="K12" s="905">
        <v>0</v>
      </c>
      <c r="L12" s="905">
        <v>0</v>
      </c>
      <c r="M12" s="905">
        <v>0</v>
      </c>
      <c r="N12" s="905">
        <v>0</v>
      </c>
      <c r="O12" s="905">
        <v>0</v>
      </c>
      <c r="P12" s="905">
        <v>0</v>
      </c>
      <c r="Q12" s="905">
        <v>0</v>
      </c>
      <c r="R12" s="905">
        <v>0</v>
      </c>
      <c r="S12" s="905">
        <v>0</v>
      </c>
      <c r="T12" s="905">
        <v>0</v>
      </c>
      <c r="U12" s="905">
        <v>0</v>
      </c>
    </row>
    <row r="13" spans="1:21" ht="10.25" customHeight="1">
      <c r="A13" s="95" t="s">
        <v>142</v>
      </c>
      <c r="B13" s="905">
        <v>92749</v>
      </c>
      <c r="C13" s="905">
        <v>97776</v>
      </c>
      <c r="D13" s="905">
        <v>80988</v>
      </c>
      <c r="E13" s="905">
        <v>113000</v>
      </c>
      <c r="F13" s="905">
        <v>102500</v>
      </c>
      <c r="G13" s="905">
        <v>117060</v>
      </c>
      <c r="H13" s="905">
        <v>133600</v>
      </c>
      <c r="I13" s="905">
        <v>137210</v>
      </c>
      <c r="J13" s="905">
        <v>145610</v>
      </c>
      <c r="K13" s="905">
        <v>126800</v>
      </c>
      <c r="L13" s="905">
        <v>163845</v>
      </c>
      <c r="M13" s="905">
        <v>204535</v>
      </c>
      <c r="N13" s="905">
        <v>189474</v>
      </c>
      <c r="O13" s="905">
        <v>193317</v>
      </c>
      <c r="P13" s="905">
        <v>132712</v>
      </c>
      <c r="Q13" s="905">
        <v>73793</v>
      </c>
      <c r="R13" s="905">
        <v>159615</v>
      </c>
      <c r="S13" s="905">
        <v>114067</v>
      </c>
      <c r="T13" s="905">
        <v>158193</v>
      </c>
      <c r="U13" s="905">
        <v>187991</v>
      </c>
    </row>
    <row r="14" spans="1:21" ht="10.25" customHeight="1">
      <c r="A14" s="904" t="s">
        <v>315</v>
      </c>
      <c r="B14" s="905"/>
      <c r="C14" s="905"/>
      <c r="D14" s="905"/>
      <c r="E14" s="905"/>
      <c r="F14" s="905"/>
      <c r="G14" s="905"/>
      <c r="H14" s="905"/>
      <c r="I14" s="905"/>
      <c r="J14" s="905"/>
      <c r="K14" s="905"/>
      <c r="L14" s="905"/>
      <c r="M14" s="905"/>
      <c r="N14" s="905"/>
      <c r="O14" s="905"/>
      <c r="P14" s="905"/>
      <c r="Q14" s="905"/>
      <c r="R14" s="905"/>
      <c r="S14" s="905"/>
      <c r="T14" s="905"/>
      <c r="U14" s="905"/>
    </row>
    <row r="15" spans="1:21" ht="10.25" customHeight="1">
      <c r="A15" s="95" t="s">
        <v>140</v>
      </c>
      <c r="B15" s="905">
        <v>438717</v>
      </c>
      <c r="C15" s="905">
        <v>223581</v>
      </c>
      <c r="D15" s="905">
        <v>125632</v>
      </c>
      <c r="E15" s="905">
        <v>0</v>
      </c>
      <c r="F15" s="905">
        <v>105160</v>
      </c>
      <c r="G15" s="905">
        <v>183044</v>
      </c>
      <c r="H15" s="905">
        <v>10000</v>
      </c>
      <c r="I15" s="905">
        <v>129410</v>
      </c>
      <c r="J15" s="905">
        <v>270440</v>
      </c>
      <c r="K15" s="905">
        <v>378428</v>
      </c>
      <c r="L15" s="905">
        <v>546936</v>
      </c>
      <c r="M15" s="905">
        <v>752060</v>
      </c>
      <c r="N15" s="905">
        <v>265256</v>
      </c>
      <c r="O15" s="905">
        <v>208187</v>
      </c>
      <c r="P15" s="905">
        <v>259967</v>
      </c>
      <c r="Q15" s="905">
        <v>1209824</v>
      </c>
      <c r="R15" s="905">
        <v>1143906</v>
      </c>
      <c r="S15" s="905">
        <v>0</v>
      </c>
      <c r="T15" s="905">
        <v>0</v>
      </c>
      <c r="U15" s="905">
        <v>115128</v>
      </c>
    </row>
    <row r="16" spans="1:21" ht="10.25" customHeight="1">
      <c r="A16" s="95" t="s">
        <v>141</v>
      </c>
      <c r="B16" s="905">
        <v>2517287</v>
      </c>
      <c r="C16" s="905">
        <v>2854396</v>
      </c>
      <c r="D16" s="905">
        <v>3460766</v>
      </c>
      <c r="E16" s="905">
        <v>3601261</v>
      </c>
      <c r="F16" s="905">
        <v>3868931</v>
      </c>
      <c r="G16" s="905">
        <v>4020857</v>
      </c>
      <c r="H16" s="905">
        <v>5713440</v>
      </c>
      <c r="I16" s="905">
        <v>6416520</v>
      </c>
      <c r="J16" s="905">
        <v>5539355</v>
      </c>
      <c r="K16" s="905">
        <v>6641109</v>
      </c>
      <c r="L16" s="905">
        <v>6008556</v>
      </c>
      <c r="M16" s="905">
        <v>5634072</v>
      </c>
      <c r="N16" s="905">
        <v>6790745</v>
      </c>
      <c r="O16" s="905">
        <v>5919804</v>
      </c>
      <c r="P16" s="905">
        <v>5589151</v>
      </c>
      <c r="Q16" s="905">
        <v>4972322</v>
      </c>
      <c r="R16" s="905">
        <v>5401260</v>
      </c>
      <c r="S16" s="905">
        <v>6065336</v>
      </c>
      <c r="T16" s="905">
        <v>6891880</v>
      </c>
      <c r="U16" s="905">
        <v>6838408</v>
      </c>
    </row>
    <row r="17" spans="1:21" ht="10.25" customHeight="1">
      <c r="A17" s="95" t="s">
        <v>143</v>
      </c>
      <c r="B17" s="905">
        <v>399025</v>
      </c>
      <c r="C17" s="905">
        <v>495413</v>
      </c>
      <c r="D17" s="905">
        <v>649338</v>
      </c>
      <c r="E17" s="905">
        <v>627196</v>
      </c>
      <c r="F17" s="905">
        <v>847825</v>
      </c>
      <c r="G17" s="905">
        <v>687316</v>
      </c>
      <c r="H17" s="905">
        <v>1000038</v>
      </c>
      <c r="I17" s="905">
        <v>1147473</v>
      </c>
      <c r="J17" s="905">
        <v>909190</v>
      </c>
      <c r="K17" s="905">
        <v>975022</v>
      </c>
      <c r="L17" s="905">
        <v>1145429</v>
      </c>
      <c r="M17" s="905">
        <v>603955</v>
      </c>
      <c r="N17" s="905">
        <v>714813</v>
      </c>
      <c r="O17" s="905">
        <v>367296</v>
      </c>
      <c r="P17" s="905">
        <v>88618</v>
      </c>
      <c r="Q17" s="905">
        <v>22000</v>
      </c>
      <c r="R17" s="905">
        <v>38600</v>
      </c>
      <c r="S17" s="905">
        <v>0</v>
      </c>
      <c r="T17" s="905">
        <v>24544</v>
      </c>
      <c r="U17" s="905">
        <v>78728</v>
      </c>
    </row>
    <row r="18" spans="1:21" ht="10.25" customHeight="1">
      <c r="A18" s="95" t="s">
        <v>142</v>
      </c>
      <c r="B18" s="905">
        <v>2556679</v>
      </c>
      <c r="C18" s="905">
        <v>2582564</v>
      </c>
      <c r="D18" s="905">
        <v>2937060</v>
      </c>
      <c r="E18" s="905">
        <v>2974065</v>
      </c>
      <c r="F18" s="905">
        <v>3126266</v>
      </c>
      <c r="G18" s="905">
        <v>3516585</v>
      </c>
      <c r="H18" s="905">
        <v>4722467</v>
      </c>
      <c r="I18" s="905">
        <v>5398457</v>
      </c>
      <c r="J18" s="905">
        <v>4900605</v>
      </c>
      <c r="K18" s="905">
        <v>6044515</v>
      </c>
      <c r="L18" s="905">
        <v>5410063</v>
      </c>
      <c r="M18" s="905">
        <v>5782177</v>
      </c>
      <c r="N18" s="905">
        <v>6341188</v>
      </c>
      <c r="O18" s="905">
        <v>5760695</v>
      </c>
      <c r="P18" s="905">
        <v>5760500</v>
      </c>
      <c r="Q18" s="905">
        <v>6160146</v>
      </c>
      <c r="R18" s="905">
        <v>6506566</v>
      </c>
      <c r="S18" s="905">
        <v>6065336</v>
      </c>
      <c r="T18" s="905">
        <v>6867336</v>
      </c>
      <c r="U18" s="905">
        <v>6874808</v>
      </c>
    </row>
    <row r="19" spans="1:21" ht="10.25" customHeight="1">
      <c r="A19" s="904" t="s">
        <v>314</v>
      </c>
      <c r="B19" s="905"/>
      <c r="C19" s="905"/>
      <c r="D19" s="905"/>
      <c r="E19" s="905"/>
      <c r="F19" s="905"/>
      <c r="G19" s="905"/>
      <c r="H19" s="905"/>
      <c r="I19" s="905"/>
      <c r="J19" s="905"/>
      <c r="K19" s="905"/>
      <c r="L19" s="905"/>
      <c r="M19" s="905"/>
      <c r="N19" s="905"/>
      <c r="O19" s="905"/>
      <c r="P19" s="905"/>
      <c r="Q19" s="905"/>
      <c r="R19" s="905"/>
      <c r="S19" s="905"/>
      <c r="T19" s="905"/>
      <c r="U19" s="905"/>
    </row>
    <row r="20" spans="1:21" ht="10.25" customHeight="1">
      <c r="A20" s="95" t="s">
        <v>140</v>
      </c>
      <c r="B20" s="905">
        <v>0</v>
      </c>
      <c r="C20" s="905">
        <v>0</v>
      </c>
      <c r="D20" s="905">
        <v>0</v>
      </c>
      <c r="E20" s="905">
        <v>0</v>
      </c>
      <c r="F20" s="905">
        <v>0</v>
      </c>
      <c r="G20" s="905">
        <v>0</v>
      </c>
      <c r="H20" s="905">
        <v>365040</v>
      </c>
      <c r="I20" s="905">
        <v>52560</v>
      </c>
      <c r="J20" s="905">
        <v>0</v>
      </c>
      <c r="K20" s="905">
        <v>0</v>
      </c>
      <c r="L20" s="905">
        <v>0</v>
      </c>
      <c r="M20" s="905">
        <v>538200</v>
      </c>
      <c r="N20" s="905">
        <v>31080</v>
      </c>
      <c r="O20" s="905">
        <v>0</v>
      </c>
      <c r="P20" s="905">
        <v>0</v>
      </c>
      <c r="Q20" s="905">
        <v>0</v>
      </c>
      <c r="R20" s="905">
        <v>0</v>
      </c>
      <c r="S20" s="905">
        <v>0</v>
      </c>
      <c r="T20" s="905">
        <v>0</v>
      </c>
      <c r="U20" s="905">
        <v>0</v>
      </c>
    </row>
    <row r="21" spans="1:21" ht="10.25" customHeight="1">
      <c r="A21" s="95" t="s">
        <v>143</v>
      </c>
      <c r="B21" s="905">
        <v>0</v>
      </c>
      <c r="C21" s="905">
        <v>0</v>
      </c>
      <c r="D21" s="905">
        <v>0</v>
      </c>
      <c r="E21" s="905">
        <v>0</v>
      </c>
      <c r="F21" s="905">
        <v>0</v>
      </c>
      <c r="G21" s="905">
        <v>0</v>
      </c>
      <c r="H21" s="905">
        <v>684400</v>
      </c>
      <c r="I21" s="905">
        <v>362160</v>
      </c>
      <c r="J21" s="905">
        <v>642960</v>
      </c>
      <c r="K21" s="905">
        <v>534600</v>
      </c>
      <c r="L21" s="905">
        <v>823960</v>
      </c>
      <c r="M21" s="905">
        <v>2421000</v>
      </c>
      <c r="N21" s="905">
        <v>2744280</v>
      </c>
      <c r="O21" s="905">
        <v>2980080</v>
      </c>
      <c r="P21" s="905">
        <v>2533680</v>
      </c>
      <c r="Q21" s="905">
        <v>779760</v>
      </c>
      <c r="R21" s="905">
        <v>515160</v>
      </c>
      <c r="S21" s="905">
        <v>467840</v>
      </c>
      <c r="T21" s="905">
        <v>193680</v>
      </c>
      <c r="U21" s="905">
        <v>1048680</v>
      </c>
    </row>
    <row r="22" spans="1:21" ht="10.25" customHeight="1">
      <c r="A22" s="904" t="s">
        <v>316</v>
      </c>
      <c r="B22" s="905"/>
      <c r="C22" s="905"/>
      <c r="D22" s="905"/>
      <c r="E22" s="905"/>
      <c r="F22" s="905"/>
      <c r="G22" s="905"/>
      <c r="H22" s="905"/>
      <c r="I22" s="905"/>
      <c r="J22" s="905"/>
      <c r="K22" s="905"/>
      <c r="L22" s="905"/>
      <c r="M22" s="905"/>
      <c r="N22" s="905"/>
      <c r="O22" s="905"/>
      <c r="P22" s="905"/>
      <c r="Q22" s="905"/>
      <c r="R22" s="905"/>
      <c r="S22" s="905"/>
      <c r="T22" s="905"/>
      <c r="U22" s="905"/>
    </row>
    <row r="23" spans="1:21" ht="10.25" customHeight="1">
      <c r="A23" s="95" t="s">
        <v>140</v>
      </c>
      <c r="B23" s="905">
        <v>0</v>
      </c>
      <c r="C23" s="905">
        <v>0</v>
      </c>
      <c r="D23" s="905">
        <v>0</v>
      </c>
      <c r="E23" s="905">
        <v>0</v>
      </c>
      <c r="F23" s="905">
        <v>0</v>
      </c>
      <c r="G23" s="905">
        <v>0</v>
      </c>
      <c r="H23" s="905">
        <v>0</v>
      </c>
      <c r="I23" s="905">
        <v>0</v>
      </c>
      <c r="J23" s="905">
        <v>0</v>
      </c>
      <c r="K23" s="905">
        <v>0</v>
      </c>
      <c r="L23" s="905">
        <v>0</v>
      </c>
      <c r="M23" s="905">
        <v>0</v>
      </c>
      <c r="N23" s="905">
        <v>0</v>
      </c>
      <c r="O23" s="905">
        <v>0</v>
      </c>
      <c r="P23" s="905">
        <v>0</v>
      </c>
      <c r="Q23" s="905">
        <v>0</v>
      </c>
      <c r="R23" s="905">
        <v>0</v>
      </c>
      <c r="S23" s="905">
        <v>0</v>
      </c>
      <c r="T23" s="905">
        <v>0</v>
      </c>
      <c r="U23" s="905">
        <v>0</v>
      </c>
    </row>
    <row r="24" spans="1:21" ht="10.25" customHeight="1">
      <c r="A24" s="95" t="s">
        <v>141</v>
      </c>
      <c r="B24" s="905">
        <v>277730275</v>
      </c>
      <c r="C24" s="905">
        <v>284655938</v>
      </c>
      <c r="D24" s="905">
        <v>306869737</v>
      </c>
      <c r="E24" s="905">
        <v>307389475</v>
      </c>
      <c r="F24" s="905">
        <v>309235302</v>
      </c>
      <c r="G24" s="905">
        <v>339316094</v>
      </c>
      <c r="H24" s="905">
        <v>477680618</v>
      </c>
      <c r="I24" s="905">
        <v>509884071</v>
      </c>
      <c r="J24" s="905">
        <v>536104539</v>
      </c>
      <c r="K24" s="905">
        <v>573764987</v>
      </c>
      <c r="L24" s="905">
        <v>592242350</v>
      </c>
      <c r="M24" s="905">
        <v>623405970</v>
      </c>
      <c r="N24" s="905">
        <v>671495588</v>
      </c>
      <c r="O24" s="905">
        <v>686384682</v>
      </c>
      <c r="P24" s="905">
        <v>705259679</v>
      </c>
      <c r="Q24" s="905">
        <v>765785347</v>
      </c>
      <c r="R24" s="905">
        <v>794391606</v>
      </c>
      <c r="S24" s="905">
        <v>728096325</v>
      </c>
      <c r="T24" s="905">
        <v>772876344</v>
      </c>
      <c r="U24" s="905">
        <v>793622985</v>
      </c>
    </row>
    <row r="25" spans="1:21" ht="10.25" customHeight="1">
      <c r="A25" s="95" t="s">
        <v>143</v>
      </c>
      <c r="B25" s="905">
        <v>0</v>
      </c>
      <c r="C25" s="905">
        <v>0</v>
      </c>
      <c r="D25" s="905">
        <v>520000</v>
      </c>
      <c r="E25" s="905">
        <v>60000</v>
      </c>
      <c r="F25" s="905">
        <v>0</v>
      </c>
      <c r="G25" s="905">
        <v>0</v>
      </c>
      <c r="H25" s="905">
        <v>0</v>
      </c>
      <c r="I25" s="905">
        <v>116810</v>
      </c>
      <c r="J25" s="905">
        <v>26960</v>
      </c>
      <c r="K25" s="905">
        <v>25664</v>
      </c>
      <c r="L25" s="905">
        <v>0</v>
      </c>
      <c r="M25" s="905">
        <v>0</v>
      </c>
      <c r="N25" s="905">
        <v>0</v>
      </c>
      <c r="O25" s="905">
        <v>0</v>
      </c>
      <c r="P25" s="905">
        <v>0</v>
      </c>
      <c r="Q25" s="905">
        <v>0</v>
      </c>
      <c r="R25" s="905">
        <v>0</v>
      </c>
      <c r="S25" s="905">
        <v>0</v>
      </c>
      <c r="T25" s="905">
        <v>0</v>
      </c>
      <c r="U25" s="905">
        <v>0</v>
      </c>
    </row>
    <row r="26" spans="1:21" ht="10.25" customHeight="1">
      <c r="A26" s="95" t="s">
        <v>142</v>
      </c>
      <c r="B26" s="905">
        <v>277687210</v>
      </c>
      <c r="C26" s="905">
        <v>284651870</v>
      </c>
      <c r="D26" s="905">
        <v>306348188</v>
      </c>
      <c r="E26" s="905">
        <v>303803772</v>
      </c>
      <c r="F26" s="905">
        <v>305352114</v>
      </c>
      <c r="G26" s="905">
        <v>339301736</v>
      </c>
      <c r="H26" s="905">
        <v>477514917</v>
      </c>
      <c r="I26" s="905">
        <v>509638716</v>
      </c>
      <c r="J26" s="905">
        <v>535763259</v>
      </c>
      <c r="K26" s="905">
        <v>573449493</v>
      </c>
      <c r="L26" s="905">
        <v>591941568</v>
      </c>
      <c r="M26" s="905">
        <v>623405970</v>
      </c>
      <c r="N26" s="905">
        <v>671495588</v>
      </c>
      <c r="O26" s="905">
        <v>686384682</v>
      </c>
      <c r="P26" s="905">
        <v>705259679</v>
      </c>
      <c r="Q26" s="905">
        <v>765785347</v>
      </c>
      <c r="R26" s="905">
        <v>794391606</v>
      </c>
      <c r="S26" s="905">
        <v>728096325</v>
      </c>
      <c r="T26" s="905">
        <v>772876344</v>
      </c>
      <c r="U26" s="905">
        <v>793622985</v>
      </c>
    </row>
    <row r="27" spans="1:21" ht="10.25" customHeight="1">
      <c r="A27" s="904" t="s">
        <v>314</v>
      </c>
      <c r="B27" s="905"/>
      <c r="C27" s="905"/>
      <c r="D27" s="905"/>
      <c r="E27" s="905"/>
      <c r="F27" s="905"/>
      <c r="G27" s="905"/>
      <c r="H27" s="905"/>
      <c r="I27" s="905"/>
      <c r="J27" s="905"/>
      <c r="K27" s="905"/>
      <c r="L27" s="905"/>
      <c r="M27" s="905"/>
      <c r="N27" s="905"/>
      <c r="O27" s="905"/>
      <c r="P27" s="905"/>
      <c r="Q27" s="905"/>
      <c r="R27" s="905"/>
      <c r="S27" s="905"/>
      <c r="T27" s="905"/>
      <c r="U27" s="905"/>
    </row>
    <row r="28" spans="1:21" ht="10.25" customHeight="1">
      <c r="A28" s="95" t="s">
        <v>140</v>
      </c>
      <c r="B28" s="905">
        <v>540600</v>
      </c>
      <c r="C28" s="905">
        <v>0</v>
      </c>
      <c r="D28" s="905">
        <v>0</v>
      </c>
      <c r="E28" s="905">
        <v>406960</v>
      </c>
      <c r="F28" s="905">
        <v>0</v>
      </c>
      <c r="G28" s="905">
        <v>829080</v>
      </c>
      <c r="H28" s="905">
        <v>11426760</v>
      </c>
      <c r="I28" s="905">
        <v>2151000</v>
      </c>
      <c r="J28" s="905">
        <v>0</v>
      </c>
      <c r="K28" s="905">
        <v>0</v>
      </c>
      <c r="L28" s="905">
        <v>0</v>
      </c>
      <c r="M28" s="905">
        <v>0</v>
      </c>
      <c r="N28" s="905">
        <v>0</v>
      </c>
      <c r="O28" s="905">
        <v>0</v>
      </c>
      <c r="P28" s="905">
        <v>0</v>
      </c>
      <c r="Q28" s="905">
        <v>0</v>
      </c>
      <c r="R28" s="905">
        <v>0</v>
      </c>
      <c r="S28" s="905">
        <v>0</v>
      </c>
      <c r="T28" s="905">
        <v>0</v>
      </c>
      <c r="U28" s="905">
        <v>0</v>
      </c>
    </row>
    <row r="29" spans="1:21" ht="10.25" customHeight="1">
      <c r="A29" s="95" t="s">
        <v>143</v>
      </c>
      <c r="B29" s="905">
        <v>819360</v>
      </c>
      <c r="C29" s="905">
        <v>7585840</v>
      </c>
      <c r="D29" s="905">
        <v>9350280</v>
      </c>
      <c r="E29" s="905">
        <v>11515680</v>
      </c>
      <c r="F29" s="905">
        <v>21776220</v>
      </c>
      <c r="G29" s="905">
        <v>26716320</v>
      </c>
      <c r="H29" s="905">
        <v>45058785</v>
      </c>
      <c r="I29" s="905">
        <v>61209080</v>
      </c>
      <c r="J29" s="905">
        <v>54022840</v>
      </c>
      <c r="K29" s="905">
        <v>67644360</v>
      </c>
      <c r="L29" s="905">
        <v>71532320</v>
      </c>
      <c r="M29" s="905">
        <v>77494023</v>
      </c>
      <c r="N29" s="905">
        <v>41222640</v>
      </c>
      <c r="O29" s="905">
        <v>32529240</v>
      </c>
      <c r="P29" s="905">
        <v>12280320</v>
      </c>
      <c r="Q29" s="905">
        <v>5122080</v>
      </c>
      <c r="R29" s="905">
        <v>72000</v>
      </c>
      <c r="S29" s="905">
        <v>72000</v>
      </c>
      <c r="T29" s="905">
        <v>0</v>
      </c>
      <c r="U29" s="905">
        <v>0</v>
      </c>
    </row>
    <row r="30" spans="1:21" ht="6" customHeight="1">
      <c r="B30" s="905"/>
      <c r="C30" s="905"/>
      <c r="D30" s="905"/>
      <c r="E30" s="905"/>
      <c r="F30" s="905"/>
      <c r="G30" s="905"/>
      <c r="H30" s="905"/>
      <c r="I30" s="905"/>
      <c r="J30" s="905"/>
      <c r="K30" s="905"/>
      <c r="L30" s="905"/>
      <c r="M30" s="905"/>
      <c r="N30" s="905"/>
      <c r="O30" s="905"/>
      <c r="P30" s="905"/>
      <c r="Q30" s="905"/>
      <c r="R30" s="905"/>
      <c r="S30" s="905"/>
      <c r="T30" s="905"/>
      <c r="U30" s="905"/>
    </row>
    <row r="31" spans="1:21" ht="10.25" customHeight="1">
      <c r="A31" s="904" t="s">
        <v>303</v>
      </c>
      <c r="B31" s="905"/>
      <c r="C31" s="905"/>
      <c r="D31" s="905"/>
      <c r="E31" s="905"/>
      <c r="F31" s="905"/>
      <c r="G31" s="905"/>
      <c r="H31" s="905"/>
      <c r="I31" s="905"/>
      <c r="J31" s="905"/>
      <c r="K31" s="905"/>
      <c r="L31" s="905"/>
      <c r="M31" s="905"/>
      <c r="N31" s="905"/>
      <c r="O31" s="905"/>
      <c r="P31" s="905"/>
      <c r="Q31" s="905"/>
      <c r="R31" s="905"/>
      <c r="S31" s="905"/>
      <c r="T31" s="905"/>
      <c r="U31" s="905"/>
    </row>
    <row r="32" spans="1:21" ht="2" customHeight="1">
      <c r="B32" s="905"/>
      <c r="C32" s="905"/>
      <c r="D32" s="905"/>
      <c r="E32" s="905"/>
      <c r="F32" s="905"/>
      <c r="G32" s="905"/>
      <c r="H32" s="905"/>
      <c r="I32" s="905"/>
      <c r="J32" s="905"/>
      <c r="K32" s="905"/>
      <c r="L32" s="905"/>
      <c r="M32" s="905"/>
      <c r="N32" s="905"/>
      <c r="O32" s="905"/>
      <c r="P32" s="905"/>
      <c r="Q32" s="905"/>
      <c r="R32" s="905"/>
      <c r="S32" s="905"/>
      <c r="T32" s="905"/>
      <c r="U32" s="905"/>
    </row>
    <row r="33" spans="1:21" ht="10.25" customHeight="1">
      <c r="A33" s="904" t="s">
        <v>313</v>
      </c>
      <c r="B33" s="905"/>
      <c r="C33" s="905"/>
      <c r="D33" s="905"/>
      <c r="E33" s="905"/>
      <c r="F33" s="905"/>
      <c r="G33" s="905"/>
      <c r="H33" s="905"/>
      <c r="I33" s="905"/>
      <c r="J33" s="905"/>
      <c r="K33" s="905"/>
      <c r="L33" s="905"/>
      <c r="M33" s="905"/>
      <c r="N33" s="905"/>
      <c r="O33" s="905"/>
      <c r="P33" s="905"/>
      <c r="Q33" s="905"/>
      <c r="R33" s="905"/>
      <c r="S33" s="905"/>
      <c r="T33" s="905"/>
      <c r="U33" s="905"/>
    </row>
    <row r="34" spans="1:21" ht="10.25" customHeight="1">
      <c r="A34" s="95" t="s">
        <v>140</v>
      </c>
      <c r="B34" s="905">
        <v>0</v>
      </c>
      <c r="C34" s="905">
        <v>0</v>
      </c>
      <c r="D34" s="905">
        <v>0</v>
      </c>
      <c r="E34" s="905">
        <v>0</v>
      </c>
      <c r="F34" s="905">
        <v>0</v>
      </c>
      <c r="G34" s="905">
        <v>0</v>
      </c>
      <c r="H34" s="905">
        <v>0</v>
      </c>
      <c r="I34" s="905">
        <v>0</v>
      </c>
      <c r="J34" s="905">
        <v>0</v>
      </c>
      <c r="K34" s="905">
        <v>0</v>
      </c>
      <c r="L34" s="905">
        <v>0</v>
      </c>
      <c r="M34" s="905">
        <v>0</v>
      </c>
      <c r="N34" s="905">
        <v>0</v>
      </c>
      <c r="O34" s="905">
        <v>0</v>
      </c>
      <c r="P34" s="905">
        <v>0</v>
      </c>
      <c r="Q34" s="905">
        <v>0</v>
      </c>
      <c r="R34" s="905">
        <v>0</v>
      </c>
      <c r="S34" s="905">
        <v>0</v>
      </c>
      <c r="T34" s="905">
        <v>0</v>
      </c>
      <c r="U34" s="905">
        <v>0</v>
      </c>
    </row>
    <row r="35" spans="1:21" ht="10.25" customHeight="1">
      <c r="A35" s="95" t="s">
        <v>141</v>
      </c>
      <c r="B35" s="905">
        <v>0</v>
      </c>
      <c r="C35" s="905">
        <v>0</v>
      </c>
      <c r="D35" s="905">
        <v>0</v>
      </c>
      <c r="E35" s="905">
        <v>0</v>
      </c>
      <c r="F35" s="905">
        <v>0</v>
      </c>
      <c r="G35" s="905">
        <v>0</v>
      </c>
      <c r="H35" s="905">
        <v>0</v>
      </c>
      <c r="I35" s="905">
        <v>0</v>
      </c>
      <c r="J35" s="905">
        <v>0</v>
      </c>
      <c r="K35" s="905">
        <v>0</v>
      </c>
      <c r="L35" s="905">
        <v>0</v>
      </c>
      <c r="M35" s="905">
        <v>0</v>
      </c>
      <c r="N35" s="905">
        <v>0</v>
      </c>
      <c r="O35" s="905">
        <v>0</v>
      </c>
      <c r="P35" s="905">
        <v>0</v>
      </c>
      <c r="Q35" s="905">
        <v>0</v>
      </c>
      <c r="R35" s="905">
        <v>0</v>
      </c>
      <c r="S35" s="905">
        <v>0</v>
      </c>
      <c r="T35" s="905">
        <v>0</v>
      </c>
      <c r="U35" s="905">
        <v>0</v>
      </c>
    </row>
    <row r="36" spans="1:21" ht="10.25" customHeight="1">
      <c r="A36" s="95" t="s">
        <v>142</v>
      </c>
      <c r="B36" s="905">
        <v>0</v>
      </c>
      <c r="C36" s="905">
        <v>0</v>
      </c>
      <c r="D36" s="905">
        <v>0</v>
      </c>
      <c r="E36" s="905">
        <v>0</v>
      </c>
      <c r="F36" s="905">
        <v>0</v>
      </c>
      <c r="G36" s="905">
        <v>0</v>
      </c>
      <c r="H36" s="905">
        <v>0</v>
      </c>
      <c r="I36" s="905">
        <v>0</v>
      </c>
      <c r="J36" s="905">
        <v>0</v>
      </c>
      <c r="K36" s="905">
        <v>0</v>
      </c>
      <c r="L36" s="905">
        <v>0</v>
      </c>
      <c r="M36" s="905">
        <v>0</v>
      </c>
      <c r="N36" s="905">
        <v>0</v>
      </c>
      <c r="O36" s="905">
        <v>0</v>
      </c>
      <c r="P36" s="905">
        <v>0</v>
      </c>
      <c r="Q36" s="905">
        <v>0</v>
      </c>
      <c r="R36" s="905">
        <v>0</v>
      </c>
      <c r="S36" s="905">
        <v>0</v>
      </c>
      <c r="T36" s="905">
        <v>0</v>
      </c>
      <c r="U36" s="905">
        <v>0</v>
      </c>
    </row>
    <row r="37" spans="1:21" ht="10.25" customHeight="1">
      <c r="A37" s="904" t="s">
        <v>315</v>
      </c>
      <c r="B37" s="905"/>
      <c r="C37" s="905"/>
      <c r="D37" s="905"/>
      <c r="E37" s="905"/>
      <c r="F37" s="905"/>
      <c r="G37" s="905"/>
      <c r="H37" s="905"/>
      <c r="I37" s="905"/>
      <c r="J37" s="905"/>
      <c r="K37" s="905"/>
      <c r="L37" s="905"/>
      <c r="M37" s="905"/>
      <c r="N37" s="905"/>
      <c r="O37" s="905"/>
      <c r="P37" s="905"/>
      <c r="Q37" s="905"/>
      <c r="R37" s="905"/>
      <c r="S37" s="905"/>
      <c r="T37" s="905"/>
      <c r="U37" s="905"/>
    </row>
    <row r="38" spans="1:21" ht="10.25" customHeight="1">
      <c r="A38" s="95" t="s">
        <v>140</v>
      </c>
      <c r="B38" s="905">
        <v>149118</v>
      </c>
      <c r="C38" s="905">
        <v>173520</v>
      </c>
      <c r="D38" s="905">
        <v>134788</v>
      </c>
      <c r="E38" s="905">
        <v>126750</v>
      </c>
      <c r="F38" s="905">
        <v>153020</v>
      </c>
      <c r="G38" s="905">
        <v>250768</v>
      </c>
      <c r="H38" s="905">
        <v>233698</v>
      </c>
      <c r="I38" s="905">
        <v>250508</v>
      </c>
      <c r="J38" s="905">
        <v>302784</v>
      </c>
      <c r="K38" s="905">
        <v>279680</v>
      </c>
      <c r="L38" s="905">
        <v>254320</v>
      </c>
      <c r="M38" s="905">
        <v>242980</v>
      </c>
      <c r="N38" s="905">
        <v>264540</v>
      </c>
      <c r="O38" s="905">
        <v>314592</v>
      </c>
      <c r="P38" s="905">
        <v>329754</v>
      </c>
      <c r="Q38" s="905">
        <v>337244</v>
      </c>
      <c r="R38" s="905">
        <v>305520</v>
      </c>
      <c r="S38" s="905">
        <v>0</v>
      </c>
      <c r="T38" s="905">
        <v>314020</v>
      </c>
      <c r="U38" s="905">
        <v>254420</v>
      </c>
    </row>
    <row r="39" spans="1:21" ht="10.25" customHeight="1">
      <c r="A39" s="95" t="s">
        <v>141</v>
      </c>
      <c r="B39" s="905">
        <v>10195</v>
      </c>
      <c r="C39" s="905">
        <v>0</v>
      </c>
      <c r="D39" s="905">
        <v>0</v>
      </c>
      <c r="E39" s="905">
        <v>0</v>
      </c>
      <c r="F39" s="905">
        <v>0</v>
      </c>
      <c r="G39" s="905">
        <v>0</v>
      </c>
      <c r="H39" s="905">
        <v>0</v>
      </c>
      <c r="I39" s="905">
        <v>0</v>
      </c>
      <c r="J39" s="905">
        <v>0</v>
      </c>
      <c r="K39" s="905">
        <v>0</v>
      </c>
      <c r="L39" s="905">
        <v>0</v>
      </c>
      <c r="M39" s="905">
        <v>0</v>
      </c>
      <c r="N39" s="905">
        <v>0</v>
      </c>
      <c r="O39" s="905">
        <v>0</v>
      </c>
      <c r="P39" s="905">
        <v>0</v>
      </c>
      <c r="Q39" s="905">
        <v>0</v>
      </c>
      <c r="R39" s="905">
        <v>0</v>
      </c>
      <c r="S39" s="905">
        <v>377166</v>
      </c>
      <c r="T39" s="905">
        <v>0</v>
      </c>
      <c r="U39" s="905">
        <v>0</v>
      </c>
    </row>
    <row r="40" spans="1:21" ht="10.25" customHeight="1">
      <c r="A40" s="95" t="s">
        <v>143</v>
      </c>
      <c r="B40" s="905">
        <v>2900</v>
      </c>
      <c r="C40" s="905">
        <v>0</v>
      </c>
      <c r="D40" s="905">
        <v>0</v>
      </c>
      <c r="E40" s="905">
        <v>0</v>
      </c>
      <c r="F40" s="905">
        <v>0</v>
      </c>
      <c r="G40" s="905">
        <v>0</v>
      </c>
      <c r="H40" s="905">
        <v>0</v>
      </c>
      <c r="I40" s="905">
        <v>0</v>
      </c>
      <c r="J40" s="905">
        <v>0</v>
      </c>
      <c r="K40" s="905">
        <v>0</v>
      </c>
      <c r="L40" s="905">
        <v>0</v>
      </c>
      <c r="M40" s="905">
        <v>0</v>
      </c>
      <c r="N40" s="905">
        <v>0</v>
      </c>
      <c r="O40" s="905">
        <v>0</v>
      </c>
      <c r="P40" s="905">
        <v>0</v>
      </c>
      <c r="Q40" s="905">
        <v>0</v>
      </c>
      <c r="R40" s="905">
        <v>0</v>
      </c>
      <c r="S40" s="905">
        <v>0</v>
      </c>
      <c r="T40" s="905">
        <v>0</v>
      </c>
      <c r="U40" s="905">
        <v>0</v>
      </c>
    </row>
    <row r="41" spans="1:21" ht="10.25" customHeight="1">
      <c r="A41" s="95" t="s">
        <v>142</v>
      </c>
      <c r="B41" s="905">
        <v>156413</v>
      </c>
      <c r="C41" s="905">
        <v>173520</v>
      </c>
      <c r="D41" s="905">
        <v>134788</v>
      </c>
      <c r="E41" s="905">
        <v>126750</v>
      </c>
      <c r="F41" s="905">
        <v>153020</v>
      </c>
      <c r="G41" s="905">
        <v>250768</v>
      </c>
      <c r="H41" s="905">
        <v>233698</v>
      </c>
      <c r="I41" s="905">
        <v>250508</v>
      </c>
      <c r="J41" s="905">
        <v>302784</v>
      </c>
      <c r="K41" s="905">
        <v>279680</v>
      </c>
      <c r="L41" s="905">
        <v>254320</v>
      </c>
      <c r="M41" s="905">
        <v>242980</v>
      </c>
      <c r="N41" s="905">
        <v>264540</v>
      </c>
      <c r="O41" s="905">
        <v>314592</v>
      </c>
      <c r="P41" s="905">
        <v>329754</v>
      </c>
      <c r="Q41" s="905">
        <v>337244</v>
      </c>
      <c r="R41" s="905">
        <v>305520</v>
      </c>
      <c r="S41" s="905">
        <v>377166</v>
      </c>
      <c r="T41" s="905">
        <v>314020</v>
      </c>
      <c r="U41" s="905">
        <v>254420</v>
      </c>
    </row>
    <row r="42" spans="1:21" ht="10.25" customHeight="1">
      <c r="A42" s="904" t="s">
        <v>317</v>
      </c>
      <c r="B42" s="905"/>
      <c r="C42" s="905"/>
      <c r="D42" s="905"/>
      <c r="E42" s="905"/>
      <c r="F42" s="905"/>
      <c r="G42" s="905"/>
      <c r="H42" s="905"/>
      <c r="I42" s="905"/>
      <c r="J42" s="905"/>
      <c r="K42" s="905"/>
      <c r="L42" s="905"/>
      <c r="M42" s="905"/>
      <c r="N42" s="905"/>
      <c r="O42" s="905"/>
      <c r="P42" s="905"/>
      <c r="Q42" s="905"/>
      <c r="R42" s="905"/>
      <c r="S42" s="905"/>
      <c r="T42" s="905"/>
      <c r="U42" s="905"/>
    </row>
    <row r="43" spans="1:21" ht="10.25" customHeight="1">
      <c r="A43" s="95" t="s">
        <v>140</v>
      </c>
      <c r="B43" s="905">
        <v>0</v>
      </c>
      <c r="C43" s="905">
        <v>0</v>
      </c>
      <c r="D43" s="905">
        <v>30000</v>
      </c>
      <c r="E43" s="905">
        <v>3418</v>
      </c>
      <c r="F43" s="905">
        <v>0</v>
      </c>
      <c r="G43" s="905">
        <v>0</v>
      </c>
      <c r="H43" s="905">
        <v>0</v>
      </c>
      <c r="I43" s="905">
        <v>0</v>
      </c>
      <c r="J43" s="905">
        <v>0</v>
      </c>
      <c r="K43" s="905">
        <v>0</v>
      </c>
      <c r="L43" s="905">
        <v>0</v>
      </c>
      <c r="M43" s="905">
        <v>0</v>
      </c>
      <c r="N43" s="905">
        <v>0</v>
      </c>
      <c r="O43" s="905">
        <v>0</v>
      </c>
      <c r="P43" s="905">
        <v>0</v>
      </c>
      <c r="Q43" s="905">
        <v>0</v>
      </c>
      <c r="R43" s="905">
        <v>0</v>
      </c>
      <c r="S43" s="905">
        <v>0</v>
      </c>
      <c r="T43" s="905">
        <v>0</v>
      </c>
      <c r="U43" s="905">
        <v>0</v>
      </c>
    </row>
    <row r="44" spans="1:21" ht="10.25" customHeight="1">
      <c r="A44" s="95" t="s">
        <v>141</v>
      </c>
      <c r="B44" s="905">
        <v>10208868</v>
      </c>
      <c r="C44" s="905">
        <v>10342280</v>
      </c>
      <c r="D44" s="905">
        <v>10520830</v>
      </c>
      <c r="E44" s="905">
        <v>10976784</v>
      </c>
      <c r="F44" s="905">
        <v>11171450</v>
      </c>
      <c r="G44" s="905">
        <v>13516950</v>
      </c>
      <c r="H44" s="905">
        <v>15379339</v>
      </c>
      <c r="I44" s="905">
        <v>17802209</v>
      </c>
      <c r="J44" s="905">
        <v>17156640</v>
      </c>
      <c r="K44" s="905">
        <v>19905931</v>
      </c>
      <c r="L44" s="905">
        <v>19902157</v>
      </c>
      <c r="M44" s="905">
        <v>21359319</v>
      </c>
      <c r="N44" s="905">
        <v>21905233</v>
      </c>
      <c r="O44" s="905">
        <v>23004223</v>
      </c>
      <c r="P44" s="905">
        <v>24632650</v>
      </c>
      <c r="Q44" s="905">
        <v>27929872</v>
      </c>
      <c r="R44" s="905">
        <v>26179287</v>
      </c>
      <c r="S44" s="905">
        <v>28790070</v>
      </c>
      <c r="T44" s="905">
        <v>29636130</v>
      </c>
      <c r="U44" s="905">
        <v>25469430</v>
      </c>
    </row>
    <row r="45" spans="1:21" ht="10.25" customHeight="1">
      <c r="A45" s="95" t="s">
        <v>143</v>
      </c>
      <c r="B45" s="905">
        <v>0</v>
      </c>
      <c r="C45" s="905">
        <v>0</v>
      </c>
      <c r="D45" s="905">
        <v>0</v>
      </c>
      <c r="E45" s="905">
        <v>0</v>
      </c>
      <c r="F45" s="905">
        <v>0</v>
      </c>
      <c r="G45" s="905">
        <v>0</v>
      </c>
      <c r="H45" s="905">
        <v>0</v>
      </c>
      <c r="I45" s="905">
        <v>0</v>
      </c>
      <c r="J45" s="905">
        <v>181000</v>
      </c>
      <c r="K45" s="905">
        <v>281280</v>
      </c>
      <c r="L45" s="905">
        <v>108160</v>
      </c>
      <c r="M45" s="905">
        <v>227323</v>
      </c>
      <c r="N45" s="905">
        <v>109440</v>
      </c>
      <c r="O45" s="905">
        <v>27000</v>
      </c>
      <c r="P45" s="905">
        <v>0</v>
      </c>
      <c r="Q45" s="905">
        <v>0</v>
      </c>
      <c r="R45" s="905">
        <v>0</v>
      </c>
      <c r="S45" s="905">
        <v>0</v>
      </c>
      <c r="T45" s="905">
        <v>0</v>
      </c>
      <c r="U45" s="905">
        <v>0</v>
      </c>
    </row>
    <row r="46" spans="1:21" ht="10.25" customHeight="1">
      <c r="A46" s="95" t="s">
        <v>142</v>
      </c>
      <c r="B46" s="905">
        <v>10208118</v>
      </c>
      <c r="C46" s="905">
        <v>10339691</v>
      </c>
      <c r="D46" s="905">
        <v>10550767</v>
      </c>
      <c r="E46" s="905">
        <v>10980202</v>
      </c>
      <c r="F46" s="905">
        <v>11171450</v>
      </c>
      <c r="G46" s="905">
        <v>13516506</v>
      </c>
      <c r="H46" s="905">
        <v>15372155</v>
      </c>
      <c r="I46" s="905">
        <v>17802209</v>
      </c>
      <c r="J46" s="905">
        <v>16970540</v>
      </c>
      <c r="K46" s="905">
        <v>19624651</v>
      </c>
      <c r="L46" s="905">
        <v>19793997</v>
      </c>
      <c r="M46" s="905">
        <v>21131996</v>
      </c>
      <c r="N46" s="905">
        <v>21795793</v>
      </c>
      <c r="O46" s="905">
        <v>22977223</v>
      </c>
      <c r="P46" s="905">
        <v>24632650</v>
      </c>
      <c r="Q46" s="905">
        <v>27929872</v>
      </c>
      <c r="R46" s="905">
        <v>26179287</v>
      </c>
      <c r="S46" s="905">
        <v>28790070</v>
      </c>
      <c r="T46" s="905">
        <v>29636130</v>
      </c>
      <c r="U46" s="905">
        <v>25469430</v>
      </c>
    </row>
    <row r="47" spans="1:21" ht="10.25" customHeight="1">
      <c r="A47" s="904" t="s">
        <v>314</v>
      </c>
      <c r="B47" s="905"/>
      <c r="C47" s="905"/>
      <c r="D47" s="905"/>
      <c r="E47" s="905"/>
      <c r="F47" s="905"/>
      <c r="G47" s="905"/>
      <c r="H47" s="905"/>
      <c r="I47" s="905"/>
      <c r="J47" s="905"/>
      <c r="K47" s="905"/>
      <c r="L47" s="905"/>
      <c r="M47" s="905"/>
      <c r="N47" s="905"/>
      <c r="O47" s="905"/>
      <c r="P47" s="905"/>
      <c r="Q47" s="905"/>
      <c r="R47" s="905"/>
      <c r="S47" s="905"/>
      <c r="T47" s="905"/>
      <c r="U47" s="905"/>
    </row>
    <row r="48" spans="1:21" ht="10.25" customHeight="1">
      <c r="A48" s="95" t="s">
        <v>140</v>
      </c>
      <c r="B48" s="905">
        <v>39600</v>
      </c>
      <c r="C48" s="905">
        <v>0</v>
      </c>
      <c r="D48" s="905">
        <v>0</v>
      </c>
      <c r="E48" s="905">
        <v>0</v>
      </c>
      <c r="F48" s="905">
        <v>0</v>
      </c>
      <c r="G48" s="905">
        <v>0</v>
      </c>
      <c r="H48" s="905">
        <v>0</v>
      </c>
      <c r="I48" s="905">
        <v>40320</v>
      </c>
      <c r="J48" s="905">
        <v>0</v>
      </c>
      <c r="K48" s="905">
        <v>0</v>
      </c>
      <c r="L48" s="905">
        <v>0</v>
      </c>
      <c r="M48" s="905">
        <v>0</v>
      </c>
      <c r="N48" s="905">
        <v>0</v>
      </c>
      <c r="O48" s="905">
        <v>0</v>
      </c>
      <c r="P48" s="905">
        <v>0</v>
      </c>
      <c r="Q48" s="905">
        <v>0</v>
      </c>
      <c r="R48" s="905">
        <v>0</v>
      </c>
      <c r="S48" s="905">
        <v>0</v>
      </c>
      <c r="T48" s="905">
        <v>0</v>
      </c>
      <c r="U48" s="905">
        <v>0</v>
      </c>
    </row>
    <row r="49" spans="1:22" ht="10.25" customHeight="1" thickBot="1">
      <c r="A49" s="99" t="s">
        <v>143</v>
      </c>
      <c r="B49" s="906">
        <v>504000</v>
      </c>
      <c r="C49" s="906">
        <v>0</v>
      </c>
      <c r="D49" s="906">
        <v>0</v>
      </c>
      <c r="E49" s="906">
        <v>0</v>
      </c>
      <c r="F49" s="906">
        <v>0</v>
      </c>
      <c r="G49" s="906">
        <v>0</v>
      </c>
      <c r="H49" s="905">
        <v>0</v>
      </c>
      <c r="I49" s="905">
        <v>0</v>
      </c>
      <c r="J49" s="905">
        <v>0</v>
      </c>
      <c r="K49" s="905">
        <v>0</v>
      </c>
      <c r="L49" s="905">
        <v>0</v>
      </c>
      <c r="M49" s="905">
        <v>360000</v>
      </c>
      <c r="N49" s="905">
        <v>720000</v>
      </c>
      <c r="O49" s="905">
        <v>0</v>
      </c>
      <c r="P49" s="905">
        <v>0</v>
      </c>
      <c r="Q49" s="905">
        <v>0</v>
      </c>
      <c r="R49" s="905">
        <v>0</v>
      </c>
      <c r="S49" s="905">
        <v>0</v>
      </c>
      <c r="T49" s="905">
        <v>0</v>
      </c>
      <c r="U49" s="905">
        <v>0</v>
      </c>
    </row>
    <row r="50" spans="1:22" ht="9" customHeight="1">
      <c r="A50" s="778" t="s">
        <v>402</v>
      </c>
      <c r="B50" s="867"/>
      <c r="C50" s="867"/>
      <c r="D50" s="867"/>
      <c r="E50" s="867"/>
      <c r="F50" s="867"/>
      <c r="G50" s="867"/>
      <c r="H50" s="867"/>
      <c r="I50" s="867"/>
      <c r="J50" s="867"/>
      <c r="K50" s="867"/>
      <c r="L50" s="867"/>
      <c r="M50" s="867"/>
      <c r="N50" s="424"/>
      <c r="O50" s="424"/>
      <c r="P50" s="424"/>
      <c r="Q50" s="424"/>
      <c r="R50" s="424"/>
      <c r="S50" s="424"/>
      <c r="T50" s="424"/>
      <c r="U50" s="424"/>
      <c r="V50" s="425"/>
    </row>
    <row r="51" spans="1:22" ht="9" customHeight="1">
      <c r="A51" s="868" t="s">
        <v>177</v>
      </c>
      <c r="B51" s="869"/>
      <c r="C51" s="869"/>
      <c r="D51" s="869"/>
      <c r="E51" s="869"/>
      <c r="F51" s="869"/>
      <c r="G51" s="869"/>
      <c r="H51" s="869"/>
      <c r="I51" s="869"/>
      <c r="J51" s="869"/>
      <c r="K51" s="869"/>
      <c r="L51" s="869"/>
      <c r="M51" s="869"/>
      <c r="N51" s="426"/>
      <c r="O51" s="426"/>
      <c r="P51" s="426"/>
      <c r="Q51" s="426"/>
      <c r="R51" s="426"/>
      <c r="S51" s="426"/>
      <c r="T51" s="426"/>
      <c r="U51" s="426"/>
      <c r="V51" s="425"/>
    </row>
    <row r="52" spans="1:22" ht="9" customHeight="1">
      <c r="A52" s="780" t="s">
        <v>358</v>
      </c>
      <c r="B52" s="869"/>
      <c r="C52" s="869"/>
      <c r="D52" s="869"/>
      <c r="E52" s="869"/>
      <c r="F52" s="869"/>
      <c r="G52" s="869"/>
      <c r="H52" s="869"/>
      <c r="I52" s="868"/>
      <c r="J52" s="868"/>
      <c r="K52" s="868"/>
      <c r="L52" s="868"/>
      <c r="M52" s="868"/>
      <c r="N52" s="425"/>
      <c r="O52" s="425"/>
      <c r="P52" s="425"/>
      <c r="Q52" s="425"/>
      <c r="R52" s="425"/>
      <c r="S52" s="425"/>
      <c r="T52" s="425"/>
      <c r="U52" s="425"/>
      <c r="V52" s="425"/>
    </row>
    <row r="53" spans="1:22" ht="13.25" customHeight="1">
      <c r="A53" s="868"/>
      <c r="B53" s="868"/>
      <c r="C53" s="868"/>
      <c r="D53" s="868"/>
      <c r="E53" s="868"/>
      <c r="F53" s="868"/>
      <c r="G53" s="868"/>
      <c r="H53" s="868"/>
      <c r="I53" s="868"/>
      <c r="J53" s="868"/>
      <c r="K53" s="868"/>
      <c r="L53" s="868"/>
      <c r="M53" s="868"/>
    </row>
    <row r="54" spans="1:22" ht="13.25" customHeight="1">
      <c r="A54" s="102"/>
    </row>
    <row r="55" spans="1:22" ht="13.25" customHeight="1">
      <c r="A55" s="9"/>
    </row>
    <row r="56" spans="1:22" ht="13.25" customHeight="1">
      <c r="A56" s="9"/>
    </row>
    <row r="57" spans="1:22" ht="13.25" customHeight="1">
      <c r="A57" s="9"/>
    </row>
    <row r="58" spans="1:22" ht="13.25" customHeight="1">
      <c r="A58" s="11"/>
    </row>
    <row r="59" spans="1:22" ht="13.25" customHeight="1">
      <c r="A59" s="24"/>
    </row>
  </sheetData>
  <mergeCells count="1">
    <mergeCell ref="A5:U5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ignoredErrors>
    <ignoredError sqref="J6:R6" numberStoredAsText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Hoja117">
    <tabColor theme="9" tint="0.59999389629810485"/>
  </sheetPr>
  <dimension ref="A1:X43"/>
  <sheetViews>
    <sheetView showGridLines="0" zoomScaleNormal="100" workbookViewId="0">
      <selection activeCell="X1" sqref="X1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0" width="0" style="73" hidden="1" customWidth="1"/>
    <col min="11" max="11" width="0.19921875" style="73" hidden="1" customWidth="1"/>
    <col min="12" max="24" width="9" style="73" customWidth="1"/>
    <col min="25" max="25" width="7.796875" style="73" customWidth="1"/>
    <col min="26" max="28" width="8.19921875" style="73" customWidth="1"/>
    <col min="29" max="16384" width="7" style="73"/>
  </cols>
  <sheetData>
    <row r="1" spans="1:24" ht="13.25" customHeight="1">
      <c r="A1" s="1001"/>
      <c r="B1" s="1001"/>
      <c r="C1" s="1001"/>
      <c r="D1" s="1001"/>
      <c r="E1" s="1001"/>
    </row>
    <row r="2" spans="1:24" ht="13.25" customHeight="1">
      <c r="A2" s="198" t="s">
        <v>576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1:24" ht="13.25" customHeight="1">
      <c r="A3" s="199" t="s">
        <v>248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1:24" ht="4.25" customHeight="1" thickBot="1"/>
    <row r="5" spans="1:24" ht="16.25" customHeight="1">
      <c r="A5" s="565" t="s">
        <v>110</v>
      </c>
      <c r="B5" s="565">
        <v>2000</v>
      </c>
      <c r="C5" s="565">
        <v>2001</v>
      </c>
      <c r="D5" s="565">
        <v>2002</v>
      </c>
      <c r="E5" s="565">
        <v>2003</v>
      </c>
      <c r="F5" s="565">
        <v>2004</v>
      </c>
      <c r="G5" s="565">
        <v>2005</v>
      </c>
      <c r="H5" s="565">
        <v>2006</v>
      </c>
      <c r="I5" s="565">
        <v>2007</v>
      </c>
      <c r="J5" s="565">
        <v>2008</v>
      </c>
      <c r="K5" s="565">
        <v>2009</v>
      </c>
      <c r="L5" s="565">
        <v>2010</v>
      </c>
      <c r="M5" s="565">
        <v>2011</v>
      </c>
      <c r="N5" s="565">
        <v>2012</v>
      </c>
      <c r="O5" s="565">
        <v>2013</v>
      </c>
      <c r="P5" s="565">
        <v>2014</v>
      </c>
      <c r="Q5" s="565">
        <v>2015</v>
      </c>
      <c r="R5" s="565">
        <v>2016</v>
      </c>
      <c r="S5" s="543">
        <v>2017</v>
      </c>
      <c r="T5" s="542">
        <v>2018</v>
      </c>
      <c r="U5" s="543">
        <v>2019</v>
      </c>
      <c r="V5" s="543">
        <v>2020</v>
      </c>
      <c r="W5" s="543">
        <v>2021</v>
      </c>
      <c r="X5" s="544" t="s">
        <v>477</v>
      </c>
    </row>
    <row r="6" spans="1:24" ht="16.25" customHeight="1">
      <c r="A6" s="554" t="s">
        <v>54</v>
      </c>
      <c r="B6" s="731">
        <v>92749</v>
      </c>
      <c r="C6" s="731">
        <v>97776</v>
      </c>
      <c r="D6" s="731">
        <v>80988</v>
      </c>
      <c r="E6" s="731">
        <v>113000</v>
      </c>
      <c r="F6" s="731">
        <v>102500</v>
      </c>
      <c r="G6" s="731">
        <v>117060</v>
      </c>
      <c r="H6" s="731">
        <v>108826</v>
      </c>
      <c r="I6" s="731">
        <v>127500</v>
      </c>
      <c r="J6" s="731">
        <v>138170</v>
      </c>
      <c r="K6" s="731">
        <v>133600</v>
      </c>
      <c r="L6" s="555">
        <f>+AD14</f>
        <v>0</v>
      </c>
      <c r="M6" s="555">
        <v>145610</v>
      </c>
      <c r="N6" s="555">
        <v>126800</v>
      </c>
      <c r="O6" s="555">
        <v>163845</v>
      </c>
      <c r="P6" s="555">
        <v>204535</v>
      </c>
      <c r="Q6" s="555">
        <v>189474</v>
      </c>
      <c r="R6" s="555">
        <v>193317</v>
      </c>
      <c r="S6" s="555">
        <v>132712</v>
      </c>
      <c r="T6" s="555">
        <f>SUM(T7:T18)</f>
        <v>73793</v>
      </c>
      <c r="U6" s="555">
        <f>SUM(U7:U18)</f>
        <v>159615</v>
      </c>
      <c r="V6" s="555">
        <f>SUM(V7:V18)</f>
        <v>139183</v>
      </c>
      <c r="W6" s="555">
        <f>SUM(W7:W18)</f>
        <v>158193</v>
      </c>
      <c r="X6" s="555">
        <f>SUM(X7:X18)</f>
        <v>187991</v>
      </c>
    </row>
    <row r="7" spans="1:24" ht="15" customHeight="1">
      <c r="A7" s="76" t="s">
        <v>55</v>
      </c>
      <c r="B7" s="77">
        <v>21442</v>
      </c>
      <c r="C7" s="77">
        <v>0</v>
      </c>
      <c r="D7" s="77">
        <v>4500</v>
      </c>
      <c r="E7" s="77">
        <v>21000</v>
      </c>
      <c r="F7" s="77">
        <v>0</v>
      </c>
      <c r="G7" s="77">
        <v>4060</v>
      </c>
      <c r="H7" s="77">
        <v>0</v>
      </c>
      <c r="I7" s="77">
        <v>20000</v>
      </c>
      <c r="J7" s="77">
        <v>10160</v>
      </c>
      <c r="K7" s="77">
        <v>6000</v>
      </c>
      <c r="L7" s="204">
        <v>29640</v>
      </c>
      <c r="M7" s="204">
        <v>26760</v>
      </c>
      <c r="N7" s="204">
        <v>6500</v>
      </c>
      <c r="O7" s="204">
        <v>20800</v>
      </c>
      <c r="P7" s="204">
        <v>18720</v>
      </c>
      <c r="Q7" s="204">
        <v>0</v>
      </c>
      <c r="R7" s="204">
        <v>9672</v>
      </c>
      <c r="S7" s="204">
        <v>11440</v>
      </c>
      <c r="T7" s="204">
        <v>0</v>
      </c>
      <c r="U7" s="204">
        <v>22807</v>
      </c>
      <c r="V7" s="204">
        <v>0</v>
      </c>
      <c r="W7" s="204">
        <v>25116</v>
      </c>
      <c r="X7" s="204">
        <v>30347</v>
      </c>
    </row>
    <row r="8" spans="1:24" ht="15" customHeight="1">
      <c r="A8" s="76" t="s">
        <v>56</v>
      </c>
      <c r="B8" s="77">
        <v>0</v>
      </c>
      <c r="C8" s="77">
        <v>0</v>
      </c>
      <c r="D8" s="77">
        <v>0</v>
      </c>
      <c r="E8" s="77">
        <v>0</v>
      </c>
      <c r="F8" s="77">
        <v>21000</v>
      </c>
      <c r="G8" s="77">
        <v>14000</v>
      </c>
      <c r="H8" s="77">
        <v>5000</v>
      </c>
      <c r="I8" s="77">
        <v>5500</v>
      </c>
      <c r="J8" s="77">
        <v>20000</v>
      </c>
      <c r="K8" s="77">
        <v>17000</v>
      </c>
      <c r="L8" s="204">
        <v>0</v>
      </c>
      <c r="M8" s="204">
        <v>4000</v>
      </c>
      <c r="N8" s="204">
        <v>19000</v>
      </c>
      <c r="O8" s="204">
        <v>30690</v>
      </c>
      <c r="P8" s="204">
        <v>7436</v>
      </c>
      <c r="Q8" s="204">
        <v>21840</v>
      </c>
      <c r="R8" s="204">
        <v>20800</v>
      </c>
      <c r="S8" s="204">
        <v>0</v>
      </c>
      <c r="T8" s="204">
        <v>6240</v>
      </c>
      <c r="U8" s="204">
        <v>6760</v>
      </c>
      <c r="V8" s="204">
        <v>25116</v>
      </c>
      <c r="W8" s="204">
        <v>0</v>
      </c>
      <c r="X8" s="204">
        <v>0</v>
      </c>
    </row>
    <row r="9" spans="1:24" ht="15" customHeight="1">
      <c r="A9" s="76" t="s">
        <v>57</v>
      </c>
      <c r="B9" s="77">
        <v>14742</v>
      </c>
      <c r="C9" s="77">
        <v>21528</v>
      </c>
      <c r="D9" s="77">
        <v>6000</v>
      </c>
      <c r="E9" s="77">
        <v>16000</v>
      </c>
      <c r="F9" s="77">
        <v>14000</v>
      </c>
      <c r="G9" s="77">
        <v>5000</v>
      </c>
      <c r="H9" s="77">
        <v>16000</v>
      </c>
      <c r="I9" s="77">
        <v>5000</v>
      </c>
      <c r="J9" s="77">
        <v>6000</v>
      </c>
      <c r="K9" s="77">
        <v>10000</v>
      </c>
      <c r="L9" s="204">
        <v>16500</v>
      </c>
      <c r="M9" s="204">
        <v>0</v>
      </c>
      <c r="N9" s="204">
        <v>6760</v>
      </c>
      <c r="O9" s="204">
        <v>10800</v>
      </c>
      <c r="P9" s="204">
        <v>10925</v>
      </c>
      <c r="Q9" s="204">
        <v>10896</v>
      </c>
      <c r="R9" s="204">
        <v>18863</v>
      </c>
      <c r="S9" s="204">
        <v>33192</v>
      </c>
      <c r="T9" s="204">
        <v>10260</v>
      </c>
      <c r="U9" s="204">
        <v>12312</v>
      </c>
      <c r="V9" s="204">
        <v>0</v>
      </c>
      <c r="W9" s="204">
        <v>23154</v>
      </c>
      <c r="X9" s="204">
        <v>31518</v>
      </c>
    </row>
    <row r="10" spans="1:24" ht="15" customHeight="1">
      <c r="A10" s="76" t="s">
        <v>58</v>
      </c>
      <c r="B10" s="77">
        <v>0</v>
      </c>
      <c r="C10" s="77">
        <v>0</v>
      </c>
      <c r="D10" s="77">
        <v>9000</v>
      </c>
      <c r="E10" s="77">
        <v>5000</v>
      </c>
      <c r="F10" s="77">
        <v>0</v>
      </c>
      <c r="G10" s="77">
        <v>16000</v>
      </c>
      <c r="H10" s="77">
        <v>5500</v>
      </c>
      <c r="I10" s="77">
        <v>11000</v>
      </c>
      <c r="J10" s="77">
        <v>19010</v>
      </c>
      <c r="K10" s="77">
        <v>18900</v>
      </c>
      <c r="L10" s="204">
        <v>9500</v>
      </c>
      <c r="M10" s="204">
        <v>25500</v>
      </c>
      <c r="N10" s="204">
        <v>14000</v>
      </c>
      <c r="O10" s="204">
        <v>0</v>
      </c>
      <c r="P10" s="204">
        <v>24076</v>
      </c>
      <c r="Q10" s="204">
        <v>21840</v>
      </c>
      <c r="R10" s="204">
        <v>18720</v>
      </c>
      <c r="S10" s="204">
        <v>0</v>
      </c>
      <c r="T10" s="204">
        <v>0</v>
      </c>
      <c r="U10" s="204">
        <v>17680</v>
      </c>
      <c r="V10" s="204">
        <v>20203</v>
      </c>
      <c r="W10" s="204">
        <v>0</v>
      </c>
      <c r="X10" s="204">
        <v>13338</v>
      </c>
    </row>
    <row r="11" spans="1:24" ht="15" customHeight="1">
      <c r="A11" s="76" t="s">
        <v>59</v>
      </c>
      <c r="B11" s="77">
        <v>4500</v>
      </c>
      <c r="C11" s="77">
        <v>16848</v>
      </c>
      <c r="D11" s="77">
        <v>5200</v>
      </c>
      <c r="E11" s="77">
        <v>16000</v>
      </c>
      <c r="F11" s="77">
        <v>18000</v>
      </c>
      <c r="G11" s="77">
        <v>5500</v>
      </c>
      <c r="H11" s="77">
        <v>16000</v>
      </c>
      <c r="I11" s="77">
        <v>14000</v>
      </c>
      <c r="J11" s="77">
        <v>6000</v>
      </c>
      <c r="K11" s="77">
        <v>0</v>
      </c>
      <c r="L11" s="204">
        <v>3900</v>
      </c>
      <c r="M11" s="204">
        <v>0</v>
      </c>
      <c r="N11" s="204">
        <v>16760</v>
      </c>
      <c r="O11" s="204">
        <v>25220</v>
      </c>
      <c r="P11" s="204">
        <v>16640</v>
      </c>
      <c r="Q11" s="204">
        <v>0</v>
      </c>
      <c r="R11" s="204">
        <v>3848</v>
      </c>
      <c r="S11" s="204">
        <v>32898</v>
      </c>
      <c r="T11" s="204">
        <v>6240</v>
      </c>
      <c r="U11" s="204">
        <v>6760</v>
      </c>
      <c r="V11" s="204">
        <v>0</v>
      </c>
      <c r="W11" s="204">
        <v>20332</v>
      </c>
      <c r="X11" s="204">
        <v>0</v>
      </c>
    </row>
    <row r="12" spans="1:24" ht="15" customHeight="1">
      <c r="A12" s="76" t="s">
        <v>60</v>
      </c>
      <c r="B12" s="77">
        <v>22113</v>
      </c>
      <c r="C12" s="77">
        <v>0</v>
      </c>
      <c r="D12" s="77">
        <v>0</v>
      </c>
      <c r="E12" s="77">
        <v>0</v>
      </c>
      <c r="F12" s="77">
        <v>0</v>
      </c>
      <c r="G12" s="77">
        <v>14000</v>
      </c>
      <c r="H12" s="77">
        <v>5500</v>
      </c>
      <c r="I12" s="77">
        <v>8500</v>
      </c>
      <c r="J12" s="77">
        <v>4000</v>
      </c>
      <c r="K12" s="77">
        <v>24900</v>
      </c>
      <c r="L12" s="204">
        <v>26500</v>
      </c>
      <c r="M12" s="204">
        <v>10300</v>
      </c>
      <c r="N12" s="204">
        <v>0</v>
      </c>
      <c r="O12" s="204">
        <v>0</v>
      </c>
      <c r="P12" s="204">
        <v>8112</v>
      </c>
      <c r="Q12" s="204">
        <v>31356</v>
      </c>
      <c r="R12" s="204">
        <v>33666</v>
      </c>
      <c r="S12" s="204">
        <v>4368</v>
      </c>
      <c r="T12" s="204">
        <v>10260</v>
      </c>
      <c r="U12" s="204">
        <v>12306</v>
      </c>
      <c r="V12" s="204">
        <v>19008</v>
      </c>
      <c r="W12" s="204">
        <v>23466</v>
      </c>
      <c r="X12" s="204">
        <v>17918</v>
      </c>
    </row>
    <row r="13" spans="1:24" ht="15" customHeight="1">
      <c r="A13" s="76" t="s">
        <v>61</v>
      </c>
      <c r="B13" s="77">
        <v>0</v>
      </c>
      <c r="C13" s="77">
        <v>4500</v>
      </c>
      <c r="D13" s="77">
        <v>20000</v>
      </c>
      <c r="E13" s="77">
        <v>5000</v>
      </c>
      <c r="F13" s="77">
        <v>16000</v>
      </c>
      <c r="G13" s="77">
        <v>0</v>
      </c>
      <c r="H13" s="77">
        <v>16000</v>
      </c>
      <c r="I13" s="77">
        <v>0</v>
      </c>
      <c r="J13" s="77">
        <v>28000</v>
      </c>
      <c r="K13" s="77">
        <v>3500</v>
      </c>
      <c r="L13" s="204">
        <v>0</v>
      </c>
      <c r="M13" s="204">
        <v>19000</v>
      </c>
      <c r="N13" s="204">
        <v>23000</v>
      </c>
      <c r="O13" s="204">
        <v>6500</v>
      </c>
      <c r="P13" s="204">
        <v>24010</v>
      </c>
      <c r="Q13" s="204">
        <v>0</v>
      </c>
      <c r="R13" s="204">
        <v>0</v>
      </c>
      <c r="S13" s="204">
        <v>6240</v>
      </c>
      <c r="T13" s="204">
        <v>6240</v>
      </c>
      <c r="U13" s="204">
        <v>6760</v>
      </c>
      <c r="V13" s="204">
        <v>17680</v>
      </c>
      <c r="W13" s="204">
        <v>0</v>
      </c>
      <c r="X13" s="204">
        <v>25339</v>
      </c>
    </row>
    <row r="14" spans="1:24" ht="15" customHeight="1">
      <c r="A14" s="76" t="s">
        <v>62</v>
      </c>
      <c r="B14" s="77">
        <v>0</v>
      </c>
      <c r="C14" s="77">
        <v>16800</v>
      </c>
      <c r="D14" s="77">
        <v>14962</v>
      </c>
      <c r="E14" s="77">
        <v>16000</v>
      </c>
      <c r="F14" s="77">
        <v>4000</v>
      </c>
      <c r="G14" s="77">
        <v>14000</v>
      </c>
      <c r="H14" s="77">
        <v>1826</v>
      </c>
      <c r="I14" s="77">
        <v>22500</v>
      </c>
      <c r="J14" s="77">
        <v>0</v>
      </c>
      <c r="K14" s="77">
        <v>25900</v>
      </c>
      <c r="L14" s="204">
        <v>6500</v>
      </c>
      <c r="M14" s="204">
        <v>16500</v>
      </c>
      <c r="N14" s="204">
        <v>6500</v>
      </c>
      <c r="O14" s="204">
        <v>23750</v>
      </c>
      <c r="P14" s="204">
        <v>19765</v>
      </c>
      <c r="Q14" s="204">
        <v>13208</v>
      </c>
      <c r="R14" s="204">
        <v>37212</v>
      </c>
      <c r="S14" s="204">
        <v>9747</v>
      </c>
      <c r="T14" s="204">
        <v>10260</v>
      </c>
      <c r="U14" s="204">
        <v>17680</v>
      </c>
      <c r="V14" s="204">
        <v>7436</v>
      </c>
      <c r="W14" s="204">
        <v>30347</v>
      </c>
      <c r="X14" s="204">
        <v>11154</v>
      </c>
    </row>
    <row r="15" spans="1:24" ht="15" customHeight="1">
      <c r="A15" s="76" t="s">
        <v>63</v>
      </c>
      <c r="B15" s="77">
        <v>0</v>
      </c>
      <c r="C15" s="77">
        <v>0</v>
      </c>
      <c r="D15" s="77">
        <v>5000</v>
      </c>
      <c r="E15" s="77">
        <v>0</v>
      </c>
      <c r="F15" s="77">
        <v>0</v>
      </c>
      <c r="G15" s="77">
        <v>5500</v>
      </c>
      <c r="H15" s="77">
        <v>21500</v>
      </c>
      <c r="I15" s="77">
        <v>3000</v>
      </c>
      <c r="J15" s="77">
        <v>20000</v>
      </c>
      <c r="K15" s="77">
        <v>0</v>
      </c>
      <c r="L15" s="204">
        <v>23160</v>
      </c>
      <c r="M15" s="204">
        <v>10000</v>
      </c>
      <c r="N15" s="204">
        <v>9500</v>
      </c>
      <c r="O15" s="204">
        <v>6240</v>
      </c>
      <c r="P15" s="204">
        <v>23868</v>
      </c>
      <c r="Q15" s="204">
        <v>22880</v>
      </c>
      <c r="R15" s="204">
        <v>0</v>
      </c>
      <c r="S15" s="204">
        <v>14768</v>
      </c>
      <c r="T15" s="204">
        <v>0</v>
      </c>
      <c r="U15" s="204">
        <v>19072</v>
      </c>
      <c r="V15" s="204">
        <v>21152</v>
      </c>
      <c r="W15" s="204">
        <v>12312</v>
      </c>
      <c r="X15" s="204">
        <v>0</v>
      </c>
    </row>
    <row r="16" spans="1:24" ht="15" customHeight="1">
      <c r="A16" s="76" t="s">
        <v>64</v>
      </c>
      <c r="B16" s="77">
        <v>12636</v>
      </c>
      <c r="C16" s="77">
        <v>21300</v>
      </c>
      <c r="D16" s="77">
        <v>16326</v>
      </c>
      <c r="E16" s="77">
        <v>16000</v>
      </c>
      <c r="F16" s="77">
        <v>10000</v>
      </c>
      <c r="G16" s="77">
        <v>8000</v>
      </c>
      <c r="H16" s="77">
        <v>0</v>
      </c>
      <c r="I16" s="77">
        <v>19000</v>
      </c>
      <c r="J16" s="77">
        <v>6000</v>
      </c>
      <c r="K16" s="77">
        <v>7000</v>
      </c>
      <c r="L16" s="204">
        <v>0</v>
      </c>
      <c r="M16" s="204">
        <v>10300</v>
      </c>
      <c r="N16" s="204">
        <v>16000</v>
      </c>
      <c r="O16" s="204">
        <v>23720</v>
      </c>
      <c r="P16" s="204">
        <v>8320</v>
      </c>
      <c r="Q16" s="204">
        <v>22370</v>
      </c>
      <c r="R16" s="204">
        <v>23504</v>
      </c>
      <c r="S16" s="204">
        <v>4072</v>
      </c>
      <c r="T16" s="204">
        <v>6760</v>
      </c>
      <c r="U16" s="204">
        <v>0</v>
      </c>
      <c r="V16" s="204">
        <v>8840</v>
      </c>
      <c r="W16" s="204">
        <v>11154</v>
      </c>
      <c r="X16" s="204">
        <v>38097</v>
      </c>
    </row>
    <row r="17" spans="1:24" ht="15" customHeight="1">
      <c r="A17" s="76" t="s">
        <v>65</v>
      </c>
      <c r="B17" s="77">
        <v>0</v>
      </c>
      <c r="C17" s="77">
        <v>0</v>
      </c>
      <c r="D17" s="77">
        <v>0</v>
      </c>
      <c r="E17" s="77">
        <v>6000</v>
      </c>
      <c r="F17" s="77">
        <v>0</v>
      </c>
      <c r="G17" s="77">
        <v>14000</v>
      </c>
      <c r="H17" s="77">
        <v>16000</v>
      </c>
      <c r="I17" s="77">
        <v>0</v>
      </c>
      <c r="J17" s="77">
        <v>19000</v>
      </c>
      <c r="K17" s="77">
        <v>20400</v>
      </c>
      <c r="L17" s="204">
        <v>16000</v>
      </c>
      <c r="M17" s="204">
        <v>19000</v>
      </c>
      <c r="N17" s="204">
        <v>4100</v>
      </c>
      <c r="O17" s="204">
        <v>6240</v>
      </c>
      <c r="P17" s="204">
        <v>10816</v>
      </c>
      <c r="Q17" s="204">
        <v>19656</v>
      </c>
      <c r="R17" s="204">
        <v>20792</v>
      </c>
      <c r="S17" s="204">
        <v>9747</v>
      </c>
      <c r="T17" s="204">
        <v>0</v>
      </c>
      <c r="U17" s="204">
        <v>25166</v>
      </c>
      <c r="V17" s="204">
        <v>7436</v>
      </c>
      <c r="W17" s="204">
        <v>0</v>
      </c>
      <c r="X17" s="204">
        <v>5720</v>
      </c>
    </row>
    <row r="18" spans="1:24" ht="15" customHeight="1" thickBot="1">
      <c r="A18" s="79" t="s">
        <v>66</v>
      </c>
      <c r="B18" s="100">
        <v>17316</v>
      </c>
      <c r="C18" s="100">
        <v>16800</v>
      </c>
      <c r="D18" s="100">
        <v>0</v>
      </c>
      <c r="E18" s="100">
        <v>12000</v>
      </c>
      <c r="F18" s="100">
        <v>19500</v>
      </c>
      <c r="G18" s="100">
        <v>17000</v>
      </c>
      <c r="H18" s="100">
        <v>5500</v>
      </c>
      <c r="I18" s="100">
        <v>19000</v>
      </c>
      <c r="J18" s="100">
        <v>0</v>
      </c>
      <c r="K18" s="100">
        <v>0</v>
      </c>
      <c r="L18" s="432">
        <v>5510</v>
      </c>
      <c r="M18" s="432">
        <v>4250</v>
      </c>
      <c r="N18" s="432">
        <v>4680</v>
      </c>
      <c r="O18" s="432">
        <v>9885</v>
      </c>
      <c r="P18" s="432">
        <v>31847</v>
      </c>
      <c r="Q18" s="432">
        <v>25428</v>
      </c>
      <c r="R18" s="432">
        <v>6240</v>
      </c>
      <c r="S18" s="432">
        <v>6240</v>
      </c>
      <c r="T18" s="432">
        <v>17533</v>
      </c>
      <c r="U18" s="432">
        <v>12312</v>
      </c>
      <c r="V18" s="432">
        <v>12312</v>
      </c>
      <c r="W18" s="432">
        <v>12312</v>
      </c>
      <c r="X18" s="432">
        <v>14560</v>
      </c>
    </row>
    <row r="19" spans="1:24" ht="9" customHeight="1">
      <c r="A19" s="778" t="s">
        <v>402</v>
      </c>
      <c r="B19" s="796"/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  <c r="R19" s="190"/>
      <c r="S19" s="190"/>
      <c r="T19" s="190"/>
      <c r="U19" s="190"/>
      <c r="V19" s="190"/>
      <c r="W19" s="190"/>
      <c r="X19" s="190"/>
    </row>
    <row r="20" spans="1:24" ht="9" customHeight="1">
      <c r="A20" s="871" t="s">
        <v>377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  <c r="R20" s="190"/>
      <c r="S20" s="190"/>
      <c r="T20" s="190"/>
      <c r="U20" s="190"/>
      <c r="V20" s="190"/>
      <c r="W20" s="190"/>
      <c r="X20" s="190"/>
    </row>
    <row r="21" spans="1:24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  <c r="R21" s="190"/>
      <c r="S21" s="190"/>
      <c r="T21" s="190"/>
      <c r="U21" s="190"/>
      <c r="V21" s="190"/>
      <c r="W21" s="190"/>
      <c r="X21" s="190"/>
    </row>
    <row r="23" spans="1:24" ht="13.25" customHeight="1">
      <c r="A23" s="198" t="s">
        <v>577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</row>
    <row r="24" spans="1:24" ht="13.25" customHeight="1">
      <c r="A24" s="199" t="s">
        <v>304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</row>
    <row r="25" spans="1:24" ht="4.25" customHeight="1" thickBot="1"/>
    <row r="26" spans="1:24" ht="16.25" customHeight="1">
      <c r="A26" s="565" t="s">
        <v>110</v>
      </c>
      <c r="B26" s="565">
        <v>2000</v>
      </c>
      <c r="C26" s="565">
        <v>2001</v>
      </c>
      <c r="D26" s="565">
        <v>2002</v>
      </c>
      <c r="E26" s="565">
        <v>2003</v>
      </c>
      <c r="F26" s="565">
        <v>2004</v>
      </c>
      <c r="G26" s="565">
        <v>2005</v>
      </c>
      <c r="H26" s="565">
        <v>2006</v>
      </c>
      <c r="I26" s="565">
        <v>2007</v>
      </c>
      <c r="J26" s="565">
        <v>2008</v>
      </c>
      <c r="K26" s="565">
        <v>2009</v>
      </c>
      <c r="L26" s="565">
        <v>2010</v>
      </c>
      <c r="M26" s="565">
        <v>2011</v>
      </c>
      <c r="N26" s="565">
        <v>2012</v>
      </c>
      <c r="O26" s="565">
        <v>2013</v>
      </c>
      <c r="P26" s="565">
        <v>2014</v>
      </c>
      <c r="Q26" s="565">
        <v>2015</v>
      </c>
      <c r="R26" s="565">
        <v>2016</v>
      </c>
      <c r="S26" s="543">
        <v>2017</v>
      </c>
      <c r="T26" s="542">
        <v>2018</v>
      </c>
      <c r="U26" s="543">
        <v>2019</v>
      </c>
      <c r="V26" s="543">
        <v>2020</v>
      </c>
      <c r="W26" s="543">
        <v>2021</v>
      </c>
      <c r="X26" s="544" t="s">
        <v>477</v>
      </c>
    </row>
    <row r="27" spans="1:24" ht="16.25" customHeight="1">
      <c r="A27" s="554" t="s">
        <v>54</v>
      </c>
      <c r="B27" s="731">
        <f t="shared" ref="B27:H27" si="0">SUM(B28:B39)</f>
        <v>92749</v>
      </c>
      <c r="C27" s="731">
        <f t="shared" si="0"/>
        <v>97776</v>
      </c>
      <c r="D27" s="731">
        <f t="shared" si="0"/>
        <v>80988</v>
      </c>
      <c r="E27" s="731">
        <f t="shared" si="0"/>
        <v>113000</v>
      </c>
      <c r="F27" s="731">
        <f t="shared" si="0"/>
        <v>102500</v>
      </c>
      <c r="G27" s="731" t="e">
        <f t="shared" si="0"/>
        <v>#REF!</v>
      </c>
      <c r="H27" s="731" t="e">
        <f t="shared" si="0"/>
        <v>#REF!</v>
      </c>
      <c r="I27" s="731">
        <v>127500</v>
      </c>
      <c r="J27" s="731">
        <v>138170</v>
      </c>
      <c r="K27" s="731">
        <v>133600</v>
      </c>
      <c r="L27" s="555">
        <v>137210</v>
      </c>
      <c r="M27" s="555">
        <v>145610</v>
      </c>
      <c r="N27" s="555">
        <v>126800</v>
      </c>
      <c r="O27" s="555">
        <v>163845</v>
      </c>
      <c r="P27" s="555">
        <v>204535</v>
      </c>
      <c r="Q27" s="555">
        <v>189474</v>
      </c>
      <c r="R27" s="555">
        <v>193317</v>
      </c>
      <c r="S27" s="555">
        <v>132712</v>
      </c>
      <c r="T27" s="555">
        <f>SUM(T28:T39)</f>
        <v>73793</v>
      </c>
      <c r="U27" s="555">
        <f>SUM(U28:U39)</f>
        <v>159615</v>
      </c>
      <c r="V27" s="555">
        <f>SUM(V28:V39)</f>
        <v>114067</v>
      </c>
      <c r="W27" s="555">
        <f>SUM(W28:W39)</f>
        <v>158193</v>
      </c>
      <c r="X27" s="555">
        <f>SUM(X28:X39)</f>
        <v>187991</v>
      </c>
    </row>
    <row r="28" spans="1:24" ht="15" customHeight="1">
      <c r="A28" s="76" t="s">
        <v>55</v>
      </c>
      <c r="B28" s="77">
        <v>21442</v>
      </c>
      <c r="C28" s="77">
        <v>0</v>
      </c>
      <c r="D28" s="77">
        <v>4500</v>
      </c>
      <c r="E28" s="77">
        <v>21000</v>
      </c>
      <c r="F28" s="77">
        <v>0</v>
      </c>
      <c r="G28" s="77" t="e">
        <f>+[3]SERIE!F164</f>
        <v>#REF!</v>
      </c>
      <c r="H28" s="77" t="e">
        <f>+[3]SERIE!F176</f>
        <v>#REF!</v>
      </c>
      <c r="I28" s="77">
        <v>20000</v>
      </c>
      <c r="J28" s="77">
        <v>10160</v>
      </c>
      <c r="K28" s="77">
        <v>6000</v>
      </c>
      <c r="L28" s="204">
        <v>29640</v>
      </c>
      <c r="M28" s="204">
        <v>26760</v>
      </c>
      <c r="N28" s="204">
        <v>6500</v>
      </c>
      <c r="O28" s="204">
        <v>20800</v>
      </c>
      <c r="P28" s="204">
        <v>18720</v>
      </c>
      <c r="Q28" s="204">
        <v>0</v>
      </c>
      <c r="R28" s="204">
        <v>9672</v>
      </c>
      <c r="S28" s="204">
        <v>11440</v>
      </c>
      <c r="T28" s="204">
        <v>0</v>
      </c>
      <c r="U28" s="204">
        <v>22807</v>
      </c>
      <c r="V28" s="204">
        <v>0</v>
      </c>
      <c r="W28" s="204">
        <v>25116</v>
      </c>
      <c r="X28" s="204">
        <v>30347</v>
      </c>
    </row>
    <row r="29" spans="1:24" ht="15" customHeight="1">
      <c r="A29" s="76" t="s">
        <v>56</v>
      </c>
      <c r="B29" s="77">
        <v>0</v>
      </c>
      <c r="C29" s="77">
        <v>0</v>
      </c>
      <c r="D29" s="77">
        <v>0</v>
      </c>
      <c r="E29" s="77">
        <v>0</v>
      </c>
      <c r="F29" s="77">
        <v>21000</v>
      </c>
      <c r="G29" s="77" t="e">
        <f>+[3]SERIE!F165</f>
        <v>#REF!</v>
      </c>
      <c r="H29" s="77" t="e">
        <f>+[3]SERIE!F177</f>
        <v>#REF!</v>
      </c>
      <c r="I29" s="77">
        <v>5500</v>
      </c>
      <c r="J29" s="77">
        <v>20000</v>
      </c>
      <c r="K29" s="77">
        <v>17000</v>
      </c>
      <c r="L29" s="204">
        <v>0</v>
      </c>
      <c r="M29" s="204">
        <v>4000</v>
      </c>
      <c r="N29" s="204">
        <v>19000</v>
      </c>
      <c r="O29" s="204">
        <v>30690</v>
      </c>
      <c r="P29" s="204">
        <v>7436</v>
      </c>
      <c r="Q29" s="204">
        <v>21840</v>
      </c>
      <c r="R29" s="204">
        <v>20800</v>
      </c>
      <c r="S29" s="204">
        <v>0</v>
      </c>
      <c r="T29" s="204">
        <v>6240</v>
      </c>
      <c r="U29" s="204">
        <v>6760</v>
      </c>
      <c r="V29" s="204">
        <v>0</v>
      </c>
      <c r="W29" s="204">
        <v>0</v>
      </c>
      <c r="X29" s="204">
        <v>0</v>
      </c>
    </row>
    <row r="30" spans="1:24" ht="15" customHeight="1">
      <c r="A30" s="76" t="s">
        <v>57</v>
      </c>
      <c r="B30" s="77">
        <v>14742</v>
      </c>
      <c r="C30" s="77">
        <v>21528</v>
      </c>
      <c r="D30" s="77">
        <v>6000</v>
      </c>
      <c r="E30" s="77">
        <v>16000</v>
      </c>
      <c r="F30" s="77">
        <v>14000</v>
      </c>
      <c r="G30" s="77" t="e">
        <f>+[3]SERIE!F166</f>
        <v>#REF!</v>
      </c>
      <c r="H30" s="77" t="e">
        <f>+[3]SERIE!F178</f>
        <v>#REF!</v>
      </c>
      <c r="I30" s="77">
        <v>5000</v>
      </c>
      <c r="J30" s="77">
        <v>6000</v>
      </c>
      <c r="K30" s="77">
        <v>10000</v>
      </c>
      <c r="L30" s="204">
        <v>16500</v>
      </c>
      <c r="M30" s="204">
        <v>0</v>
      </c>
      <c r="N30" s="204">
        <v>6760</v>
      </c>
      <c r="O30" s="204">
        <v>10800</v>
      </c>
      <c r="P30" s="204">
        <v>10925</v>
      </c>
      <c r="Q30" s="204">
        <v>10896</v>
      </c>
      <c r="R30" s="204">
        <v>18863</v>
      </c>
      <c r="S30" s="204">
        <v>33192</v>
      </c>
      <c r="T30" s="204">
        <v>10260</v>
      </c>
      <c r="U30" s="204">
        <v>12312</v>
      </c>
      <c r="V30" s="204">
        <v>0</v>
      </c>
      <c r="W30" s="204">
        <v>23154</v>
      </c>
      <c r="X30" s="204">
        <v>31518</v>
      </c>
    </row>
    <row r="31" spans="1:24" ht="15" customHeight="1">
      <c r="A31" s="76" t="s">
        <v>58</v>
      </c>
      <c r="B31" s="77">
        <v>0</v>
      </c>
      <c r="C31" s="77">
        <v>0</v>
      </c>
      <c r="D31" s="77">
        <v>9000</v>
      </c>
      <c r="E31" s="77">
        <v>5000</v>
      </c>
      <c r="F31" s="77">
        <v>0</v>
      </c>
      <c r="G31" s="77" t="e">
        <f>+[3]SERIE!F167</f>
        <v>#REF!</v>
      </c>
      <c r="H31" s="77" t="e">
        <f>+[3]SERIE!F179</f>
        <v>#REF!</v>
      </c>
      <c r="I31" s="77">
        <v>11000</v>
      </c>
      <c r="J31" s="77">
        <v>19010</v>
      </c>
      <c r="K31" s="77">
        <v>18900</v>
      </c>
      <c r="L31" s="204">
        <v>9500</v>
      </c>
      <c r="M31" s="204">
        <v>25500</v>
      </c>
      <c r="N31" s="204">
        <v>14000</v>
      </c>
      <c r="O31" s="204">
        <v>0</v>
      </c>
      <c r="P31" s="204">
        <v>24076</v>
      </c>
      <c r="Q31" s="204">
        <v>21840</v>
      </c>
      <c r="R31" s="204">
        <v>18720</v>
      </c>
      <c r="S31" s="204">
        <v>0</v>
      </c>
      <c r="T31" s="204">
        <v>0</v>
      </c>
      <c r="U31" s="204">
        <v>17680</v>
      </c>
      <c r="V31" s="204">
        <v>20203</v>
      </c>
      <c r="W31" s="204">
        <v>0</v>
      </c>
      <c r="X31" s="204">
        <v>13338</v>
      </c>
    </row>
    <row r="32" spans="1:24" ht="15" customHeight="1">
      <c r="A32" s="76" t="s">
        <v>59</v>
      </c>
      <c r="B32" s="77">
        <v>4500</v>
      </c>
      <c r="C32" s="77">
        <v>16848</v>
      </c>
      <c r="D32" s="77">
        <v>5200</v>
      </c>
      <c r="E32" s="77">
        <v>16000</v>
      </c>
      <c r="F32" s="77">
        <v>18000</v>
      </c>
      <c r="G32" s="77" t="e">
        <f>+[3]SERIE!F168</f>
        <v>#REF!</v>
      </c>
      <c r="H32" s="77" t="e">
        <f>+[3]SERIE!F180</f>
        <v>#REF!</v>
      </c>
      <c r="I32" s="77">
        <v>14000</v>
      </c>
      <c r="J32" s="77">
        <v>6000</v>
      </c>
      <c r="K32" s="77">
        <v>0</v>
      </c>
      <c r="L32" s="204">
        <v>3900</v>
      </c>
      <c r="M32" s="204">
        <v>0</v>
      </c>
      <c r="N32" s="204">
        <v>16760</v>
      </c>
      <c r="O32" s="204">
        <v>25220</v>
      </c>
      <c r="P32" s="204">
        <v>16640</v>
      </c>
      <c r="Q32" s="204">
        <v>0</v>
      </c>
      <c r="R32" s="204">
        <v>3848</v>
      </c>
      <c r="S32" s="204">
        <v>32898</v>
      </c>
      <c r="T32" s="204">
        <v>6240</v>
      </c>
      <c r="U32" s="204">
        <v>6760</v>
      </c>
      <c r="V32" s="204">
        <v>0</v>
      </c>
      <c r="W32" s="204">
        <v>20332</v>
      </c>
      <c r="X32" s="204">
        <v>0</v>
      </c>
    </row>
    <row r="33" spans="1:24" ht="15" customHeight="1">
      <c r="A33" s="76" t="s">
        <v>60</v>
      </c>
      <c r="B33" s="77">
        <v>22113</v>
      </c>
      <c r="C33" s="77">
        <v>0</v>
      </c>
      <c r="D33" s="77">
        <v>0</v>
      </c>
      <c r="E33" s="77">
        <v>0</v>
      </c>
      <c r="F33" s="77">
        <v>0</v>
      </c>
      <c r="G33" s="77" t="e">
        <f>+[3]SERIE!F169</f>
        <v>#REF!</v>
      </c>
      <c r="H33" s="77" t="e">
        <f>+[3]SERIE!F181</f>
        <v>#REF!</v>
      </c>
      <c r="I33" s="77">
        <v>8500</v>
      </c>
      <c r="J33" s="77">
        <v>4000</v>
      </c>
      <c r="K33" s="77">
        <v>24900</v>
      </c>
      <c r="L33" s="204">
        <v>26500</v>
      </c>
      <c r="M33" s="204">
        <v>10300</v>
      </c>
      <c r="N33" s="204">
        <v>0</v>
      </c>
      <c r="O33" s="204">
        <v>0</v>
      </c>
      <c r="P33" s="204">
        <v>8112</v>
      </c>
      <c r="Q33" s="204">
        <v>31356</v>
      </c>
      <c r="R33" s="204">
        <v>33666</v>
      </c>
      <c r="S33" s="204">
        <v>4368</v>
      </c>
      <c r="T33" s="204">
        <v>10260</v>
      </c>
      <c r="U33" s="204">
        <v>12306</v>
      </c>
      <c r="V33" s="204">
        <v>19008</v>
      </c>
      <c r="W33" s="204">
        <v>23466</v>
      </c>
      <c r="X33" s="204">
        <v>17918</v>
      </c>
    </row>
    <row r="34" spans="1:24" ht="15" customHeight="1">
      <c r="A34" s="76" t="s">
        <v>61</v>
      </c>
      <c r="B34" s="77">
        <v>0</v>
      </c>
      <c r="C34" s="77">
        <v>4500</v>
      </c>
      <c r="D34" s="77">
        <v>20000</v>
      </c>
      <c r="E34" s="77">
        <v>5000</v>
      </c>
      <c r="F34" s="77">
        <v>16000</v>
      </c>
      <c r="G34" s="77" t="e">
        <f>+[3]SERIE!F170</f>
        <v>#REF!</v>
      </c>
      <c r="H34" s="77" t="e">
        <f>+[3]SERIE!F182</f>
        <v>#REF!</v>
      </c>
      <c r="I34" s="77">
        <v>0</v>
      </c>
      <c r="J34" s="77">
        <v>28000</v>
      </c>
      <c r="K34" s="77">
        <v>3500</v>
      </c>
      <c r="L34" s="204">
        <v>0</v>
      </c>
      <c r="M34" s="204">
        <v>19000</v>
      </c>
      <c r="N34" s="204">
        <v>23000</v>
      </c>
      <c r="O34" s="204">
        <v>6500</v>
      </c>
      <c r="P34" s="204">
        <v>24010</v>
      </c>
      <c r="Q34" s="204">
        <v>0</v>
      </c>
      <c r="R34" s="204">
        <v>0</v>
      </c>
      <c r="S34" s="204">
        <v>6240</v>
      </c>
      <c r="T34" s="204">
        <v>6240</v>
      </c>
      <c r="U34" s="204">
        <v>6760</v>
      </c>
      <c r="V34" s="204">
        <v>17680</v>
      </c>
      <c r="W34" s="204">
        <v>0</v>
      </c>
      <c r="X34" s="204">
        <v>25339</v>
      </c>
    </row>
    <row r="35" spans="1:24" ht="15" customHeight="1">
      <c r="A35" s="76" t="s">
        <v>62</v>
      </c>
      <c r="B35" s="77">
        <v>0</v>
      </c>
      <c r="C35" s="77">
        <v>16800</v>
      </c>
      <c r="D35" s="77">
        <v>14962</v>
      </c>
      <c r="E35" s="77">
        <v>16000</v>
      </c>
      <c r="F35" s="77">
        <v>4000</v>
      </c>
      <c r="G35" s="77" t="e">
        <f>+[3]SERIE!F171</f>
        <v>#REF!</v>
      </c>
      <c r="H35" s="77" t="e">
        <f>+[3]SERIE!F183</f>
        <v>#REF!</v>
      </c>
      <c r="I35" s="77">
        <v>22500</v>
      </c>
      <c r="J35" s="77">
        <v>0</v>
      </c>
      <c r="K35" s="77">
        <v>25900</v>
      </c>
      <c r="L35" s="204">
        <v>6500</v>
      </c>
      <c r="M35" s="204">
        <v>16500</v>
      </c>
      <c r="N35" s="204">
        <v>6500</v>
      </c>
      <c r="O35" s="204">
        <v>23750</v>
      </c>
      <c r="P35" s="204">
        <v>19765</v>
      </c>
      <c r="Q35" s="204">
        <v>13208</v>
      </c>
      <c r="R35" s="204">
        <v>37212</v>
      </c>
      <c r="S35" s="204">
        <v>9747</v>
      </c>
      <c r="T35" s="204">
        <v>10260</v>
      </c>
      <c r="U35" s="204">
        <v>17680</v>
      </c>
      <c r="V35" s="204">
        <v>7436</v>
      </c>
      <c r="W35" s="204">
        <v>30347</v>
      </c>
      <c r="X35" s="204">
        <v>11154</v>
      </c>
    </row>
    <row r="36" spans="1:24" ht="15" customHeight="1">
      <c r="A36" s="76" t="s">
        <v>63</v>
      </c>
      <c r="B36" s="77">
        <v>0</v>
      </c>
      <c r="C36" s="77">
        <v>0</v>
      </c>
      <c r="D36" s="77">
        <v>5000</v>
      </c>
      <c r="E36" s="77">
        <v>0</v>
      </c>
      <c r="F36" s="77">
        <v>0</v>
      </c>
      <c r="G36" s="77" t="e">
        <f>+[3]SERIE!F172</f>
        <v>#REF!</v>
      </c>
      <c r="H36" s="77" t="e">
        <f>+[3]SERIE!F184</f>
        <v>#REF!</v>
      </c>
      <c r="I36" s="77">
        <v>3000</v>
      </c>
      <c r="J36" s="77">
        <v>20000</v>
      </c>
      <c r="K36" s="77">
        <v>0</v>
      </c>
      <c r="L36" s="204">
        <v>23160</v>
      </c>
      <c r="M36" s="204">
        <v>10000</v>
      </c>
      <c r="N36" s="204">
        <v>9500</v>
      </c>
      <c r="O36" s="204">
        <v>6240</v>
      </c>
      <c r="P36" s="204">
        <v>23868</v>
      </c>
      <c r="Q36" s="204">
        <v>22880</v>
      </c>
      <c r="R36" s="204">
        <v>0</v>
      </c>
      <c r="S36" s="204">
        <v>14768</v>
      </c>
      <c r="T36" s="204">
        <v>0</v>
      </c>
      <c r="U36" s="204">
        <v>19072</v>
      </c>
      <c r="V36" s="204">
        <v>21152</v>
      </c>
      <c r="W36" s="204">
        <v>12312</v>
      </c>
      <c r="X36" s="204">
        <v>0</v>
      </c>
    </row>
    <row r="37" spans="1:24" ht="15" customHeight="1">
      <c r="A37" s="76" t="s">
        <v>64</v>
      </c>
      <c r="B37" s="77">
        <v>12636</v>
      </c>
      <c r="C37" s="77">
        <v>21300</v>
      </c>
      <c r="D37" s="77">
        <v>16326</v>
      </c>
      <c r="E37" s="77">
        <v>16000</v>
      </c>
      <c r="F37" s="77">
        <v>10000</v>
      </c>
      <c r="G37" s="77" t="e">
        <f>+[3]SERIE!F173</f>
        <v>#REF!</v>
      </c>
      <c r="H37" s="77" t="e">
        <f>+[3]SERIE!F185</f>
        <v>#REF!</v>
      </c>
      <c r="I37" s="77">
        <v>19000</v>
      </c>
      <c r="J37" s="77">
        <v>6000</v>
      </c>
      <c r="K37" s="77">
        <v>7000</v>
      </c>
      <c r="L37" s="204">
        <v>0</v>
      </c>
      <c r="M37" s="204">
        <v>10300</v>
      </c>
      <c r="N37" s="204">
        <v>16000</v>
      </c>
      <c r="O37" s="204">
        <v>23720</v>
      </c>
      <c r="P37" s="204">
        <v>8320</v>
      </c>
      <c r="Q37" s="204">
        <v>22370</v>
      </c>
      <c r="R37" s="204">
        <v>23504</v>
      </c>
      <c r="S37" s="204">
        <v>4072</v>
      </c>
      <c r="T37" s="204">
        <v>6760</v>
      </c>
      <c r="U37" s="204">
        <v>0</v>
      </c>
      <c r="V37" s="204">
        <v>8840</v>
      </c>
      <c r="W37" s="204">
        <v>11154</v>
      </c>
      <c r="X37" s="204">
        <v>38097</v>
      </c>
    </row>
    <row r="38" spans="1:24" ht="15" customHeight="1">
      <c r="A38" s="76" t="s">
        <v>65</v>
      </c>
      <c r="B38" s="77">
        <v>0</v>
      </c>
      <c r="C38" s="77">
        <v>0</v>
      </c>
      <c r="D38" s="77">
        <v>0</v>
      </c>
      <c r="E38" s="77">
        <v>6000</v>
      </c>
      <c r="F38" s="77">
        <v>0</v>
      </c>
      <c r="G38" s="77" t="e">
        <f>+[3]SERIE!F174</f>
        <v>#REF!</v>
      </c>
      <c r="H38" s="77" t="e">
        <f>+[3]SERIE!F186</f>
        <v>#REF!</v>
      </c>
      <c r="I38" s="77">
        <v>0</v>
      </c>
      <c r="J38" s="77">
        <v>19000</v>
      </c>
      <c r="K38" s="77">
        <v>20400</v>
      </c>
      <c r="L38" s="204">
        <v>16000</v>
      </c>
      <c r="M38" s="204">
        <v>19000</v>
      </c>
      <c r="N38" s="204">
        <v>4100</v>
      </c>
      <c r="O38" s="204">
        <v>6240</v>
      </c>
      <c r="P38" s="204">
        <v>10816</v>
      </c>
      <c r="Q38" s="204">
        <v>19656</v>
      </c>
      <c r="R38" s="204">
        <v>20792</v>
      </c>
      <c r="S38" s="204">
        <v>9747</v>
      </c>
      <c r="T38" s="204">
        <v>0</v>
      </c>
      <c r="U38" s="204">
        <v>25166</v>
      </c>
      <c r="V38" s="204">
        <v>7436</v>
      </c>
      <c r="W38" s="204">
        <v>0</v>
      </c>
      <c r="X38" s="204">
        <v>5720</v>
      </c>
    </row>
    <row r="39" spans="1:24" ht="15" customHeight="1" thickBot="1">
      <c r="A39" s="79" t="s">
        <v>66</v>
      </c>
      <c r="B39" s="100">
        <v>17316</v>
      </c>
      <c r="C39" s="100">
        <v>16800</v>
      </c>
      <c r="D39" s="100">
        <v>0</v>
      </c>
      <c r="E39" s="100">
        <v>12000</v>
      </c>
      <c r="F39" s="100">
        <v>19500</v>
      </c>
      <c r="G39" s="100" t="e">
        <f>+[3]SERIE!F175</f>
        <v>#REF!</v>
      </c>
      <c r="H39" s="100" t="e">
        <f>+[3]SERIE!F187</f>
        <v>#REF!</v>
      </c>
      <c r="I39" s="100">
        <v>19000</v>
      </c>
      <c r="J39" s="100">
        <v>0</v>
      </c>
      <c r="K39" s="100">
        <v>0</v>
      </c>
      <c r="L39" s="432">
        <v>5510</v>
      </c>
      <c r="M39" s="432">
        <v>4250</v>
      </c>
      <c r="N39" s="432">
        <v>4680</v>
      </c>
      <c r="O39" s="432">
        <v>9885</v>
      </c>
      <c r="P39" s="432">
        <v>31847</v>
      </c>
      <c r="Q39" s="432">
        <v>25428</v>
      </c>
      <c r="R39" s="432">
        <v>6240</v>
      </c>
      <c r="S39" s="432">
        <v>6240</v>
      </c>
      <c r="T39" s="432">
        <v>17533</v>
      </c>
      <c r="U39" s="432">
        <v>12312</v>
      </c>
      <c r="V39" s="432">
        <v>12312</v>
      </c>
      <c r="W39" s="432">
        <v>12312</v>
      </c>
      <c r="X39" s="432">
        <v>14560</v>
      </c>
    </row>
    <row r="40" spans="1:24" ht="9" customHeight="1">
      <c r="A40" s="778" t="s">
        <v>402</v>
      </c>
      <c r="B40" s="796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</row>
    <row r="41" spans="1:24" ht="9" customHeight="1">
      <c r="A41" s="871" t="s">
        <v>378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</row>
    <row r="42" spans="1:24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</row>
    <row r="43" spans="1:24" ht="13.25" customHeight="1">
      <c r="A43" s="780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rowBreaks count="1" manualBreakCount="1">
    <brk id="22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Hoja118">
    <tabColor theme="9" tint="0.59999389629810485"/>
  </sheetPr>
  <dimension ref="A1:X47"/>
  <sheetViews>
    <sheetView showGridLines="0" zoomScaleNormal="100" workbookViewId="0">
      <selection activeCell="X15" sqref="X15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1" width="0" style="73" hidden="1" customWidth="1"/>
    <col min="12" max="24" width="9" style="73" customWidth="1"/>
    <col min="25" max="25" width="7.3984375" style="73" customWidth="1"/>
    <col min="26" max="28" width="8.3984375" style="73" customWidth="1"/>
    <col min="29" max="16384" width="7" style="73"/>
  </cols>
  <sheetData>
    <row r="1" spans="1:24" ht="13.25" customHeight="1">
      <c r="A1" s="1001"/>
      <c r="B1" s="1001"/>
      <c r="C1" s="1001"/>
      <c r="D1" s="1001"/>
      <c r="E1" s="1001"/>
    </row>
    <row r="2" spans="1:24" ht="13.25" customHeight="1">
      <c r="A2" s="250" t="s">
        <v>578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24" ht="13.25" customHeight="1">
      <c r="A3" s="199" t="s">
        <v>248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24" ht="4.25" customHeight="1" thickBot="1"/>
    <row r="5" spans="1:24" ht="16.25" customHeight="1">
      <c r="A5" s="568" t="s">
        <v>110</v>
      </c>
      <c r="B5" s="568">
        <v>2000</v>
      </c>
      <c r="C5" s="568">
        <v>2001</v>
      </c>
      <c r="D5" s="568">
        <v>2002</v>
      </c>
      <c r="E5" s="568">
        <v>2003</v>
      </c>
      <c r="F5" s="568">
        <v>2004</v>
      </c>
      <c r="G5" s="568">
        <v>2005</v>
      </c>
      <c r="H5" s="568">
        <v>2006</v>
      </c>
      <c r="I5" s="568">
        <v>2007</v>
      </c>
      <c r="J5" s="568">
        <v>2008</v>
      </c>
      <c r="K5" s="568">
        <v>2009</v>
      </c>
      <c r="L5" s="568">
        <v>2010</v>
      </c>
      <c r="M5" s="568">
        <v>2011</v>
      </c>
      <c r="N5" s="568">
        <v>2012</v>
      </c>
      <c r="O5" s="568">
        <v>2013</v>
      </c>
      <c r="P5" s="568">
        <v>2014</v>
      </c>
      <c r="Q5" s="568">
        <v>2015</v>
      </c>
      <c r="R5" s="568">
        <v>2016</v>
      </c>
      <c r="S5" s="733">
        <v>2017</v>
      </c>
      <c r="T5" s="734">
        <v>2018</v>
      </c>
      <c r="U5" s="733">
        <v>2019</v>
      </c>
      <c r="V5" s="733">
        <v>2020</v>
      </c>
      <c r="W5" s="733">
        <v>2021</v>
      </c>
      <c r="X5" s="735" t="s">
        <v>477</v>
      </c>
    </row>
    <row r="6" spans="1:24" ht="16.25" customHeight="1">
      <c r="A6" s="554" t="s">
        <v>54</v>
      </c>
      <c r="B6" s="731">
        <f t="shared" ref="B6:H6" si="0">SUM(B7:B18)</f>
        <v>438717</v>
      </c>
      <c r="C6" s="731">
        <f t="shared" si="0"/>
        <v>223581</v>
      </c>
      <c r="D6" s="731">
        <f t="shared" si="0"/>
        <v>125632</v>
      </c>
      <c r="E6" s="731">
        <f t="shared" si="0"/>
        <v>0</v>
      </c>
      <c r="F6" s="731">
        <f t="shared" si="0"/>
        <v>105160</v>
      </c>
      <c r="G6" s="731">
        <f t="shared" si="0"/>
        <v>183044</v>
      </c>
      <c r="H6" s="731">
        <f t="shared" si="0"/>
        <v>145600</v>
      </c>
      <c r="I6" s="731">
        <v>197140</v>
      </c>
      <c r="J6" s="731">
        <v>45240</v>
      </c>
      <c r="K6" s="731">
        <v>10000</v>
      </c>
      <c r="L6" s="555">
        <f>+AD14</f>
        <v>0</v>
      </c>
      <c r="M6" s="555">
        <v>270440</v>
      </c>
      <c r="N6" s="555">
        <v>378428</v>
      </c>
      <c r="O6" s="555">
        <v>546936</v>
      </c>
      <c r="P6" s="555">
        <v>751260</v>
      </c>
      <c r="Q6" s="555">
        <v>265256</v>
      </c>
      <c r="R6" s="555">
        <v>208187</v>
      </c>
      <c r="S6" s="555">
        <v>259967</v>
      </c>
      <c r="T6" s="555">
        <f>SUM(T7:T18)</f>
        <v>1209824</v>
      </c>
      <c r="U6" s="555">
        <f>SUM(U7:U18)</f>
        <v>1143906</v>
      </c>
      <c r="V6" s="555">
        <f>SUM(V7:V18)</f>
        <v>0</v>
      </c>
      <c r="W6" s="555">
        <f>SUM(W7:W18)</f>
        <v>0</v>
      </c>
      <c r="X6" s="555">
        <f>SUM(X7:X18)</f>
        <v>115128</v>
      </c>
    </row>
    <row r="7" spans="1:24" ht="15" customHeight="1">
      <c r="A7" s="76" t="s">
        <v>55</v>
      </c>
      <c r="B7" s="77">
        <v>77800</v>
      </c>
      <c r="C7" s="77">
        <v>52981</v>
      </c>
      <c r="D7" s="77">
        <v>21000</v>
      </c>
      <c r="E7" s="77">
        <v>0</v>
      </c>
      <c r="F7" s="77">
        <v>0</v>
      </c>
      <c r="G7" s="77">
        <v>0</v>
      </c>
      <c r="H7" s="77">
        <v>0</v>
      </c>
      <c r="I7" s="77">
        <v>22000</v>
      </c>
      <c r="J7" s="77">
        <v>27040</v>
      </c>
      <c r="K7" s="77">
        <v>0</v>
      </c>
      <c r="L7" s="204">
        <v>0</v>
      </c>
      <c r="M7" s="204">
        <v>10400</v>
      </c>
      <c r="N7" s="204">
        <v>0</v>
      </c>
      <c r="O7" s="204">
        <v>78000</v>
      </c>
      <c r="P7" s="204">
        <v>0</v>
      </c>
      <c r="Q7" s="204">
        <v>0</v>
      </c>
      <c r="R7" s="204">
        <v>16668</v>
      </c>
      <c r="S7" s="204">
        <v>36400</v>
      </c>
      <c r="T7" s="204">
        <v>108160</v>
      </c>
      <c r="U7" s="204">
        <v>198932</v>
      </c>
      <c r="V7" s="204">
        <v>0</v>
      </c>
      <c r="W7" s="204">
        <v>0</v>
      </c>
      <c r="X7" s="204">
        <v>0</v>
      </c>
    </row>
    <row r="8" spans="1:24" ht="15" customHeight="1">
      <c r="A8" s="76" t="s">
        <v>56</v>
      </c>
      <c r="B8" s="77">
        <v>41800</v>
      </c>
      <c r="C8" s="77">
        <v>0</v>
      </c>
      <c r="D8" s="77">
        <v>14000</v>
      </c>
      <c r="E8" s="77">
        <v>0</v>
      </c>
      <c r="F8" s="77">
        <v>0</v>
      </c>
      <c r="G8" s="77">
        <v>25200</v>
      </c>
      <c r="H8" s="77">
        <v>27040</v>
      </c>
      <c r="I8" s="77">
        <v>0</v>
      </c>
      <c r="J8" s="77">
        <v>0</v>
      </c>
      <c r="K8" s="77">
        <v>0</v>
      </c>
      <c r="L8" s="204">
        <v>0</v>
      </c>
      <c r="M8" s="204">
        <v>10400</v>
      </c>
      <c r="N8" s="204">
        <v>0</v>
      </c>
      <c r="O8" s="204">
        <v>20800</v>
      </c>
      <c r="P8" s="204">
        <v>15000</v>
      </c>
      <c r="Q8" s="204">
        <v>65520</v>
      </c>
      <c r="R8" s="204">
        <v>15600</v>
      </c>
      <c r="S8" s="204">
        <v>0</v>
      </c>
      <c r="T8" s="204">
        <v>0</v>
      </c>
      <c r="U8" s="204">
        <v>153881</v>
      </c>
      <c r="V8" s="204">
        <v>0</v>
      </c>
      <c r="W8" s="204">
        <v>0</v>
      </c>
      <c r="X8" s="204">
        <v>0</v>
      </c>
    </row>
    <row r="9" spans="1:24" ht="15" customHeight="1">
      <c r="A9" s="76" t="s">
        <v>57</v>
      </c>
      <c r="B9" s="77">
        <v>69806</v>
      </c>
      <c r="C9" s="77">
        <v>12000</v>
      </c>
      <c r="D9" s="77">
        <v>32495</v>
      </c>
      <c r="E9" s="77">
        <v>0</v>
      </c>
      <c r="F9" s="77">
        <v>11440</v>
      </c>
      <c r="G9" s="77">
        <v>5000</v>
      </c>
      <c r="H9" s="77">
        <v>27040</v>
      </c>
      <c r="I9" s="77">
        <v>0</v>
      </c>
      <c r="J9" s="77">
        <v>0</v>
      </c>
      <c r="K9" s="77">
        <v>0</v>
      </c>
      <c r="L9" s="204">
        <v>0</v>
      </c>
      <c r="M9" s="204">
        <v>15200</v>
      </c>
      <c r="N9" s="204">
        <v>0</v>
      </c>
      <c r="O9" s="204">
        <v>104000</v>
      </c>
      <c r="P9" s="204">
        <v>99216</v>
      </c>
      <c r="Q9" s="204">
        <v>20800</v>
      </c>
      <c r="R9" s="204">
        <v>15600</v>
      </c>
      <c r="S9" s="204">
        <v>23920</v>
      </c>
      <c r="T9" s="204">
        <v>37960</v>
      </c>
      <c r="U9" s="204">
        <v>90600</v>
      </c>
      <c r="V9" s="204">
        <v>0</v>
      </c>
      <c r="W9" s="204">
        <v>0</v>
      </c>
      <c r="X9" s="204">
        <v>0</v>
      </c>
    </row>
    <row r="10" spans="1:24" ht="15" customHeight="1">
      <c r="A10" s="76" t="s">
        <v>58</v>
      </c>
      <c r="B10" s="77">
        <v>47705</v>
      </c>
      <c r="C10" s="77">
        <v>30000</v>
      </c>
      <c r="D10" s="77">
        <v>0</v>
      </c>
      <c r="E10" s="77">
        <v>0</v>
      </c>
      <c r="F10" s="77">
        <v>11440</v>
      </c>
      <c r="G10" s="77">
        <v>0</v>
      </c>
      <c r="H10" s="77">
        <v>0</v>
      </c>
      <c r="I10" s="77">
        <v>27040</v>
      </c>
      <c r="J10" s="77">
        <v>0</v>
      </c>
      <c r="K10" s="77">
        <v>0</v>
      </c>
      <c r="L10" s="204">
        <v>31200</v>
      </c>
      <c r="M10" s="204">
        <v>47840</v>
      </c>
      <c r="N10" s="204">
        <v>0</v>
      </c>
      <c r="O10" s="204">
        <v>0</v>
      </c>
      <c r="P10" s="204">
        <v>89544</v>
      </c>
      <c r="Q10" s="204">
        <v>28288</v>
      </c>
      <c r="R10" s="204">
        <v>15600</v>
      </c>
      <c r="S10" s="204">
        <v>20611</v>
      </c>
      <c r="T10" s="204">
        <v>125632</v>
      </c>
      <c r="U10" s="204">
        <v>138096</v>
      </c>
      <c r="V10" s="204">
        <v>0</v>
      </c>
      <c r="W10" s="204">
        <v>0</v>
      </c>
      <c r="X10" s="204">
        <v>0</v>
      </c>
    </row>
    <row r="11" spans="1:24" ht="15" customHeight="1">
      <c r="A11" s="76" t="s">
        <v>59</v>
      </c>
      <c r="B11" s="77">
        <v>32300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27040</v>
      </c>
      <c r="J11" s="77">
        <v>18200</v>
      </c>
      <c r="K11" s="77">
        <v>0</v>
      </c>
      <c r="L11" s="204">
        <v>3900</v>
      </c>
      <c r="M11" s="204">
        <v>28000</v>
      </c>
      <c r="N11" s="204">
        <v>0</v>
      </c>
      <c r="O11" s="204">
        <v>41600</v>
      </c>
      <c r="P11" s="204">
        <v>124116</v>
      </c>
      <c r="Q11" s="204">
        <v>2080</v>
      </c>
      <c r="R11" s="204">
        <v>31200</v>
      </c>
      <c r="S11" s="204">
        <v>36400</v>
      </c>
      <c r="T11" s="204">
        <v>112528</v>
      </c>
      <c r="U11" s="204">
        <v>12480</v>
      </c>
      <c r="V11" s="204">
        <v>0</v>
      </c>
      <c r="W11" s="204">
        <v>0</v>
      </c>
      <c r="X11" s="204">
        <v>0</v>
      </c>
    </row>
    <row r="12" spans="1:24" ht="15" customHeight="1">
      <c r="A12" s="76" t="s">
        <v>60</v>
      </c>
      <c r="B12" s="77">
        <v>18006</v>
      </c>
      <c r="C12" s="77">
        <v>21000</v>
      </c>
      <c r="D12" s="77">
        <v>28000</v>
      </c>
      <c r="E12" s="77">
        <v>0</v>
      </c>
      <c r="F12" s="77">
        <v>0</v>
      </c>
      <c r="G12" s="77">
        <v>24960</v>
      </c>
      <c r="H12" s="77">
        <v>12480</v>
      </c>
      <c r="I12" s="77">
        <v>18100</v>
      </c>
      <c r="J12" s="77">
        <v>0</v>
      </c>
      <c r="K12" s="77">
        <v>0</v>
      </c>
      <c r="L12" s="204">
        <v>0</v>
      </c>
      <c r="M12" s="204">
        <v>0</v>
      </c>
      <c r="N12" s="204">
        <v>54288</v>
      </c>
      <c r="O12" s="204">
        <v>45760</v>
      </c>
      <c r="P12" s="204">
        <v>96876</v>
      </c>
      <c r="Q12" s="204">
        <v>0</v>
      </c>
      <c r="R12" s="204">
        <v>43386</v>
      </c>
      <c r="S12" s="204">
        <v>40560</v>
      </c>
      <c r="T12" s="204">
        <v>106912</v>
      </c>
      <c r="U12" s="204">
        <v>178776</v>
      </c>
      <c r="V12" s="204">
        <v>0</v>
      </c>
      <c r="W12" s="204">
        <v>0</v>
      </c>
      <c r="X12" s="204">
        <v>0</v>
      </c>
    </row>
    <row r="13" spans="1:24" ht="15" customHeight="1">
      <c r="A13" s="76" t="s">
        <v>61</v>
      </c>
      <c r="B13" s="77">
        <v>20800</v>
      </c>
      <c r="C13" s="77">
        <v>24000</v>
      </c>
      <c r="D13" s="77">
        <v>0</v>
      </c>
      <c r="E13" s="77">
        <v>0</v>
      </c>
      <c r="F13" s="77">
        <v>34440</v>
      </c>
      <c r="G13" s="77">
        <v>0</v>
      </c>
      <c r="H13" s="77">
        <v>24960</v>
      </c>
      <c r="I13" s="77">
        <v>0</v>
      </c>
      <c r="J13" s="77">
        <v>0</v>
      </c>
      <c r="K13" s="77">
        <v>0</v>
      </c>
      <c r="L13" s="204">
        <v>0</v>
      </c>
      <c r="M13" s="204">
        <v>0</v>
      </c>
      <c r="N13" s="204">
        <v>37440</v>
      </c>
      <c r="O13" s="204">
        <v>48256</v>
      </c>
      <c r="P13" s="204">
        <v>67600</v>
      </c>
      <c r="Q13" s="204">
        <v>0</v>
      </c>
      <c r="R13" s="204">
        <v>24373</v>
      </c>
      <c r="S13" s="204">
        <v>40560</v>
      </c>
      <c r="T13" s="204">
        <v>196560</v>
      </c>
      <c r="U13" s="204">
        <v>153656</v>
      </c>
      <c r="V13" s="204">
        <v>0</v>
      </c>
      <c r="W13" s="204">
        <v>0</v>
      </c>
      <c r="X13" s="204">
        <v>19448</v>
      </c>
    </row>
    <row r="14" spans="1:24" ht="15" customHeight="1">
      <c r="A14" s="76" t="s">
        <v>62</v>
      </c>
      <c r="B14" s="77">
        <v>32000</v>
      </c>
      <c r="C14" s="77">
        <v>28000</v>
      </c>
      <c r="D14" s="77">
        <v>0</v>
      </c>
      <c r="E14" s="77">
        <v>0</v>
      </c>
      <c r="F14" s="77">
        <v>5000</v>
      </c>
      <c r="G14" s="77">
        <v>40040</v>
      </c>
      <c r="H14" s="77">
        <v>0</v>
      </c>
      <c r="I14" s="77">
        <v>45760</v>
      </c>
      <c r="J14" s="77">
        <v>0</v>
      </c>
      <c r="K14" s="77">
        <v>0</v>
      </c>
      <c r="L14" s="204">
        <v>0</v>
      </c>
      <c r="M14" s="204">
        <v>20000</v>
      </c>
      <c r="N14" s="204">
        <v>94120</v>
      </c>
      <c r="O14" s="204">
        <v>99216</v>
      </c>
      <c r="P14" s="204">
        <v>34020</v>
      </c>
      <c r="Q14" s="204">
        <v>39728</v>
      </c>
      <c r="R14" s="204">
        <v>0</v>
      </c>
      <c r="S14" s="204">
        <v>0</v>
      </c>
      <c r="T14" s="204">
        <v>98272</v>
      </c>
      <c r="U14" s="204">
        <v>86320</v>
      </c>
      <c r="V14" s="204">
        <v>0</v>
      </c>
      <c r="W14" s="204">
        <v>0</v>
      </c>
      <c r="X14" s="204">
        <v>65416</v>
      </c>
    </row>
    <row r="15" spans="1:24" ht="15" customHeight="1">
      <c r="A15" s="76" t="s">
        <v>63</v>
      </c>
      <c r="B15" s="77">
        <v>30000</v>
      </c>
      <c r="C15" s="77">
        <v>0</v>
      </c>
      <c r="D15" s="77">
        <v>5177</v>
      </c>
      <c r="E15" s="77">
        <v>0</v>
      </c>
      <c r="F15" s="77">
        <v>17640</v>
      </c>
      <c r="G15" s="77">
        <v>18580</v>
      </c>
      <c r="H15" s="77">
        <v>0</v>
      </c>
      <c r="I15" s="77">
        <v>0</v>
      </c>
      <c r="J15" s="77">
        <v>0</v>
      </c>
      <c r="K15" s="77">
        <v>0</v>
      </c>
      <c r="L15" s="204">
        <v>0</v>
      </c>
      <c r="M15" s="204">
        <v>60000</v>
      </c>
      <c r="N15" s="204">
        <v>17600</v>
      </c>
      <c r="O15" s="204">
        <v>67704</v>
      </c>
      <c r="P15" s="204">
        <v>91040</v>
      </c>
      <c r="Q15" s="204">
        <v>2600</v>
      </c>
      <c r="R15" s="204">
        <v>13520</v>
      </c>
      <c r="S15" s="204">
        <v>0</v>
      </c>
      <c r="T15" s="204">
        <v>94016</v>
      </c>
      <c r="U15" s="204">
        <v>72800</v>
      </c>
      <c r="V15" s="204">
        <v>0</v>
      </c>
      <c r="W15" s="204">
        <v>0</v>
      </c>
      <c r="X15" s="204">
        <v>30264</v>
      </c>
    </row>
    <row r="16" spans="1:24" ht="15" customHeight="1">
      <c r="A16" s="76" t="s">
        <v>64</v>
      </c>
      <c r="B16" s="77">
        <v>48500</v>
      </c>
      <c r="C16" s="77">
        <v>21000</v>
      </c>
      <c r="D16" s="77">
        <v>24960</v>
      </c>
      <c r="E16" s="77">
        <v>0</v>
      </c>
      <c r="F16" s="77">
        <v>0</v>
      </c>
      <c r="G16" s="77">
        <v>0</v>
      </c>
      <c r="H16" s="77">
        <v>27040</v>
      </c>
      <c r="I16" s="77">
        <v>26000</v>
      </c>
      <c r="J16" s="77">
        <v>0</v>
      </c>
      <c r="K16" s="77">
        <v>10000</v>
      </c>
      <c r="L16" s="204">
        <v>40768</v>
      </c>
      <c r="M16" s="204">
        <v>50000</v>
      </c>
      <c r="N16" s="204">
        <v>22880</v>
      </c>
      <c r="O16" s="204">
        <v>0</v>
      </c>
      <c r="P16" s="204">
        <v>29536</v>
      </c>
      <c r="Q16" s="204">
        <v>49712</v>
      </c>
      <c r="R16" s="204">
        <v>12480</v>
      </c>
      <c r="S16" s="204">
        <v>40716</v>
      </c>
      <c r="T16" s="204">
        <v>116168</v>
      </c>
      <c r="U16" s="204">
        <v>58365</v>
      </c>
      <c r="V16" s="204">
        <v>0</v>
      </c>
      <c r="W16" s="204">
        <v>0</v>
      </c>
      <c r="X16" s="204">
        <v>0</v>
      </c>
    </row>
    <row r="17" spans="1:24" ht="15" customHeight="1">
      <c r="A17" s="76" t="s">
        <v>65</v>
      </c>
      <c r="B17" s="77">
        <v>0</v>
      </c>
      <c r="C17" s="77">
        <v>28600</v>
      </c>
      <c r="D17" s="77">
        <v>0</v>
      </c>
      <c r="E17" s="77">
        <v>0</v>
      </c>
      <c r="F17" s="77">
        <v>0</v>
      </c>
      <c r="G17" s="77">
        <v>48464</v>
      </c>
      <c r="H17" s="77">
        <v>0</v>
      </c>
      <c r="I17" s="77">
        <v>31200</v>
      </c>
      <c r="J17" s="77">
        <v>0</v>
      </c>
      <c r="K17" s="77">
        <v>0</v>
      </c>
      <c r="L17" s="204">
        <v>0</v>
      </c>
      <c r="M17" s="204">
        <v>28600</v>
      </c>
      <c r="N17" s="204">
        <v>72800</v>
      </c>
      <c r="O17" s="204">
        <v>41600</v>
      </c>
      <c r="P17" s="204">
        <v>84760</v>
      </c>
      <c r="Q17" s="204">
        <v>24080</v>
      </c>
      <c r="R17" s="204">
        <v>0</v>
      </c>
      <c r="S17" s="204">
        <v>20800</v>
      </c>
      <c r="T17" s="204">
        <v>164216</v>
      </c>
      <c r="U17" s="204">
        <v>0</v>
      </c>
      <c r="V17" s="204">
        <v>0</v>
      </c>
      <c r="W17" s="204">
        <v>0</v>
      </c>
      <c r="X17" s="204">
        <v>0</v>
      </c>
    </row>
    <row r="18" spans="1:24" ht="15" customHeight="1" thickBot="1">
      <c r="A18" s="79" t="s">
        <v>66</v>
      </c>
      <c r="B18" s="100">
        <v>20000</v>
      </c>
      <c r="C18" s="100">
        <v>6000</v>
      </c>
      <c r="D18" s="100">
        <v>0</v>
      </c>
      <c r="E18" s="100">
        <v>0</v>
      </c>
      <c r="F18" s="100">
        <v>25200</v>
      </c>
      <c r="G18" s="100">
        <v>20800</v>
      </c>
      <c r="H18" s="100">
        <v>27040</v>
      </c>
      <c r="I18" s="100">
        <v>0</v>
      </c>
      <c r="J18" s="100">
        <v>0</v>
      </c>
      <c r="K18" s="100">
        <v>0</v>
      </c>
      <c r="L18" s="432">
        <v>0</v>
      </c>
      <c r="M18" s="432">
        <v>0</v>
      </c>
      <c r="N18" s="432">
        <v>79300</v>
      </c>
      <c r="O18" s="432">
        <v>0</v>
      </c>
      <c r="P18" s="432">
        <v>19552</v>
      </c>
      <c r="Q18" s="432">
        <v>32448</v>
      </c>
      <c r="R18" s="432">
        <v>19760</v>
      </c>
      <c r="S18" s="432">
        <v>0</v>
      </c>
      <c r="T18" s="432">
        <v>49400</v>
      </c>
      <c r="U18" s="432">
        <v>0</v>
      </c>
      <c r="V18" s="432">
        <v>0</v>
      </c>
      <c r="W18" s="432">
        <v>0</v>
      </c>
      <c r="X18" s="432">
        <v>0</v>
      </c>
    </row>
    <row r="19" spans="1:24" ht="9" customHeight="1">
      <c r="A19" s="778" t="s">
        <v>402</v>
      </c>
      <c r="B19" s="794"/>
      <c r="C19" s="794"/>
      <c r="D19" s="794"/>
      <c r="E19" s="794"/>
      <c r="F19" s="794"/>
      <c r="G19" s="794"/>
      <c r="H19" s="794"/>
      <c r="I19" s="794"/>
      <c r="J19" s="794"/>
      <c r="K19" s="794"/>
      <c r="L19" s="794"/>
      <c r="M19" s="794"/>
      <c r="N19" s="794"/>
      <c r="O19" s="794"/>
      <c r="P19" s="794"/>
      <c r="Q19" s="794"/>
      <c r="R19" s="188"/>
      <c r="S19" s="188"/>
      <c r="T19" s="188"/>
      <c r="U19" s="188"/>
      <c r="V19" s="188"/>
      <c r="W19" s="188"/>
      <c r="X19" s="188"/>
    </row>
    <row r="20" spans="1:24" ht="9" customHeight="1">
      <c r="A20" s="871" t="s">
        <v>377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  <c r="R20" s="190"/>
      <c r="S20" s="190"/>
      <c r="T20" s="190"/>
      <c r="U20" s="190"/>
      <c r="V20" s="190"/>
      <c r="W20" s="190"/>
      <c r="X20" s="190"/>
    </row>
    <row r="21" spans="1:24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  <c r="R21" s="190"/>
      <c r="S21" s="190"/>
      <c r="T21" s="190"/>
      <c r="U21" s="190"/>
      <c r="V21" s="190"/>
      <c r="W21" s="190"/>
      <c r="X21" s="190"/>
    </row>
    <row r="23" spans="1:24" ht="13.25" customHeight="1">
      <c r="A23" s="250" t="s">
        <v>579</v>
      </c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13.25" customHeight="1">
      <c r="A24" s="199" t="s">
        <v>248</v>
      </c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 ht="4.25" customHeight="1" thickBot="1"/>
    <row r="26" spans="1:24" ht="16.25" customHeight="1">
      <c r="A26" s="568" t="s">
        <v>110</v>
      </c>
      <c r="B26" s="568">
        <v>2000</v>
      </c>
      <c r="C26" s="568">
        <v>2001</v>
      </c>
      <c r="D26" s="568">
        <v>2002</v>
      </c>
      <c r="E26" s="568">
        <v>2003</v>
      </c>
      <c r="F26" s="568">
        <v>2004</v>
      </c>
      <c r="G26" s="568">
        <v>2005</v>
      </c>
      <c r="H26" s="568">
        <v>2006</v>
      </c>
      <c r="I26" s="568">
        <v>2007</v>
      </c>
      <c r="J26" s="568">
        <v>2008</v>
      </c>
      <c r="K26" s="568">
        <v>2009</v>
      </c>
      <c r="L26" s="568">
        <v>2010</v>
      </c>
      <c r="M26" s="568">
        <v>2011</v>
      </c>
      <c r="N26" s="568">
        <v>2012</v>
      </c>
      <c r="O26" s="568">
        <v>2013</v>
      </c>
      <c r="P26" s="568">
        <v>2014</v>
      </c>
      <c r="Q26" s="568">
        <v>2015</v>
      </c>
      <c r="R26" s="568">
        <v>2016</v>
      </c>
      <c r="S26" s="733">
        <v>2017</v>
      </c>
      <c r="T26" s="734">
        <v>2018</v>
      </c>
      <c r="U26" s="733">
        <v>2019</v>
      </c>
      <c r="V26" s="733">
        <v>2020</v>
      </c>
      <c r="W26" s="733">
        <v>2021</v>
      </c>
      <c r="X26" s="735" t="s">
        <v>477</v>
      </c>
    </row>
    <row r="27" spans="1:24" ht="16.25" customHeight="1">
      <c r="A27" s="554" t="s">
        <v>54</v>
      </c>
      <c r="B27" s="731">
        <f t="shared" ref="B27:H27" si="1">SUM(B28:B39)</f>
        <v>2517287</v>
      </c>
      <c r="C27" s="731">
        <f t="shared" si="1"/>
        <v>2854396</v>
      </c>
      <c r="D27" s="731">
        <f t="shared" si="1"/>
        <v>3460766</v>
      </c>
      <c r="E27" s="731">
        <f t="shared" si="1"/>
        <v>3601261</v>
      </c>
      <c r="F27" s="731">
        <f t="shared" si="1"/>
        <v>3868931</v>
      </c>
      <c r="G27" s="731" t="e">
        <f t="shared" si="1"/>
        <v>#REF!</v>
      </c>
      <c r="H27" s="731" t="e">
        <f t="shared" si="1"/>
        <v>#REF!</v>
      </c>
      <c r="I27" s="731">
        <v>5082775</v>
      </c>
      <c r="J27" s="731">
        <v>5567292</v>
      </c>
      <c r="K27" s="731">
        <v>5713440</v>
      </c>
      <c r="L27" s="555">
        <v>6416520</v>
      </c>
      <c r="M27" s="555">
        <v>5539355</v>
      </c>
      <c r="N27" s="555">
        <v>6641109</v>
      </c>
      <c r="O27" s="555">
        <v>6008556</v>
      </c>
      <c r="P27" s="555">
        <v>5634072</v>
      </c>
      <c r="Q27" s="555">
        <v>6790745</v>
      </c>
      <c r="R27" s="555">
        <v>5919804</v>
      </c>
      <c r="S27" s="555">
        <v>5589151</v>
      </c>
      <c r="T27" s="555">
        <f>SUM(T28:T39)</f>
        <v>4972322</v>
      </c>
      <c r="U27" s="555">
        <f>SUM(U28:U39)</f>
        <v>5401260</v>
      </c>
      <c r="V27" s="555">
        <f>SUM(V28:V39)</f>
        <v>6065336</v>
      </c>
      <c r="W27" s="555">
        <f>SUM(W28:W39)</f>
        <v>6891880</v>
      </c>
      <c r="X27" s="555">
        <f>SUM(X28:X39)</f>
        <v>6705636</v>
      </c>
    </row>
    <row r="28" spans="1:24" ht="15" customHeight="1">
      <c r="A28" s="76" t="s">
        <v>55</v>
      </c>
      <c r="B28" s="77">
        <v>198400</v>
      </c>
      <c r="C28" s="77">
        <v>259773</v>
      </c>
      <c r="D28" s="77">
        <v>328435</v>
      </c>
      <c r="E28" s="77">
        <v>355152</v>
      </c>
      <c r="F28" s="77">
        <v>349903</v>
      </c>
      <c r="G28" s="77" t="e">
        <f>+[3]SERIE!I164</f>
        <v>#REF!</v>
      </c>
      <c r="H28" s="77" t="e">
        <f>+[3]SERIE!I176</f>
        <v>#REF!</v>
      </c>
      <c r="I28" s="77">
        <v>407082</v>
      </c>
      <c r="J28" s="77">
        <v>462953</v>
      </c>
      <c r="K28" s="77">
        <v>476043</v>
      </c>
      <c r="L28" s="204">
        <v>495035</v>
      </c>
      <c r="M28" s="204">
        <v>450130</v>
      </c>
      <c r="N28" s="204">
        <v>469237</v>
      </c>
      <c r="O28" s="204">
        <v>460020</v>
      </c>
      <c r="P28" s="204">
        <v>497868</v>
      </c>
      <c r="Q28" s="204">
        <v>597033</v>
      </c>
      <c r="R28" s="204">
        <v>521902</v>
      </c>
      <c r="S28" s="204">
        <v>522154</v>
      </c>
      <c r="T28" s="204">
        <v>514818</v>
      </c>
      <c r="U28" s="204">
        <v>473293</v>
      </c>
      <c r="V28" s="204">
        <v>607708</v>
      </c>
      <c r="W28" s="204">
        <v>498542</v>
      </c>
      <c r="X28" s="204">
        <v>615879</v>
      </c>
    </row>
    <row r="29" spans="1:24" ht="15" customHeight="1">
      <c r="A29" s="76" t="s">
        <v>56</v>
      </c>
      <c r="B29" s="77">
        <v>221160</v>
      </c>
      <c r="C29" s="77">
        <v>197979</v>
      </c>
      <c r="D29" s="77">
        <v>281375</v>
      </c>
      <c r="E29" s="77">
        <v>313926</v>
      </c>
      <c r="F29" s="77">
        <v>297479</v>
      </c>
      <c r="G29" s="77" t="e">
        <f>+[3]SERIE!I165</f>
        <v>#REF!</v>
      </c>
      <c r="H29" s="77" t="e">
        <f>+[3]SERIE!I177</f>
        <v>#REF!</v>
      </c>
      <c r="I29" s="77">
        <v>351260</v>
      </c>
      <c r="J29" s="77">
        <v>446543</v>
      </c>
      <c r="K29" s="77">
        <v>465960</v>
      </c>
      <c r="L29" s="204">
        <v>501877</v>
      </c>
      <c r="M29" s="204">
        <v>489200</v>
      </c>
      <c r="N29" s="204">
        <v>501840</v>
      </c>
      <c r="O29" s="204">
        <v>553456</v>
      </c>
      <c r="P29" s="204">
        <v>489264</v>
      </c>
      <c r="Q29" s="204">
        <v>576902</v>
      </c>
      <c r="R29" s="204">
        <v>481371</v>
      </c>
      <c r="S29" s="204">
        <v>416274</v>
      </c>
      <c r="T29" s="204">
        <v>361575</v>
      </c>
      <c r="U29" s="204">
        <v>521966</v>
      </c>
      <c r="V29" s="204">
        <v>491736</v>
      </c>
      <c r="W29" s="204">
        <v>438223</v>
      </c>
      <c r="X29" s="204">
        <v>568664</v>
      </c>
    </row>
    <row r="30" spans="1:24" ht="15" customHeight="1">
      <c r="A30" s="76" t="s">
        <v>57</v>
      </c>
      <c r="B30" s="77">
        <v>220800</v>
      </c>
      <c r="C30" s="77">
        <v>204071</v>
      </c>
      <c r="D30" s="77">
        <v>272818</v>
      </c>
      <c r="E30" s="77">
        <v>288890</v>
      </c>
      <c r="F30" s="77">
        <v>335253</v>
      </c>
      <c r="G30" s="77" t="e">
        <f>+[3]SERIE!I166</f>
        <v>#REF!</v>
      </c>
      <c r="H30" s="77" t="e">
        <f>+[3]SERIE!I178</f>
        <v>#REF!</v>
      </c>
      <c r="I30" s="77">
        <v>424860</v>
      </c>
      <c r="J30" s="77">
        <v>556210</v>
      </c>
      <c r="K30" s="77">
        <v>446771</v>
      </c>
      <c r="L30" s="204">
        <v>499491</v>
      </c>
      <c r="M30" s="204">
        <v>490874</v>
      </c>
      <c r="N30" s="204">
        <v>580840</v>
      </c>
      <c r="O30" s="204">
        <v>477430</v>
      </c>
      <c r="P30" s="204">
        <v>417645</v>
      </c>
      <c r="Q30" s="204">
        <v>587217</v>
      </c>
      <c r="R30" s="204">
        <v>432500</v>
      </c>
      <c r="S30" s="204">
        <v>374796</v>
      </c>
      <c r="T30" s="204">
        <v>439635</v>
      </c>
      <c r="U30" s="204">
        <v>398334</v>
      </c>
      <c r="V30" s="204">
        <v>521102</v>
      </c>
      <c r="W30" s="204">
        <v>692652</v>
      </c>
      <c r="X30" s="204">
        <v>624170</v>
      </c>
    </row>
    <row r="31" spans="1:24" ht="15" customHeight="1">
      <c r="A31" s="76" t="s">
        <v>58</v>
      </c>
      <c r="B31" s="77">
        <v>209630</v>
      </c>
      <c r="C31" s="77">
        <v>270550</v>
      </c>
      <c r="D31" s="77">
        <v>274124</v>
      </c>
      <c r="E31" s="77">
        <v>313460</v>
      </c>
      <c r="F31" s="77">
        <v>307314</v>
      </c>
      <c r="G31" s="77" t="e">
        <f>+[3]SERIE!I167</f>
        <v>#REF!</v>
      </c>
      <c r="H31" s="77" t="e">
        <f>+[3]SERIE!I179</f>
        <v>#REF!</v>
      </c>
      <c r="I31" s="77">
        <v>364950</v>
      </c>
      <c r="J31" s="77">
        <v>429308</v>
      </c>
      <c r="K31" s="77">
        <v>445115</v>
      </c>
      <c r="L31" s="204">
        <v>591928</v>
      </c>
      <c r="M31" s="204">
        <v>279604</v>
      </c>
      <c r="N31" s="204">
        <v>599528</v>
      </c>
      <c r="O31" s="204">
        <v>463187</v>
      </c>
      <c r="P31" s="204">
        <v>474662</v>
      </c>
      <c r="Q31" s="204">
        <v>604920</v>
      </c>
      <c r="R31" s="204">
        <v>553448</v>
      </c>
      <c r="S31" s="204">
        <v>411360</v>
      </c>
      <c r="T31" s="204">
        <v>382538</v>
      </c>
      <c r="U31" s="204">
        <v>399207</v>
      </c>
      <c r="V31" s="204">
        <v>488788</v>
      </c>
      <c r="W31" s="204">
        <v>636162</v>
      </c>
      <c r="X31" s="204">
        <v>500060</v>
      </c>
    </row>
    <row r="32" spans="1:24" ht="15" customHeight="1">
      <c r="A32" s="76" t="s">
        <v>59</v>
      </c>
      <c r="B32" s="77">
        <v>194290</v>
      </c>
      <c r="C32" s="77">
        <v>214825</v>
      </c>
      <c r="D32" s="77">
        <v>302038</v>
      </c>
      <c r="E32" s="77">
        <v>237867</v>
      </c>
      <c r="F32" s="77">
        <v>293398</v>
      </c>
      <c r="G32" s="77" t="e">
        <f>+[3]SERIE!I168</f>
        <v>#REF!</v>
      </c>
      <c r="H32" s="77" t="e">
        <f>+[3]SERIE!I180</f>
        <v>#REF!</v>
      </c>
      <c r="I32" s="77">
        <v>393275</v>
      </c>
      <c r="J32" s="77">
        <v>534149</v>
      </c>
      <c r="K32" s="77">
        <v>444863</v>
      </c>
      <c r="L32" s="204">
        <v>495036</v>
      </c>
      <c r="M32" s="204">
        <v>456473</v>
      </c>
      <c r="N32" s="204">
        <v>666964</v>
      </c>
      <c r="O32" s="204">
        <v>551214</v>
      </c>
      <c r="P32" s="204">
        <v>422834</v>
      </c>
      <c r="Q32" s="204">
        <v>628853</v>
      </c>
      <c r="R32" s="204">
        <v>563836</v>
      </c>
      <c r="S32" s="204">
        <v>470724</v>
      </c>
      <c r="T32" s="204">
        <v>469548</v>
      </c>
      <c r="U32" s="204">
        <v>389790</v>
      </c>
      <c r="V32" s="204">
        <v>397575</v>
      </c>
      <c r="W32" s="204">
        <v>507483</v>
      </c>
      <c r="X32" s="204">
        <v>544299</v>
      </c>
    </row>
    <row r="33" spans="1:24" ht="15" customHeight="1">
      <c r="A33" s="76" t="s">
        <v>60</v>
      </c>
      <c r="B33" s="77">
        <v>216025</v>
      </c>
      <c r="C33" s="77">
        <v>236450</v>
      </c>
      <c r="D33" s="77">
        <v>276156</v>
      </c>
      <c r="E33" s="77">
        <v>208231</v>
      </c>
      <c r="F33" s="77">
        <v>276463</v>
      </c>
      <c r="G33" s="77" t="e">
        <f>+[3]SERIE!I169</f>
        <v>#REF!</v>
      </c>
      <c r="H33" s="77" t="e">
        <f>+[3]SERIE!I181</f>
        <v>#REF!</v>
      </c>
      <c r="I33" s="77">
        <v>389883</v>
      </c>
      <c r="J33" s="77">
        <v>407890</v>
      </c>
      <c r="K33" s="77">
        <v>472433</v>
      </c>
      <c r="L33" s="204">
        <v>505065</v>
      </c>
      <c r="M33" s="204">
        <v>390909</v>
      </c>
      <c r="N33" s="204">
        <v>510189</v>
      </c>
      <c r="O33" s="204">
        <v>453385</v>
      </c>
      <c r="P33" s="204">
        <v>473879</v>
      </c>
      <c r="Q33" s="204">
        <v>666963</v>
      </c>
      <c r="R33" s="204">
        <v>461644</v>
      </c>
      <c r="S33" s="204">
        <v>528692</v>
      </c>
      <c r="T33" s="204">
        <v>387460</v>
      </c>
      <c r="U33" s="204">
        <v>372646</v>
      </c>
      <c r="V33" s="204">
        <v>306169</v>
      </c>
      <c r="W33" s="204">
        <v>511504</v>
      </c>
      <c r="X33" s="204">
        <v>468806</v>
      </c>
    </row>
    <row r="34" spans="1:24" ht="15" customHeight="1">
      <c r="A34" s="76" t="s">
        <v>61</v>
      </c>
      <c r="B34" s="77">
        <v>180145</v>
      </c>
      <c r="C34" s="77">
        <v>276014</v>
      </c>
      <c r="D34" s="77">
        <v>329687</v>
      </c>
      <c r="E34" s="77">
        <v>294514</v>
      </c>
      <c r="F34" s="77">
        <v>311321</v>
      </c>
      <c r="G34" s="77" t="e">
        <f>+[3]SERIE!I170</f>
        <v>#REF!</v>
      </c>
      <c r="H34" s="77" t="e">
        <f>+[3]SERIE!I182</f>
        <v>#REF!</v>
      </c>
      <c r="I34" s="77">
        <v>379086</v>
      </c>
      <c r="J34" s="77">
        <v>405155</v>
      </c>
      <c r="K34" s="77">
        <v>513398</v>
      </c>
      <c r="L34" s="204">
        <v>496124</v>
      </c>
      <c r="M34" s="204">
        <v>461786</v>
      </c>
      <c r="N34" s="204">
        <v>582066</v>
      </c>
      <c r="O34" s="204">
        <v>462111</v>
      </c>
      <c r="P34" s="204">
        <v>469894</v>
      </c>
      <c r="Q34" s="204">
        <v>369752</v>
      </c>
      <c r="R34" s="204">
        <v>540121</v>
      </c>
      <c r="S34" s="204">
        <v>533159</v>
      </c>
      <c r="T34" s="204">
        <v>401073</v>
      </c>
      <c r="U34" s="204">
        <v>440835</v>
      </c>
      <c r="V34" s="204">
        <v>468543</v>
      </c>
      <c r="W34" s="204">
        <v>622551</v>
      </c>
      <c r="X34" s="204">
        <v>527470</v>
      </c>
    </row>
    <row r="35" spans="1:24" ht="15" customHeight="1">
      <c r="A35" s="76" t="s">
        <v>62</v>
      </c>
      <c r="B35" s="77">
        <v>226335</v>
      </c>
      <c r="C35" s="77">
        <v>230194</v>
      </c>
      <c r="D35" s="77">
        <v>306170</v>
      </c>
      <c r="E35" s="77">
        <v>301548</v>
      </c>
      <c r="F35" s="77">
        <v>336139</v>
      </c>
      <c r="G35" s="77" t="e">
        <f>+[3]SERIE!I171</f>
        <v>#REF!</v>
      </c>
      <c r="H35" s="77" t="e">
        <f>+[3]SERIE!I183</f>
        <v>#REF!</v>
      </c>
      <c r="I35" s="77">
        <v>397686</v>
      </c>
      <c r="J35" s="77">
        <v>388381</v>
      </c>
      <c r="K35" s="77">
        <v>483254</v>
      </c>
      <c r="L35" s="204">
        <v>530430</v>
      </c>
      <c r="M35" s="204">
        <v>475042</v>
      </c>
      <c r="N35" s="204">
        <v>489833</v>
      </c>
      <c r="O35" s="204">
        <v>512862</v>
      </c>
      <c r="P35" s="204">
        <v>310969</v>
      </c>
      <c r="Q35" s="204">
        <v>551491</v>
      </c>
      <c r="R35" s="204">
        <v>510162</v>
      </c>
      <c r="S35" s="204">
        <v>423568</v>
      </c>
      <c r="T35" s="204">
        <v>363957</v>
      </c>
      <c r="U35" s="204">
        <v>499148</v>
      </c>
      <c r="V35" s="204">
        <v>538192</v>
      </c>
      <c r="W35" s="204">
        <v>560510</v>
      </c>
      <c r="X35" s="204">
        <v>508785</v>
      </c>
    </row>
    <row r="36" spans="1:24" ht="15" customHeight="1">
      <c r="A36" s="76" t="s">
        <v>63</v>
      </c>
      <c r="B36" s="77">
        <v>222810</v>
      </c>
      <c r="C36" s="77">
        <v>170575</v>
      </c>
      <c r="D36" s="77">
        <v>245443</v>
      </c>
      <c r="E36" s="77">
        <v>296322</v>
      </c>
      <c r="F36" s="77">
        <v>351657</v>
      </c>
      <c r="G36" s="77" t="e">
        <f>+[3]SERIE!I172</f>
        <v>#REF!</v>
      </c>
      <c r="H36" s="77" t="e">
        <f>+[3]SERIE!I184</f>
        <v>#REF!</v>
      </c>
      <c r="I36" s="77">
        <v>503097</v>
      </c>
      <c r="J36" s="77">
        <v>447217</v>
      </c>
      <c r="K36" s="77">
        <v>415601</v>
      </c>
      <c r="L36" s="204">
        <v>651030</v>
      </c>
      <c r="M36" s="204">
        <v>565034</v>
      </c>
      <c r="N36" s="204">
        <v>514447</v>
      </c>
      <c r="O36" s="204">
        <v>575861</v>
      </c>
      <c r="P36" s="204">
        <v>564684</v>
      </c>
      <c r="Q36" s="204">
        <v>593404</v>
      </c>
      <c r="R36" s="204">
        <v>459949</v>
      </c>
      <c r="S36" s="204">
        <v>412361</v>
      </c>
      <c r="T36" s="204">
        <v>411335</v>
      </c>
      <c r="U36" s="204">
        <v>478989</v>
      </c>
      <c r="V36" s="204">
        <v>527819</v>
      </c>
      <c r="W36" s="204">
        <v>613640</v>
      </c>
      <c r="X36" s="204">
        <v>652649</v>
      </c>
    </row>
    <row r="37" spans="1:24" ht="15" customHeight="1">
      <c r="A37" s="76" t="s">
        <v>64</v>
      </c>
      <c r="B37" s="77">
        <v>219192</v>
      </c>
      <c r="C37" s="77">
        <v>275110</v>
      </c>
      <c r="D37" s="77">
        <v>253477</v>
      </c>
      <c r="E37" s="77">
        <v>369404</v>
      </c>
      <c r="F37" s="77">
        <v>377141</v>
      </c>
      <c r="G37" s="77" t="e">
        <f>+[3]SERIE!I173</f>
        <v>#REF!</v>
      </c>
      <c r="H37" s="77" t="e">
        <f>+[3]SERIE!I185</f>
        <v>#REF!</v>
      </c>
      <c r="I37" s="77">
        <v>445949</v>
      </c>
      <c r="J37" s="77">
        <v>572688</v>
      </c>
      <c r="K37" s="77">
        <v>466377</v>
      </c>
      <c r="L37" s="204">
        <v>498234</v>
      </c>
      <c r="M37" s="204">
        <v>564389</v>
      </c>
      <c r="N37" s="204">
        <v>547621</v>
      </c>
      <c r="O37" s="204">
        <v>507494</v>
      </c>
      <c r="P37" s="204">
        <v>410548</v>
      </c>
      <c r="Q37" s="204">
        <v>589787</v>
      </c>
      <c r="R37" s="204">
        <v>482876</v>
      </c>
      <c r="S37" s="204">
        <v>504817</v>
      </c>
      <c r="T37" s="204">
        <v>368414</v>
      </c>
      <c r="U37" s="204">
        <v>488102</v>
      </c>
      <c r="V37" s="204">
        <v>571989</v>
      </c>
      <c r="W37" s="204">
        <v>603351</v>
      </c>
      <c r="X37" s="204">
        <v>538950</v>
      </c>
    </row>
    <row r="38" spans="1:24" ht="15" customHeight="1">
      <c r="A38" s="76" t="s">
        <v>65</v>
      </c>
      <c r="B38" s="77">
        <v>250230</v>
      </c>
      <c r="C38" s="77">
        <v>317815</v>
      </c>
      <c r="D38" s="77">
        <v>293817</v>
      </c>
      <c r="E38" s="77">
        <v>330283</v>
      </c>
      <c r="F38" s="77">
        <v>309073</v>
      </c>
      <c r="G38" s="77" t="e">
        <f>+[3]SERIE!I174</f>
        <v>#REF!</v>
      </c>
      <c r="H38" s="77" t="e">
        <f>+[3]SERIE!I186</f>
        <v>#REF!</v>
      </c>
      <c r="I38" s="77">
        <v>516895</v>
      </c>
      <c r="J38" s="77">
        <v>469963</v>
      </c>
      <c r="K38" s="77">
        <v>536898</v>
      </c>
      <c r="L38" s="204">
        <v>569760</v>
      </c>
      <c r="M38" s="204">
        <v>402448</v>
      </c>
      <c r="N38" s="204">
        <v>561409</v>
      </c>
      <c r="O38" s="204">
        <v>511154</v>
      </c>
      <c r="P38" s="204">
        <v>564553</v>
      </c>
      <c r="Q38" s="204">
        <v>454429</v>
      </c>
      <c r="R38" s="204">
        <v>490383</v>
      </c>
      <c r="S38" s="204">
        <v>516904</v>
      </c>
      <c r="T38" s="204">
        <v>469159</v>
      </c>
      <c r="U38" s="204">
        <v>429668</v>
      </c>
      <c r="V38" s="204">
        <v>620665</v>
      </c>
      <c r="W38" s="204">
        <v>550522</v>
      </c>
      <c r="X38" s="204">
        <v>623246</v>
      </c>
    </row>
    <row r="39" spans="1:24" ht="15" customHeight="1" thickBot="1">
      <c r="A39" s="79" t="s">
        <v>66</v>
      </c>
      <c r="B39" s="100">
        <v>158270</v>
      </c>
      <c r="C39" s="100">
        <v>201040</v>
      </c>
      <c r="D39" s="100">
        <v>297226</v>
      </c>
      <c r="E39" s="100">
        <v>291664</v>
      </c>
      <c r="F39" s="100">
        <v>323790</v>
      </c>
      <c r="G39" s="100" t="e">
        <f>+[3]SERIE!I175</f>
        <v>#REF!</v>
      </c>
      <c r="H39" s="100" t="e">
        <f>+[3]SERIE!I187</f>
        <v>#REF!</v>
      </c>
      <c r="I39" s="100">
        <v>508752</v>
      </c>
      <c r="J39" s="100">
        <v>446835</v>
      </c>
      <c r="K39" s="100">
        <v>546727</v>
      </c>
      <c r="L39" s="432">
        <v>582510</v>
      </c>
      <c r="M39" s="432">
        <v>513466</v>
      </c>
      <c r="N39" s="432">
        <v>617135</v>
      </c>
      <c r="O39" s="432">
        <v>480382</v>
      </c>
      <c r="P39" s="432">
        <v>537272</v>
      </c>
      <c r="Q39" s="432">
        <v>569994</v>
      </c>
      <c r="R39" s="432">
        <v>421612</v>
      </c>
      <c r="S39" s="432">
        <v>474342</v>
      </c>
      <c r="T39" s="432">
        <v>402810</v>
      </c>
      <c r="U39" s="432">
        <v>509282</v>
      </c>
      <c r="V39" s="432">
        <v>525050</v>
      </c>
      <c r="W39" s="432">
        <v>656740</v>
      </c>
      <c r="X39" s="432">
        <v>532658</v>
      </c>
    </row>
    <row r="40" spans="1:24" ht="9" customHeight="1">
      <c r="A40" s="778" t="s">
        <v>402</v>
      </c>
      <c r="B40" s="796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</row>
    <row r="41" spans="1:24" ht="9" customHeight="1">
      <c r="A41" s="871" t="s">
        <v>378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</row>
    <row r="42" spans="1:24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</row>
    <row r="43" spans="1:24" ht="13.25" customHeight="1">
      <c r="A43" s="796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</row>
    <row r="45" spans="1:24" ht="13.25" customHeight="1">
      <c r="A45" s="9"/>
    </row>
    <row r="46" spans="1:24" ht="13.25" customHeight="1">
      <c r="A46" s="9"/>
    </row>
    <row r="47" spans="1:24" ht="13.25" customHeight="1">
      <c r="A47" s="11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Hoja119">
    <tabColor theme="9" tint="0.59999389629810485"/>
  </sheetPr>
  <dimension ref="A1:X43"/>
  <sheetViews>
    <sheetView showGridLines="0" zoomScaleNormal="100" workbookViewId="0">
      <selection activeCell="X11" sqref="X11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1" width="0" style="73" hidden="1" customWidth="1"/>
    <col min="12" max="24" width="9" style="73" customWidth="1"/>
    <col min="25" max="29" width="8.3984375" style="73" customWidth="1"/>
    <col min="30" max="16384" width="7" style="73"/>
  </cols>
  <sheetData>
    <row r="1" spans="1:24" ht="13.25" customHeight="1">
      <c r="A1" s="1001"/>
      <c r="B1" s="1001"/>
      <c r="C1" s="1001"/>
      <c r="D1" s="1001"/>
      <c r="E1" s="1001"/>
    </row>
    <row r="2" spans="1:24" ht="13.25" customHeight="1">
      <c r="A2" s="250" t="s">
        <v>580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24" ht="13.25" customHeight="1">
      <c r="A3" s="199" t="s">
        <v>304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24" ht="4.25" customHeight="1" thickBot="1"/>
    <row r="5" spans="1:24" ht="16.25" customHeight="1">
      <c r="A5" s="568" t="s">
        <v>110</v>
      </c>
      <c r="B5" s="568">
        <v>2000</v>
      </c>
      <c r="C5" s="568">
        <v>2001</v>
      </c>
      <c r="D5" s="568">
        <v>2002</v>
      </c>
      <c r="E5" s="568">
        <v>2003</v>
      </c>
      <c r="F5" s="568">
        <v>2004</v>
      </c>
      <c r="G5" s="568">
        <v>2005</v>
      </c>
      <c r="H5" s="568">
        <v>2006</v>
      </c>
      <c r="I5" s="568">
        <v>2007</v>
      </c>
      <c r="J5" s="568">
        <v>2008</v>
      </c>
      <c r="K5" s="568">
        <v>2009</v>
      </c>
      <c r="L5" s="568">
        <v>2010</v>
      </c>
      <c r="M5" s="568">
        <v>2011</v>
      </c>
      <c r="N5" s="568">
        <v>2012</v>
      </c>
      <c r="O5" s="568">
        <v>2013</v>
      </c>
      <c r="P5" s="568">
        <v>2014</v>
      </c>
      <c r="Q5" s="568">
        <v>2015</v>
      </c>
      <c r="R5" s="568">
        <v>2016</v>
      </c>
      <c r="S5" s="733">
        <v>2017</v>
      </c>
      <c r="T5" s="734">
        <v>2018</v>
      </c>
      <c r="U5" s="733">
        <v>2019</v>
      </c>
      <c r="V5" s="733">
        <v>2020</v>
      </c>
      <c r="W5" s="733">
        <v>2021</v>
      </c>
      <c r="X5" s="735" t="s">
        <v>477</v>
      </c>
    </row>
    <row r="6" spans="1:24" ht="16.25" customHeight="1">
      <c r="A6" s="554" t="s">
        <v>54</v>
      </c>
      <c r="B6" s="731">
        <v>399325</v>
      </c>
      <c r="C6" s="731">
        <v>495413</v>
      </c>
      <c r="D6" s="731">
        <v>649338</v>
      </c>
      <c r="E6" s="731">
        <v>627196</v>
      </c>
      <c r="F6" s="731">
        <v>847825</v>
      </c>
      <c r="G6" s="731">
        <v>687316</v>
      </c>
      <c r="H6" s="731">
        <v>1015560</v>
      </c>
      <c r="I6" s="731">
        <v>1070656</v>
      </c>
      <c r="J6" s="731">
        <v>1206518</v>
      </c>
      <c r="K6" s="731">
        <v>1000038</v>
      </c>
      <c r="L6" s="555">
        <f>+AD14</f>
        <v>0</v>
      </c>
      <c r="M6" s="555">
        <v>909190</v>
      </c>
      <c r="N6" s="555">
        <v>975022</v>
      </c>
      <c r="O6" s="555">
        <v>1145429</v>
      </c>
      <c r="P6" s="555">
        <v>603955</v>
      </c>
      <c r="Q6" s="555">
        <v>714813</v>
      </c>
      <c r="R6" s="555">
        <v>367296</v>
      </c>
      <c r="S6" s="555">
        <v>88618</v>
      </c>
      <c r="T6" s="555">
        <f>SUM(T7:T18)</f>
        <v>22000</v>
      </c>
      <c r="U6" s="555">
        <f>SUM(U7:U18)</f>
        <v>38600</v>
      </c>
      <c r="V6" s="555">
        <f>SUM(V7:V18)</f>
        <v>0</v>
      </c>
      <c r="W6" s="555">
        <f>SUM(W7:W18)</f>
        <v>24544</v>
      </c>
      <c r="X6" s="555">
        <f>SUM(X7:X18)</f>
        <v>78728</v>
      </c>
    </row>
    <row r="7" spans="1:24" ht="15" customHeight="1">
      <c r="A7" s="76" t="s">
        <v>55</v>
      </c>
      <c r="B7" s="77">
        <v>30500</v>
      </c>
      <c r="C7" s="77">
        <v>53233</v>
      </c>
      <c r="D7" s="77">
        <v>89410</v>
      </c>
      <c r="E7" s="77">
        <v>68552</v>
      </c>
      <c r="F7" s="77">
        <v>85510</v>
      </c>
      <c r="G7" s="77">
        <v>46100</v>
      </c>
      <c r="H7" s="77">
        <v>135050</v>
      </c>
      <c r="I7" s="77">
        <v>93000</v>
      </c>
      <c r="J7" s="77">
        <v>105600</v>
      </c>
      <c r="K7" s="77">
        <v>116325</v>
      </c>
      <c r="L7" s="204">
        <v>74085</v>
      </c>
      <c r="M7" s="204">
        <v>39750</v>
      </c>
      <c r="N7" s="204">
        <v>91150</v>
      </c>
      <c r="O7" s="204">
        <v>115056</v>
      </c>
      <c r="P7" s="204">
        <v>6000</v>
      </c>
      <c r="Q7" s="204">
        <v>59280</v>
      </c>
      <c r="R7" s="204">
        <v>126912</v>
      </c>
      <c r="S7" s="204">
        <v>0</v>
      </c>
      <c r="T7" s="204">
        <v>0</v>
      </c>
      <c r="U7" s="204">
        <v>6300</v>
      </c>
      <c r="V7" s="204">
        <v>0</v>
      </c>
      <c r="W7" s="204">
        <v>0</v>
      </c>
      <c r="X7" s="204">
        <v>6240</v>
      </c>
    </row>
    <row r="8" spans="1:24" ht="15" customHeight="1">
      <c r="A8" s="76" t="s">
        <v>56</v>
      </c>
      <c r="B8" s="77">
        <v>43900</v>
      </c>
      <c r="C8" s="77">
        <v>39266</v>
      </c>
      <c r="D8" s="77">
        <v>37200</v>
      </c>
      <c r="E8" s="77">
        <v>68006</v>
      </c>
      <c r="F8" s="77">
        <v>64100</v>
      </c>
      <c r="G8" s="77">
        <v>61300</v>
      </c>
      <c r="H8" s="77">
        <v>124150</v>
      </c>
      <c r="I8" s="77">
        <v>61680</v>
      </c>
      <c r="J8" s="77">
        <v>95530</v>
      </c>
      <c r="K8" s="77">
        <v>85699</v>
      </c>
      <c r="L8" s="204">
        <v>123537</v>
      </c>
      <c r="M8" s="204">
        <v>106220</v>
      </c>
      <c r="N8" s="204">
        <v>72550</v>
      </c>
      <c r="O8" s="204">
        <v>168504</v>
      </c>
      <c r="P8" s="204">
        <v>115880</v>
      </c>
      <c r="Q8" s="204">
        <v>32480</v>
      </c>
      <c r="R8" s="204">
        <v>37076</v>
      </c>
      <c r="S8" s="204">
        <v>6300</v>
      </c>
      <c r="T8" s="204">
        <v>0</v>
      </c>
      <c r="U8" s="204">
        <v>0</v>
      </c>
      <c r="V8" s="204">
        <v>0</v>
      </c>
      <c r="W8" s="204">
        <v>0</v>
      </c>
      <c r="X8" s="204">
        <v>16432</v>
      </c>
    </row>
    <row r="9" spans="1:24" ht="15" customHeight="1">
      <c r="A9" s="76" t="s">
        <v>57</v>
      </c>
      <c r="B9" s="77">
        <v>69500</v>
      </c>
      <c r="C9" s="77">
        <v>62185</v>
      </c>
      <c r="D9" s="77">
        <v>78000</v>
      </c>
      <c r="E9" s="77">
        <v>31030</v>
      </c>
      <c r="F9" s="77">
        <v>111250</v>
      </c>
      <c r="G9" s="77">
        <v>78890</v>
      </c>
      <c r="H9" s="77">
        <v>120328</v>
      </c>
      <c r="I9" s="77">
        <v>120250</v>
      </c>
      <c r="J9" s="77">
        <v>114480</v>
      </c>
      <c r="K9" s="77">
        <v>51963</v>
      </c>
      <c r="L9" s="204">
        <v>102111</v>
      </c>
      <c r="M9" s="204">
        <v>90600</v>
      </c>
      <c r="N9" s="204">
        <v>78700</v>
      </c>
      <c r="O9" s="204">
        <v>68120</v>
      </c>
      <c r="P9" s="204">
        <v>52520</v>
      </c>
      <c r="Q9" s="204">
        <v>72520</v>
      </c>
      <c r="R9" s="204">
        <v>91769</v>
      </c>
      <c r="S9" s="204">
        <v>0</v>
      </c>
      <c r="T9" s="204">
        <v>14300</v>
      </c>
      <c r="U9" s="204">
        <v>0</v>
      </c>
      <c r="V9" s="204">
        <v>0</v>
      </c>
      <c r="W9" s="204">
        <v>11648</v>
      </c>
      <c r="X9" s="204">
        <v>15288</v>
      </c>
    </row>
    <row r="10" spans="1:24" ht="15" customHeight="1">
      <c r="A10" s="76" t="s">
        <v>58</v>
      </c>
      <c r="B10" s="77">
        <v>57900</v>
      </c>
      <c r="C10" s="77">
        <v>32460</v>
      </c>
      <c r="D10" s="77">
        <v>31660</v>
      </c>
      <c r="E10" s="77">
        <v>47240</v>
      </c>
      <c r="F10" s="77">
        <v>34890</v>
      </c>
      <c r="G10" s="77">
        <v>30300</v>
      </c>
      <c r="H10" s="77">
        <v>72900</v>
      </c>
      <c r="I10" s="77">
        <v>70400</v>
      </c>
      <c r="J10" s="77">
        <v>88710</v>
      </c>
      <c r="K10" s="77">
        <v>117530</v>
      </c>
      <c r="L10" s="204">
        <v>93200</v>
      </c>
      <c r="M10" s="204">
        <v>32200</v>
      </c>
      <c r="N10" s="204">
        <v>50965</v>
      </c>
      <c r="O10" s="204">
        <v>66453</v>
      </c>
      <c r="P10" s="204">
        <v>18480</v>
      </c>
      <c r="Q10" s="204">
        <v>107435</v>
      </c>
      <c r="R10" s="204">
        <v>17800</v>
      </c>
      <c r="S10" s="204">
        <v>4160</v>
      </c>
      <c r="T10" s="204">
        <v>0</v>
      </c>
      <c r="U10" s="204">
        <v>6300</v>
      </c>
      <c r="V10" s="204">
        <v>0</v>
      </c>
      <c r="W10" s="204">
        <v>0</v>
      </c>
      <c r="X10" s="204">
        <v>28080</v>
      </c>
    </row>
    <row r="11" spans="1:24" ht="15" customHeight="1">
      <c r="A11" s="76" t="s">
        <v>59</v>
      </c>
      <c r="B11" s="77">
        <v>20000</v>
      </c>
      <c r="C11" s="77">
        <v>5700</v>
      </c>
      <c r="D11" s="77">
        <v>69783</v>
      </c>
      <c r="E11" s="77">
        <v>14291</v>
      </c>
      <c r="F11" s="77">
        <v>145700</v>
      </c>
      <c r="G11" s="77">
        <v>64300</v>
      </c>
      <c r="H11" s="77">
        <v>54500</v>
      </c>
      <c r="I11" s="77">
        <v>98600</v>
      </c>
      <c r="J11" s="77">
        <v>141030</v>
      </c>
      <c r="K11" s="77">
        <v>74808</v>
      </c>
      <c r="L11" s="204">
        <v>3900</v>
      </c>
      <c r="M11" s="204">
        <v>90650</v>
      </c>
      <c r="N11" s="204">
        <v>113065</v>
      </c>
      <c r="O11" s="204">
        <v>135718</v>
      </c>
      <c r="P11" s="204">
        <v>48700</v>
      </c>
      <c r="Q11" s="204">
        <v>104905</v>
      </c>
      <c r="R11" s="204">
        <v>64239</v>
      </c>
      <c r="S11" s="204">
        <v>6300</v>
      </c>
      <c r="T11" s="204">
        <v>0</v>
      </c>
      <c r="U11" s="204">
        <v>8000</v>
      </c>
      <c r="V11" s="204">
        <v>0</v>
      </c>
      <c r="W11" s="204">
        <v>0</v>
      </c>
      <c r="X11" s="204">
        <v>12688</v>
      </c>
    </row>
    <row r="12" spans="1:24" ht="15" customHeight="1">
      <c r="A12" s="76" t="s">
        <v>60</v>
      </c>
      <c r="B12" s="77">
        <v>29000</v>
      </c>
      <c r="C12" s="77">
        <v>22135</v>
      </c>
      <c r="D12" s="77">
        <v>36150</v>
      </c>
      <c r="E12" s="77">
        <v>36015</v>
      </c>
      <c r="F12" s="77">
        <v>43550</v>
      </c>
      <c r="G12" s="77">
        <v>37800</v>
      </c>
      <c r="H12" s="77">
        <v>58000</v>
      </c>
      <c r="I12" s="77">
        <v>65755</v>
      </c>
      <c r="J12" s="77">
        <v>95360</v>
      </c>
      <c r="K12" s="77">
        <v>70840</v>
      </c>
      <c r="L12" s="204">
        <v>122945</v>
      </c>
      <c r="M12" s="204">
        <v>60000</v>
      </c>
      <c r="N12" s="204">
        <v>67705</v>
      </c>
      <c r="O12" s="204">
        <v>120771</v>
      </c>
      <c r="P12" s="204">
        <v>37440</v>
      </c>
      <c r="Q12" s="204">
        <v>87554</v>
      </c>
      <c r="R12" s="204">
        <v>12000</v>
      </c>
      <c r="S12" s="204">
        <v>0</v>
      </c>
      <c r="T12" s="204">
        <v>0</v>
      </c>
      <c r="U12" s="204">
        <v>0</v>
      </c>
      <c r="V12" s="204">
        <v>0</v>
      </c>
      <c r="W12" s="204">
        <v>0</v>
      </c>
      <c r="X12" s="204">
        <v>0</v>
      </c>
    </row>
    <row r="13" spans="1:24" ht="15" customHeight="1">
      <c r="A13" s="76" t="s">
        <v>61</v>
      </c>
      <c r="B13" s="77">
        <v>26000</v>
      </c>
      <c r="C13" s="77">
        <v>36684</v>
      </c>
      <c r="D13" s="77">
        <v>84780</v>
      </c>
      <c r="E13" s="77">
        <v>39750</v>
      </c>
      <c r="F13" s="77">
        <v>58000</v>
      </c>
      <c r="G13" s="77">
        <v>41000</v>
      </c>
      <c r="H13" s="77">
        <v>88284</v>
      </c>
      <c r="I13" s="77">
        <v>90660</v>
      </c>
      <c r="J13" s="77">
        <v>90000</v>
      </c>
      <c r="K13" s="77">
        <v>81218</v>
      </c>
      <c r="L13" s="204">
        <v>64270</v>
      </c>
      <c r="M13" s="204">
        <v>92500</v>
      </c>
      <c r="N13" s="204">
        <v>29448</v>
      </c>
      <c r="O13" s="204">
        <v>95680</v>
      </c>
      <c r="P13" s="204">
        <v>10160</v>
      </c>
      <c r="Q13" s="204">
        <v>50237</v>
      </c>
      <c r="R13" s="204">
        <v>5000</v>
      </c>
      <c r="S13" s="204">
        <v>0</v>
      </c>
      <c r="T13" s="204">
        <v>6300</v>
      </c>
      <c r="U13" s="204">
        <v>6000</v>
      </c>
      <c r="V13" s="204">
        <v>0</v>
      </c>
      <c r="W13" s="204">
        <v>6448</v>
      </c>
      <c r="X13" s="204">
        <v>0</v>
      </c>
    </row>
    <row r="14" spans="1:24" ht="15" customHeight="1">
      <c r="A14" s="76" t="s">
        <v>62</v>
      </c>
      <c r="B14" s="77">
        <v>25300</v>
      </c>
      <c r="C14" s="77">
        <v>29015</v>
      </c>
      <c r="D14" s="77">
        <v>31025</v>
      </c>
      <c r="E14" s="77">
        <v>46960</v>
      </c>
      <c r="F14" s="77">
        <v>48400</v>
      </c>
      <c r="G14" s="77">
        <v>67508</v>
      </c>
      <c r="H14" s="77">
        <v>78208</v>
      </c>
      <c r="I14" s="77">
        <v>93800</v>
      </c>
      <c r="J14" s="77">
        <v>108006</v>
      </c>
      <c r="K14" s="77">
        <v>87396</v>
      </c>
      <c r="L14" s="204">
        <v>124925</v>
      </c>
      <c r="M14" s="204">
        <v>133410</v>
      </c>
      <c r="N14" s="204">
        <v>105934</v>
      </c>
      <c r="O14" s="204">
        <v>98104</v>
      </c>
      <c r="P14" s="204">
        <v>59496</v>
      </c>
      <c r="Q14" s="204">
        <v>29120</v>
      </c>
      <c r="R14" s="204">
        <v>0</v>
      </c>
      <c r="S14" s="204">
        <v>6300</v>
      </c>
      <c r="T14" s="204">
        <v>0</v>
      </c>
      <c r="U14" s="204">
        <v>0</v>
      </c>
      <c r="V14" s="204">
        <v>0</v>
      </c>
      <c r="W14" s="204">
        <v>0</v>
      </c>
      <c r="X14" s="204">
        <v>0</v>
      </c>
    </row>
    <row r="15" spans="1:24" ht="15" customHeight="1">
      <c r="A15" s="76" t="s">
        <v>63</v>
      </c>
      <c r="B15" s="77">
        <v>11000</v>
      </c>
      <c r="C15" s="77">
        <v>48815</v>
      </c>
      <c r="D15" s="77">
        <v>46770</v>
      </c>
      <c r="E15" s="77">
        <v>58740</v>
      </c>
      <c r="F15" s="77">
        <v>94400</v>
      </c>
      <c r="G15" s="77">
        <v>88172</v>
      </c>
      <c r="H15" s="77">
        <v>66605</v>
      </c>
      <c r="I15" s="77">
        <v>102400</v>
      </c>
      <c r="J15" s="77">
        <v>95170</v>
      </c>
      <c r="K15" s="77">
        <v>69670</v>
      </c>
      <c r="L15" s="204">
        <v>98900</v>
      </c>
      <c r="M15" s="204">
        <v>82400</v>
      </c>
      <c r="N15" s="204">
        <v>116900</v>
      </c>
      <c r="O15" s="204">
        <v>87256</v>
      </c>
      <c r="P15" s="204">
        <v>101920</v>
      </c>
      <c r="Q15" s="204">
        <v>60568</v>
      </c>
      <c r="R15" s="204">
        <v>6200</v>
      </c>
      <c r="S15" s="204">
        <v>0</v>
      </c>
      <c r="T15" s="204">
        <v>0</v>
      </c>
      <c r="U15" s="204">
        <v>6000</v>
      </c>
      <c r="V15" s="204">
        <v>0</v>
      </c>
      <c r="W15" s="204">
        <v>0</v>
      </c>
      <c r="X15" s="204">
        <v>0</v>
      </c>
    </row>
    <row r="16" spans="1:24" ht="15" customHeight="1">
      <c r="A16" s="76" t="s">
        <v>64</v>
      </c>
      <c r="B16" s="77">
        <v>39000</v>
      </c>
      <c r="C16" s="77">
        <v>80420</v>
      </c>
      <c r="D16" s="77">
        <v>45060</v>
      </c>
      <c r="E16" s="77">
        <v>108162</v>
      </c>
      <c r="F16" s="77">
        <v>61100</v>
      </c>
      <c r="G16" s="77">
        <v>77338</v>
      </c>
      <c r="H16" s="77">
        <v>72135</v>
      </c>
      <c r="I16" s="77">
        <v>82111</v>
      </c>
      <c r="J16" s="77">
        <v>105700</v>
      </c>
      <c r="K16" s="77">
        <v>108309</v>
      </c>
      <c r="L16" s="204">
        <v>114110</v>
      </c>
      <c r="M16" s="204">
        <v>66400</v>
      </c>
      <c r="N16" s="204">
        <v>102100</v>
      </c>
      <c r="O16" s="204">
        <v>111144</v>
      </c>
      <c r="P16" s="204">
        <v>69151</v>
      </c>
      <c r="Q16" s="204">
        <v>34380</v>
      </c>
      <c r="R16" s="204">
        <v>0</v>
      </c>
      <c r="S16" s="204">
        <v>8059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</row>
    <row r="17" spans="1:24" ht="15" customHeight="1">
      <c r="A17" s="76" t="s">
        <v>65</v>
      </c>
      <c r="B17" s="77">
        <v>30500</v>
      </c>
      <c r="C17" s="77">
        <v>52800</v>
      </c>
      <c r="D17" s="77">
        <v>48700</v>
      </c>
      <c r="E17" s="77">
        <v>75050</v>
      </c>
      <c r="F17" s="77">
        <v>39025</v>
      </c>
      <c r="G17" s="77">
        <v>64608</v>
      </c>
      <c r="H17" s="77">
        <v>62500</v>
      </c>
      <c r="I17" s="77">
        <v>85400</v>
      </c>
      <c r="J17" s="77">
        <v>125276</v>
      </c>
      <c r="K17" s="77">
        <v>76415</v>
      </c>
      <c r="L17" s="204">
        <v>96980</v>
      </c>
      <c r="M17" s="204">
        <v>74500</v>
      </c>
      <c r="N17" s="204">
        <v>67020</v>
      </c>
      <c r="O17" s="204">
        <v>44303</v>
      </c>
      <c r="P17" s="204">
        <v>28428</v>
      </c>
      <c r="Q17" s="204">
        <v>44614</v>
      </c>
      <c r="R17" s="204">
        <v>6300</v>
      </c>
      <c r="S17" s="204">
        <v>18379</v>
      </c>
      <c r="T17" s="204">
        <v>1400</v>
      </c>
      <c r="U17" s="204">
        <v>0</v>
      </c>
      <c r="V17" s="204">
        <v>0</v>
      </c>
      <c r="W17" s="204">
        <v>6448</v>
      </c>
      <c r="X17" s="204">
        <v>0</v>
      </c>
    </row>
    <row r="18" spans="1:24" ht="15" customHeight="1" thickBot="1">
      <c r="A18" s="79" t="s">
        <v>66</v>
      </c>
      <c r="B18" s="100">
        <v>16725</v>
      </c>
      <c r="C18" s="100">
        <v>32700</v>
      </c>
      <c r="D18" s="100">
        <v>50800</v>
      </c>
      <c r="E18" s="100">
        <v>33400</v>
      </c>
      <c r="F18" s="100">
        <v>61900</v>
      </c>
      <c r="G18" s="100">
        <v>30000</v>
      </c>
      <c r="H18" s="100">
        <v>82900</v>
      </c>
      <c r="I18" s="100">
        <v>106600</v>
      </c>
      <c r="J18" s="100">
        <v>41656</v>
      </c>
      <c r="K18" s="100">
        <v>59865</v>
      </c>
      <c r="L18" s="432">
        <v>64600</v>
      </c>
      <c r="M18" s="432">
        <v>40560</v>
      </c>
      <c r="N18" s="432">
        <v>79485</v>
      </c>
      <c r="O18" s="432">
        <v>34320</v>
      </c>
      <c r="P18" s="432">
        <v>55780</v>
      </c>
      <c r="Q18" s="432">
        <v>31720</v>
      </c>
      <c r="R18" s="432">
        <v>0</v>
      </c>
      <c r="S18" s="432">
        <v>39120</v>
      </c>
      <c r="T18" s="432">
        <v>0</v>
      </c>
      <c r="U18" s="432">
        <v>6000</v>
      </c>
      <c r="V18" s="432">
        <v>0</v>
      </c>
      <c r="W18" s="432">
        <v>0</v>
      </c>
      <c r="X18" s="432">
        <v>0</v>
      </c>
    </row>
    <row r="19" spans="1:24" ht="9" customHeight="1">
      <c r="A19" s="778" t="s">
        <v>402</v>
      </c>
      <c r="B19" s="796"/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  <c r="R19" s="190"/>
      <c r="S19" s="190"/>
      <c r="T19" s="190"/>
      <c r="U19" s="190"/>
      <c r="V19" s="190"/>
      <c r="W19" s="190"/>
      <c r="X19" s="190"/>
    </row>
    <row r="20" spans="1:24" ht="9" customHeight="1">
      <c r="A20" s="871" t="s">
        <v>378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  <c r="R20" s="190"/>
      <c r="S20" s="190"/>
      <c r="T20" s="190"/>
      <c r="U20" s="190"/>
      <c r="V20" s="190"/>
      <c r="W20" s="190"/>
      <c r="X20" s="190"/>
    </row>
    <row r="21" spans="1:24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  <c r="R21" s="190"/>
      <c r="S21" s="190"/>
      <c r="T21" s="190"/>
      <c r="U21" s="190"/>
      <c r="V21" s="190"/>
      <c r="W21" s="190"/>
      <c r="X21" s="190"/>
    </row>
    <row r="23" spans="1:24" ht="13.25" customHeight="1">
      <c r="A23" s="250" t="s">
        <v>581</v>
      </c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13.25" customHeight="1">
      <c r="A24" s="199" t="s">
        <v>304</v>
      </c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 ht="4.25" customHeight="1" thickBot="1"/>
    <row r="26" spans="1:24" ht="16.25" customHeight="1">
      <c r="A26" s="568" t="s">
        <v>110</v>
      </c>
      <c r="B26" s="568">
        <v>2000</v>
      </c>
      <c r="C26" s="568">
        <v>2001</v>
      </c>
      <c r="D26" s="568">
        <v>2002</v>
      </c>
      <c r="E26" s="568">
        <v>2003</v>
      </c>
      <c r="F26" s="568">
        <v>2004</v>
      </c>
      <c r="G26" s="568">
        <v>2005</v>
      </c>
      <c r="H26" s="568">
        <v>2006</v>
      </c>
      <c r="I26" s="568">
        <v>2007</v>
      </c>
      <c r="J26" s="568">
        <v>2008</v>
      </c>
      <c r="K26" s="568">
        <v>2009</v>
      </c>
      <c r="L26" s="568">
        <v>2010</v>
      </c>
      <c r="M26" s="568">
        <v>2011</v>
      </c>
      <c r="N26" s="568">
        <v>2012</v>
      </c>
      <c r="O26" s="568">
        <v>2013</v>
      </c>
      <c r="P26" s="568">
        <v>2014</v>
      </c>
      <c r="Q26" s="568">
        <v>2015</v>
      </c>
      <c r="R26" s="568">
        <v>2016</v>
      </c>
      <c r="S26" s="733">
        <v>2017</v>
      </c>
      <c r="T26" s="734">
        <v>2018</v>
      </c>
      <c r="U26" s="733">
        <v>2019</v>
      </c>
      <c r="V26" s="733">
        <v>2020</v>
      </c>
      <c r="W26" s="733">
        <v>2021</v>
      </c>
      <c r="X26" s="735" t="s">
        <v>477</v>
      </c>
    </row>
    <row r="27" spans="1:24" ht="16.25" customHeight="1">
      <c r="A27" s="554" t="s">
        <v>54</v>
      </c>
      <c r="B27" s="731">
        <v>2556679</v>
      </c>
      <c r="C27" s="731">
        <v>2582564</v>
      </c>
      <c r="D27" s="731">
        <v>2937060</v>
      </c>
      <c r="E27" s="731">
        <v>2974065</v>
      </c>
      <c r="F27" s="731">
        <v>3126266</v>
      </c>
      <c r="G27" s="731">
        <v>3516585</v>
      </c>
      <c r="H27" s="731">
        <v>3727274</v>
      </c>
      <c r="I27" s="731">
        <v>4209259</v>
      </c>
      <c r="J27" s="731">
        <v>4405100</v>
      </c>
      <c r="K27" s="731">
        <v>4722467</v>
      </c>
      <c r="L27" s="555">
        <v>5398457</v>
      </c>
      <c r="M27" s="555">
        <v>4900605</v>
      </c>
      <c r="N27" s="555">
        <v>6044515</v>
      </c>
      <c r="O27" s="555">
        <v>5410063</v>
      </c>
      <c r="P27" s="555">
        <v>5781377</v>
      </c>
      <c r="Q27" s="555">
        <v>6341188</v>
      </c>
      <c r="R27" s="555">
        <v>5760695</v>
      </c>
      <c r="S27" s="555">
        <v>5760500</v>
      </c>
      <c r="T27" s="555">
        <f>SUM(T28:T39)</f>
        <v>6160146</v>
      </c>
      <c r="U27" s="555">
        <f>SUM(U28:U39)</f>
        <v>6506566</v>
      </c>
      <c r="V27" s="555">
        <f>SUM(V28:V39)</f>
        <v>6065336</v>
      </c>
      <c r="W27" s="555">
        <f>SUM(W28:W39)</f>
        <v>6867336</v>
      </c>
      <c r="X27" s="555">
        <f>SUM(X28:X39)</f>
        <v>6742016</v>
      </c>
    </row>
    <row r="28" spans="1:24" ht="15" customHeight="1">
      <c r="A28" s="76" t="s">
        <v>55</v>
      </c>
      <c r="B28" s="77">
        <v>245700</v>
      </c>
      <c r="C28" s="77">
        <v>259521</v>
      </c>
      <c r="D28" s="77">
        <v>260025</v>
      </c>
      <c r="E28" s="77">
        <v>286600</v>
      </c>
      <c r="F28" s="77">
        <v>264393</v>
      </c>
      <c r="G28" s="77">
        <v>286006</v>
      </c>
      <c r="H28" s="77">
        <v>297720</v>
      </c>
      <c r="I28" s="77">
        <v>336082</v>
      </c>
      <c r="J28" s="77">
        <v>384393</v>
      </c>
      <c r="K28" s="77">
        <v>359438</v>
      </c>
      <c r="L28" s="204">
        <v>420950</v>
      </c>
      <c r="M28" s="204">
        <v>420780</v>
      </c>
      <c r="N28" s="204">
        <v>378087</v>
      </c>
      <c r="O28" s="204">
        <v>422964</v>
      </c>
      <c r="P28" s="204">
        <v>491868</v>
      </c>
      <c r="Q28" s="204">
        <v>537753</v>
      </c>
      <c r="R28" s="204">
        <v>411658</v>
      </c>
      <c r="S28" s="204">
        <v>558554</v>
      </c>
      <c r="T28" s="204">
        <v>622978</v>
      </c>
      <c r="U28" s="204">
        <v>665925</v>
      </c>
      <c r="V28" s="204">
        <v>607708</v>
      </c>
      <c r="W28" s="204">
        <v>498542</v>
      </c>
      <c r="X28" s="204">
        <v>609639</v>
      </c>
    </row>
    <row r="29" spans="1:24" ht="15" customHeight="1">
      <c r="A29" s="76" t="s">
        <v>56</v>
      </c>
      <c r="B29" s="77">
        <v>219060</v>
      </c>
      <c r="C29" s="77">
        <v>158713</v>
      </c>
      <c r="D29" s="77">
        <v>258175</v>
      </c>
      <c r="E29" s="77">
        <v>245920</v>
      </c>
      <c r="F29" s="77">
        <v>233379</v>
      </c>
      <c r="G29" s="77">
        <v>277534</v>
      </c>
      <c r="H29" s="77">
        <v>333435</v>
      </c>
      <c r="I29" s="77">
        <v>289580</v>
      </c>
      <c r="J29" s="77">
        <v>351013</v>
      </c>
      <c r="K29" s="77">
        <v>380261</v>
      </c>
      <c r="L29" s="204">
        <v>378340</v>
      </c>
      <c r="M29" s="204">
        <v>393380</v>
      </c>
      <c r="N29" s="204">
        <v>429290</v>
      </c>
      <c r="O29" s="204">
        <v>405752</v>
      </c>
      <c r="P29" s="204">
        <v>388384</v>
      </c>
      <c r="Q29" s="204">
        <v>609942</v>
      </c>
      <c r="R29" s="204">
        <v>459895</v>
      </c>
      <c r="S29" s="204">
        <v>409974</v>
      </c>
      <c r="T29" s="204">
        <v>361575</v>
      </c>
      <c r="U29" s="204">
        <v>675847</v>
      </c>
      <c r="V29" s="204">
        <v>491736</v>
      </c>
      <c r="W29" s="204">
        <v>438223</v>
      </c>
      <c r="X29" s="204">
        <v>552232</v>
      </c>
    </row>
    <row r="30" spans="1:24" ht="15" customHeight="1">
      <c r="A30" s="76" t="s">
        <v>57</v>
      </c>
      <c r="B30" s="77">
        <v>221106</v>
      </c>
      <c r="C30" s="77">
        <v>153886</v>
      </c>
      <c r="D30" s="77">
        <v>227313</v>
      </c>
      <c r="E30" s="77">
        <v>257860</v>
      </c>
      <c r="F30" s="77">
        <v>235443</v>
      </c>
      <c r="G30" s="77">
        <v>246552</v>
      </c>
      <c r="H30" s="77">
        <v>307620</v>
      </c>
      <c r="I30" s="77">
        <v>304610</v>
      </c>
      <c r="J30" s="77">
        <v>441730</v>
      </c>
      <c r="K30" s="77">
        <v>394808</v>
      </c>
      <c r="L30" s="204">
        <v>397380</v>
      </c>
      <c r="M30" s="204">
        <v>415474</v>
      </c>
      <c r="N30" s="204">
        <v>502140</v>
      </c>
      <c r="O30" s="204">
        <v>513310</v>
      </c>
      <c r="P30" s="204">
        <v>464341</v>
      </c>
      <c r="Q30" s="204">
        <v>535497</v>
      </c>
      <c r="R30" s="204">
        <v>356331</v>
      </c>
      <c r="S30" s="204">
        <v>398716</v>
      </c>
      <c r="T30" s="204">
        <v>463295</v>
      </c>
      <c r="U30" s="204">
        <v>488934</v>
      </c>
      <c r="V30" s="204">
        <v>521102</v>
      </c>
      <c r="W30" s="204">
        <v>681004</v>
      </c>
      <c r="X30" s="204">
        <v>608882</v>
      </c>
    </row>
    <row r="31" spans="1:24" ht="15" customHeight="1">
      <c r="A31" s="76" t="s">
        <v>58</v>
      </c>
      <c r="B31" s="77">
        <v>199435</v>
      </c>
      <c r="C31" s="77">
        <v>268090</v>
      </c>
      <c r="D31" s="77">
        <v>242464</v>
      </c>
      <c r="E31" s="77">
        <v>266220</v>
      </c>
      <c r="F31" s="77">
        <v>283864</v>
      </c>
      <c r="G31" s="77">
        <v>306411</v>
      </c>
      <c r="H31" s="77">
        <v>313242</v>
      </c>
      <c r="I31" s="77">
        <v>321590</v>
      </c>
      <c r="J31" s="77">
        <v>340598</v>
      </c>
      <c r="K31" s="77">
        <v>327585</v>
      </c>
      <c r="L31" s="204">
        <v>529928</v>
      </c>
      <c r="M31" s="204">
        <v>295244</v>
      </c>
      <c r="N31" s="204">
        <v>548563</v>
      </c>
      <c r="O31" s="204">
        <v>396734</v>
      </c>
      <c r="P31" s="204">
        <v>545726</v>
      </c>
      <c r="Q31" s="204">
        <v>525773</v>
      </c>
      <c r="R31" s="204">
        <v>551248</v>
      </c>
      <c r="S31" s="204">
        <v>427811</v>
      </c>
      <c r="T31" s="204">
        <v>508170</v>
      </c>
      <c r="U31" s="204">
        <v>531003</v>
      </c>
      <c r="V31" s="204">
        <v>488788</v>
      </c>
      <c r="W31" s="204">
        <v>636162</v>
      </c>
      <c r="X31" s="204">
        <v>471980</v>
      </c>
    </row>
    <row r="32" spans="1:24" ht="15" customHeight="1">
      <c r="A32" s="76" t="s">
        <v>59</v>
      </c>
      <c r="B32" s="77">
        <v>206590</v>
      </c>
      <c r="C32" s="77">
        <v>209125</v>
      </c>
      <c r="D32" s="77">
        <v>232255</v>
      </c>
      <c r="E32" s="77">
        <v>223576</v>
      </c>
      <c r="F32" s="77">
        <v>147698</v>
      </c>
      <c r="G32" s="77">
        <v>277704</v>
      </c>
      <c r="H32" s="77">
        <v>255660</v>
      </c>
      <c r="I32" s="77">
        <v>321715</v>
      </c>
      <c r="J32" s="77">
        <v>411319</v>
      </c>
      <c r="K32" s="77">
        <v>370055</v>
      </c>
      <c r="L32" s="204">
        <v>484668</v>
      </c>
      <c r="M32" s="204">
        <v>393823</v>
      </c>
      <c r="N32" s="204">
        <v>553899</v>
      </c>
      <c r="O32" s="204">
        <v>457096</v>
      </c>
      <c r="P32" s="204">
        <v>498250</v>
      </c>
      <c r="Q32" s="204">
        <v>526028</v>
      </c>
      <c r="R32" s="204">
        <v>530797</v>
      </c>
      <c r="S32" s="204">
        <v>500824</v>
      </c>
      <c r="T32" s="204">
        <v>582076</v>
      </c>
      <c r="U32" s="204">
        <v>394270</v>
      </c>
      <c r="V32" s="204">
        <v>397575</v>
      </c>
      <c r="W32" s="204">
        <v>507483</v>
      </c>
      <c r="X32" s="204">
        <v>531611</v>
      </c>
    </row>
    <row r="33" spans="1:24" ht="15" customHeight="1">
      <c r="A33" s="76" t="s">
        <v>60</v>
      </c>
      <c r="B33" s="77">
        <v>205031</v>
      </c>
      <c r="C33" s="77">
        <v>235315</v>
      </c>
      <c r="D33" s="77">
        <v>268006</v>
      </c>
      <c r="E33" s="77">
        <v>172216</v>
      </c>
      <c r="F33" s="77">
        <v>232913</v>
      </c>
      <c r="G33" s="77">
        <v>286125</v>
      </c>
      <c r="H33" s="77">
        <v>332064</v>
      </c>
      <c r="I33" s="77">
        <v>342228</v>
      </c>
      <c r="J33" s="77">
        <v>312530</v>
      </c>
      <c r="K33" s="77">
        <v>401537</v>
      </c>
      <c r="L33" s="204">
        <v>382120</v>
      </c>
      <c r="M33" s="204">
        <v>330909</v>
      </c>
      <c r="N33" s="204">
        <v>496772</v>
      </c>
      <c r="O33" s="204">
        <v>378374</v>
      </c>
      <c r="P33" s="204">
        <v>533315</v>
      </c>
      <c r="Q33" s="204">
        <v>579409</v>
      </c>
      <c r="R33" s="204">
        <v>493030</v>
      </c>
      <c r="S33" s="204">
        <v>569252</v>
      </c>
      <c r="T33" s="204">
        <v>494372</v>
      </c>
      <c r="U33" s="204">
        <v>551422</v>
      </c>
      <c r="V33" s="204">
        <v>306169</v>
      </c>
      <c r="W33" s="204">
        <v>511504</v>
      </c>
      <c r="X33" s="204">
        <v>468806</v>
      </c>
    </row>
    <row r="34" spans="1:24" ht="15" customHeight="1">
      <c r="A34" s="76" t="s">
        <v>61</v>
      </c>
      <c r="B34" s="77">
        <v>174945</v>
      </c>
      <c r="C34" s="77">
        <v>263330</v>
      </c>
      <c r="D34" s="77">
        <v>244907</v>
      </c>
      <c r="E34" s="77">
        <v>254764</v>
      </c>
      <c r="F34" s="77">
        <v>287761</v>
      </c>
      <c r="G34" s="77">
        <v>274168</v>
      </c>
      <c r="H34" s="77">
        <v>342909</v>
      </c>
      <c r="I34" s="77">
        <v>288426</v>
      </c>
      <c r="J34" s="77">
        <v>315155</v>
      </c>
      <c r="K34" s="77">
        <v>432118</v>
      </c>
      <c r="L34" s="204">
        <v>431854</v>
      </c>
      <c r="M34" s="204">
        <v>369286</v>
      </c>
      <c r="N34" s="204">
        <v>590058</v>
      </c>
      <c r="O34" s="204">
        <v>414687</v>
      </c>
      <c r="P34" s="204">
        <v>527334</v>
      </c>
      <c r="Q34" s="204">
        <v>319515</v>
      </c>
      <c r="R34" s="204">
        <v>559494</v>
      </c>
      <c r="S34" s="204">
        <v>573719</v>
      </c>
      <c r="T34" s="204">
        <v>591333</v>
      </c>
      <c r="U34" s="204">
        <v>588491</v>
      </c>
      <c r="V34" s="204">
        <v>468543</v>
      </c>
      <c r="W34" s="204">
        <v>616103</v>
      </c>
      <c r="X34" s="204">
        <v>546918</v>
      </c>
    </row>
    <row r="35" spans="1:24" ht="15" customHeight="1">
      <c r="A35" s="76" t="s">
        <v>62</v>
      </c>
      <c r="B35" s="77">
        <v>233035</v>
      </c>
      <c r="C35" s="77">
        <v>229179</v>
      </c>
      <c r="D35" s="77">
        <v>275145</v>
      </c>
      <c r="E35" s="77">
        <v>254588</v>
      </c>
      <c r="F35" s="77">
        <v>292739</v>
      </c>
      <c r="G35" s="77">
        <v>311924</v>
      </c>
      <c r="H35" s="77">
        <v>275197</v>
      </c>
      <c r="I35" s="77">
        <v>349646</v>
      </c>
      <c r="J35" s="77">
        <v>280375</v>
      </c>
      <c r="K35" s="77">
        <v>395613</v>
      </c>
      <c r="L35" s="204">
        <v>405505</v>
      </c>
      <c r="M35" s="204">
        <v>361632</v>
      </c>
      <c r="N35" s="204">
        <v>478019</v>
      </c>
      <c r="O35" s="204">
        <v>513974</v>
      </c>
      <c r="P35" s="204">
        <v>285493</v>
      </c>
      <c r="Q35" s="204">
        <v>562099</v>
      </c>
      <c r="R35" s="204">
        <v>510162</v>
      </c>
      <c r="S35" s="204">
        <v>417268</v>
      </c>
      <c r="T35" s="204">
        <v>462229</v>
      </c>
      <c r="U35" s="204">
        <v>585468</v>
      </c>
      <c r="V35" s="204">
        <v>538192</v>
      </c>
      <c r="W35" s="204">
        <v>560510</v>
      </c>
      <c r="X35" s="204">
        <v>574201</v>
      </c>
    </row>
    <row r="36" spans="1:24" ht="15" customHeight="1">
      <c r="A36" s="76" t="s">
        <v>63</v>
      </c>
      <c r="B36" s="77">
        <v>241810</v>
      </c>
      <c r="C36" s="77">
        <v>121760</v>
      </c>
      <c r="D36" s="77">
        <v>203850</v>
      </c>
      <c r="E36" s="77">
        <v>237582</v>
      </c>
      <c r="F36" s="77">
        <v>274897</v>
      </c>
      <c r="G36" s="77">
        <v>306303</v>
      </c>
      <c r="H36" s="77">
        <v>267341</v>
      </c>
      <c r="I36" s="77">
        <v>400697</v>
      </c>
      <c r="J36" s="77">
        <v>352047</v>
      </c>
      <c r="K36" s="77">
        <v>345786</v>
      </c>
      <c r="L36" s="204">
        <v>552130</v>
      </c>
      <c r="M36" s="204">
        <v>542634</v>
      </c>
      <c r="N36" s="204">
        <v>415147</v>
      </c>
      <c r="O36" s="204">
        <v>556309</v>
      </c>
      <c r="P36" s="204">
        <v>553804</v>
      </c>
      <c r="Q36" s="204">
        <v>535436</v>
      </c>
      <c r="R36" s="204">
        <v>467269</v>
      </c>
      <c r="S36" s="204">
        <v>412361</v>
      </c>
      <c r="T36" s="204">
        <v>505351</v>
      </c>
      <c r="U36" s="204">
        <v>545789</v>
      </c>
      <c r="V36" s="204">
        <v>527819</v>
      </c>
      <c r="W36" s="204">
        <v>613640</v>
      </c>
      <c r="X36" s="204">
        <v>682913</v>
      </c>
    </row>
    <row r="37" spans="1:24" ht="15" customHeight="1">
      <c r="A37" s="76" t="s">
        <v>64</v>
      </c>
      <c r="B37" s="77">
        <v>228692</v>
      </c>
      <c r="C37" s="77">
        <v>215690</v>
      </c>
      <c r="D37" s="77">
        <v>233377</v>
      </c>
      <c r="E37" s="77">
        <v>261242</v>
      </c>
      <c r="F37" s="77">
        <v>316041</v>
      </c>
      <c r="G37" s="77">
        <v>334374</v>
      </c>
      <c r="H37" s="77">
        <v>367276</v>
      </c>
      <c r="I37" s="77">
        <v>389838</v>
      </c>
      <c r="J37" s="77">
        <v>466659</v>
      </c>
      <c r="K37" s="77">
        <v>368068</v>
      </c>
      <c r="L37" s="204">
        <v>424892</v>
      </c>
      <c r="M37" s="204">
        <v>547989</v>
      </c>
      <c r="N37" s="204">
        <v>468401</v>
      </c>
      <c r="O37" s="204">
        <v>396350</v>
      </c>
      <c r="P37" s="204">
        <v>370933</v>
      </c>
      <c r="Q37" s="204">
        <v>605119</v>
      </c>
      <c r="R37" s="204">
        <v>495356</v>
      </c>
      <c r="S37" s="204">
        <v>537474</v>
      </c>
      <c r="T37" s="204">
        <v>484582</v>
      </c>
      <c r="U37" s="204">
        <v>546467</v>
      </c>
      <c r="V37" s="204">
        <v>571989</v>
      </c>
      <c r="W37" s="204">
        <v>603351</v>
      </c>
      <c r="X37" s="204">
        <v>538950</v>
      </c>
    </row>
    <row r="38" spans="1:24" ht="15" customHeight="1">
      <c r="A38" s="76" t="s">
        <v>65</v>
      </c>
      <c r="B38" s="77">
        <v>219730</v>
      </c>
      <c r="C38" s="77">
        <v>293615</v>
      </c>
      <c r="D38" s="77">
        <v>245117</v>
      </c>
      <c r="E38" s="77">
        <v>255233</v>
      </c>
      <c r="F38" s="77">
        <v>270048</v>
      </c>
      <c r="G38" s="77">
        <v>343434</v>
      </c>
      <c r="H38" s="77">
        <v>266810</v>
      </c>
      <c r="I38" s="77">
        <v>462695</v>
      </c>
      <c r="J38" s="77">
        <v>344395</v>
      </c>
      <c r="K38" s="77">
        <v>460483</v>
      </c>
      <c r="L38" s="204">
        <v>472780</v>
      </c>
      <c r="M38" s="204">
        <v>356548</v>
      </c>
      <c r="N38" s="204">
        <v>567189</v>
      </c>
      <c r="O38" s="204">
        <v>508451</v>
      </c>
      <c r="P38" s="204">
        <v>620885</v>
      </c>
      <c r="Q38" s="204">
        <v>433895</v>
      </c>
      <c r="R38" s="204">
        <v>484083</v>
      </c>
      <c r="S38" s="204">
        <v>519325</v>
      </c>
      <c r="T38" s="204">
        <v>631975</v>
      </c>
      <c r="U38" s="204">
        <v>429668</v>
      </c>
      <c r="V38" s="204">
        <v>620665</v>
      </c>
      <c r="W38" s="204">
        <v>544074</v>
      </c>
      <c r="X38" s="204">
        <v>623246</v>
      </c>
    </row>
    <row r="39" spans="1:24" ht="15" customHeight="1" thickBot="1">
      <c r="A39" s="79" t="s">
        <v>66</v>
      </c>
      <c r="B39" s="100">
        <v>161545</v>
      </c>
      <c r="C39" s="100">
        <v>174340</v>
      </c>
      <c r="D39" s="100">
        <v>246426</v>
      </c>
      <c r="E39" s="100">
        <v>258264</v>
      </c>
      <c r="F39" s="100">
        <v>287090</v>
      </c>
      <c r="G39" s="100">
        <v>266050</v>
      </c>
      <c r="H39" s="100">
        <v>368000</v>
      </c>
      <c r="I39" s="100">
        <v>402152</v>
      </c>
      <c r="J39" s="100">
        <v>404886</v>
      </c>
      <c r="K39" s="100">
        <v>486715</v>
      </c>
      <c r="L39" s="432">
        <v>517910</v>
      </c>
      <c r="M39" s="432">
        <v>472906</v>
      </c>
      <c r="N39" s="432">
        <v>616950</v>
      </c>
      <c r="O39" s="432">
        <v>446062</v>
      </c>
      <c r="P39" s="432">
        <v>501044</v>
      </c>
      <c r="Q39" s="432">
        <v>570722</v>
      </c>
      <c r="R39" s="432">
        <v>441372</v>
      </c>
      <c r="S39" s="432">
        <v>435222</v>
      </c>
      <c r="T39" s="432">
        <v>452210</v>
      </c>
      <c r="U39" s="432">
        <v>503282</v>
      </c>
      <c r="V39" s="432">
        <v>525050</v>
      </c>
      <c r="W39" s="432">
        <v>656740</v>
      </c>
      <c r="X39" s="432">
        <v>532638</v>
      </c>
    </row>
    <row r="40" spans="1:24" ht="9" customHeight="1">
      <c r="A40" s="778" t="s">
        <v>402</v>
      </c>
      <c r="B40" s="794"/>
      <c r="C40" s="794"/>
      <c r="D40" s="794"/>
      <c r="E40" s="794"/>
      <c r="F40" s="794"/>
      <c r="G40" s="794"/>
      <c r="H40" s="794"/>
      <c r="I40" s="794"/>
      <c r="J40" s="794"/>
      <c r="K40" s="794"/>
      <c r="L40" s="794"/>
      <c r="M40" s="794"/>
      <c r="N40" s="794"/>
      <c r="O40" s="794"/>
      <c r="P40" s="77"/>
      <c r="Q40" s="77"/>
      <c r="R40" s="77"/>
      <c r="S40" s="77"/>
      <c r="T40" s="77"/>
      <c r="U40" s="77"/>
      <c r="V40" s="77"/>
      <c r="W40" s="77"/>
      <c r="X40" s="77"/>
    </row>
    <row r="41" spans="1:24" ht="9" customHeight="1">
      <c r="A41" s="871" t="s">
        <v>378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</row>
    <row r="42" spans="1:24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</row>
    <row r="43" spans="1:24" ht="13.25" customHeight="1">
      <c r="A43" s="796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  <rowBreaks count="1" manualBreakCount="1">
    <brk id="22" max="1638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Hoja120">
    <tabColor theme="9" tint="0.59999389629810485"/>
  </sheetPr>
  <dimension ref="A1:AB43"/>
  <sheetViews>
    <sheetView showGridLines="0" zoomScaleNormal="100" workbookViewId="0">
      <selection activeCell="X1" sqref="X1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1" width="0" style="73" hidden="1" customWidth="1"/>
    <col min="12" max="24" width="9" style="73" customWidth="1"/>
    <col min="25" max="29" width="8.3984375" style="73" customWidth="1"/>
    <col min="30" max="16384" width="7" style="73"/>
  </cols>
  <sheetData>
    <row r="1" spans="1:24" ht="13.25" customHeight="1">
      <c r="A1" s="1001"/>
      <c r="B1" s="1001"/>
      <c r="C1" s="1001"/>
      <c r="D1" s="1001"/>
      <c r="E1" s="1001"/>
    </row>
    <row r="2" spans="1:24" ht="13.25" customHeight="1">
      <c r="A2" s="250" t="s">
        <v>582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24" ht="13.25" customHeight="1">
      <c r="A3" s="429" t="s">
        <v>248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24" ht="4.25" customHeight="1" thickBot="1"/>
    <row r="5" spans="1:24" ht="16.25" customHeight="1">
      <c r="A5" s="568" t="s">
        <v>110</v>
      </c>
      <c r="B5" s="568">
        <v>2000</v>
      </c>
      <c r="C5" s="568">
        <v>2001</v>
      </c>
      <c r="D5" s="568">
        <v>2002</v>
      </c>
      <c r="E5" s="568">
        <v>2003</v>
      </c>
      <c r="F5" s="568">
        <v>2004</v>
      </c>
      <c r="G5" s="568">
        <v>2005</v>
      </c>
      <c r="H5" s="568">
        <v>2006</v>
      </c>
      <c r="I5" s="568">
        <v>2007</v>
      </c>
      <c r="J5" s="568">
        <v>2008</v>
      </c>
      <c r="K5" s="568">
        <v>2009</v>
      </c>
      <c r="L5" s="568">
        <v>2010</v>
      </c>
      <c r="M5" s="568">
        <v>2011</v>
      </c>
      <c r="N5" s="568">
        <v>2012</v>
      </c>
      <c r="O5" s="568">
        <v>2013</v>
      </c>
      <c r="P5" s="568">
        <v>2014</v>
      </c>
      <c r="Q5" s="568">
        <v>2015</v>
      </c>
      <c r="R5" s="568">
        <v>2016</v>
      </c>
      <c r="S5" s="568">
        <v>2017</v>
      </c>
      <c r="T5" s="732">
        <v>2018</v>
      </c>
      <c r="U5" s="568">
        <v>2019</v>
      </c>
      <c r="V5" s="568">
        <v>2020</v>
      </c>
      <c r="W5" s="568">
        <v>2021</v>
      </c>
      <c r="X5" s="568" t="s">
        <v>477</v>
      </c>
    </row>
    <row r="6" spans="1:24" ht="16.25" customHeight="1">
      <c r="A6" s="554" t="s">
        <v>54</v>
      </c>
      <c r="B6" s="731">
        <v>0</v>
      </c>
      <c r="C6" s="731">
        <v>0</v>
      </c>
      <c r="D6" s="731">
        <v>0</v>
      </c>
      <c r="E6" s="731">
        <v>0</v>
      </c>
      <c r="F6" s="731">
        <v>0</v>
      </c>
      <c r="G6" s="731">
        <v>0</v>
      </c>
      <c r="H6" s="731">
        <v>0</v>
      </c>
      <c r="I6" s="731">
        <v>0</v>
      </c>
      <c r="J6" s="731">
        <v>0</v>
      </c>
      <c r="K6" s="731">
        <v>365040</v>
      </c>
      <c r="L6" s="736">
        <f>+AD14</f>
        <v>0</v>
      </c>
      <c r="M6" s="736">
        <v>0</v>
      </c>
      <c r="N6" s="736">
        <v>0</v>
      </c>
      <c r="O6" s="736">
        <v>0</v>
      </c>
      <c r="P6" s="736">
        <v>538200</v>
      </c>
      <c r="Q6" s="736">
        <v>31080</v>
      </c>
      <c r="R6" s="736">
        <v>0</v>
      </c>
      <c r="S6" s="736">
        <v>0</v>
      </c>
      <c r="T6" s="736">
        <v>0</v>
      </c>
      <c r="U6" s="736">
        <v>0</v>
      </c>
      <c r="V6" s="737">
        <f>SUM(V7:V18)</f>
        <v>0</v>
      </c>
      <c r="W6" s="737">
        <f>SUM(W7:W18)</f>
        <v>0</v>
      </c>
      <c r="X6" s="737">
        <f>SUM(X7:X18)</f>
        <v>0</v>
      </c>
    </row>
    <row r="7" spans="1:24" ht="15" customHeight="1">
      <c r="A7" s="76" t="s">
        <v>55</v>
      </c>
      <c r="B7" s="77">
        <v>0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>
        <v>0</v>
      </c>
      <c r="L7" s="427">
        <v>52560</v>
      </c>
      <c r="M7" s="427">
        <v>0</v>
      </c>
      <c r="N7" s="427">
        <v>0</v>
      </c>
      <c r="O7" s="427">
        <v>0</v>
      </c>
      <c r="P7" s="427">
        <v>0</v>
      </c>
      <c r="Q7" s="427">
        <v>31080</v>
      </c>
      <c r="R7" s="427">
        <v>0</v>
      </c>
      <c r="S7" s="427">
        <v>0</v>
      </c>
      <c r="T7" s="427">
        <v>0</v>
      </c>
      <c r="U7" s="427">
        <v>0</v>
      </c>
      <c r="V7" s="427">
        <v>0</v>
      </c>
      <c r="W7" s="427">
        <v>0</v>
      </c>
      <c r="X7" s="427">
        <v>0</v>
      </c>
    </row>
    <row r="8" spans="1:24" ht="15" customHeight="1">
      <c r="A8" s="76" t="s">
        <v>56</v>
      </c>
      <c r="B8" s="77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427">
        <v>0</v>
      </c>
      <c r="M8" s="427">
        <v>0</v>
      </c>
      <c r="N8" s="427">
        <v>0</v>
      </c>
      <c r="O8" s="427">
        <v>0</v>
      </c>
      <c r="P8" s="427">
        <v>0</v>
      </c>
      <c r="Q8" s="427">
        <v>0</v>
      </c>
      <c r="R8" s="427">
        <v>0</v>
      </c>
      <c r="S8" s="427">
        <v>0</v>
      </c>
      <c r="T8" s="427">
        <v>0</v>
      </c>
      <c r="U8" s="427">
        <v>0</v>
      </c>
      <c r="V8" s="427">
        <v>0</v>
      </c>
      <c r="W8" s="427">
        <v>0</v>
      </c>
      <c r="X8" s="427">
        <v>0</v>
      </c>
    </row>
    <row r="9" spans="1:24" ht="15" customHeight="1">
      <c r="A9" s="76" t="s">
        <v>57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427">
        <v>0</v>
      </c>
      <c r="M9" s="427">
        <v>0</v>
      </c>
      <c r="N9" s="427">
        <v>0</v>
      </c>
      <c r="O9" s="427">
        <v>0</v>
      </c>
      <c r="P9" s="427">
        <v>0</v>
      </c>
      <c r="Q9" s="427">
        <v>0</v>
      </c>
      <c r="R9" s="427">
        <v>0</v>
      </c>
      <c r="S9" s="427">
        <v>0</v>
      </c>
      <c r="T9" s="427">
        <v>0</v>
      </c>
      <c r="U9" s="427">
        <v>0</v>
      </c>
      <c r="V9" s="427">
        <v>0</v>
      </c>
      <c r="W9" s="427">
        <v>0</v>
      </c>
      <c r="X9" s="427">
        <v>0</v>
      </c>
    </row>
    <row r="10" spans="1:24" ht="15" customHeight="1">
      <c r="A10" s="76" t="s">
        <v>58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427">
        <v>0</v>
      </c>
      <c r="M10" s="427">
        <v>0</v>
      </c>
      <c r="N10" s="427">
        <v>0</v>
      </c>
      <c r="O10" s="427">
        <v>0</v>
      </c>
      <c r="P10" s="427">
        <v>0</v>
      </c>
      <c r="Q10" s="427">
        <v>0</v>
      </c>
      <c r="R10" s="427">
        <v>0</v>
      </c>
      <c r="S10" s="427">
        <v>0</v>
      </c>
      <c r="T10" s="427">
        <v>0</v>
      </c>
      <c r="U10" s="427">
        <v>0</v>
      </c>
      <c r="V10" s="427">
        <v>0</v>
      </c>
      <c r="W10" s="427">
        <v>0</v>
      </c>
      <c r="X10" s="427">
        <v>0</v>
      </c>
    </row>
    <row r="11" spans="1:24" ht="15" customHeight="1">
      <c r="A11" s="76" t="s">
        <v>59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427">
        <v>3900</v>
      </c>
      <c r="M11" s="427">
        <v>0</v>
      </c>
      <c r="N11" s="427">
        <v>0</v>
      </c>
      <c r="O11" s="427">
        <v>0</v>
      </c>
      <c r="P11" s="427">
        <v>0</v>
      </c>
      <c r="Q11" s="427">
        <v>0</v>
      </c>
      <c r="R11" s="427">
        <v>0</v>
      </c>
      <c r="S11" s="427">
        <v>0</v>
      </c>
      <c r="T11" s="427">
        <v>0</v>
      </c>
      <c r="U11" s="427">
        <v>0</v>
      </c>
      <c r="V11" s="427">
        <v>0</v>
      </c>
      <c r="W11" s="427">
        <v>0</v>
      </c>
      <c r="X11" s="427">
        <v>0</v>
      </c>
    </row>
    <row r="12" spans="1:24" ht="15" customHeight="1">
      <c r="A12" s="76" t="s">
        <v>60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427">
        <v>0</v>
      </c>
      <c r="M12" s="427">
        <v>0</v>
      </c>
      <c r="N12" s="427">
        <v>0</v>
      </c>
      <c r="O12" s="427">
        <v>0</v>
      </c>
      <c r="P12" s="427">
        <v>61200</v>
      </c>
      <c r="Q12" s="427">
        <v>0</v>
      </c>
      <c r="R12" s="427">
        <v>0</v>
      </c>
      <c r="S12" s="427">
        <v>0</v>
      </c>
      <c r="T12" s="427">
        <v>0</v>
      </c>
      <c r="U12" s="427">
        <v>0</v>
      </c>
      <c r="V12" s="427">
        <v>0</v>
      </c>
      <c r="W12" s="427">
        <v>0</v>
      </c>
      <c r="X12" s="427">
        <v>0</v>
      </c>
    </row>
    <row r="13" spans="1:24" ht="15" customHeight="1">
      <c r="A13" s="76" t="s">
        <v>61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119520</v>
      </c>
      <c r="L13" s="427">
        <v>0</v>
      </c>
      <c r="M13" s="427">
        <v>0</v>
      </c>
      <c r="N13" s="427">
        <v>0</v>
      </c>
      <c r="O13" s="427">
        <v>0</v>
      </c>
      <c r="P13" s="427">
        <v>161640</v>
      </c>
      <c r="Q13" s="427">
        <v>0</v>
      </c>
      <c r="R13" s="427">
        <v>0</v>
      </c>
      <c r="S13" s="427">
        <v>0</v>
      </c>
      <c r="T13" s="427">
        <v>0</v>
      </c>
      <c r="U13" s="427">
        <v>0</v>
      </c>
      <c r="V13" s="427">
        <v>0</v>
      </c>
      <c r="W13" s="427">
        <v>0</v>
      </c>
      <c r="X13" s="427">
        <v>0</v>
      </c>
    </row>
    <row r="14" spans="1:24" ht="15" customHeight="1">
      <c r="A14" s="76" t="s">
        <v>62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61920</v>
      </c>
      <c r="L14" s="427">
        <v>0</v>
      </c>
      <c r="M14" s="427">
        <v>0</v>
      </c>
      <c r="N14" s="427">
        <v>0</v>
      </c>
      <c r="O14" s="427">
        <v>0</v>
      </c>
      <c r="P14" s="427">
        <v>124200</v>
      </c>
      <c r="Q14" s="427">
        <v>0</v>
      </c>
      <c r="R14" s="427">
        <v>0</v>
      </c>
      <c r="S14" s="427">
        <v>0</v>
      </c>
      <c r="T14" s="427">
        <v>0</v>
      </c>
      <c r="U14" s="427">
        <v>0</v>
      </c>
      <c r="V14" s="427">
        <v>0</v>
      </c>
      <c r="W14" s="427">
        <v>0</v>
      </c>
      <c r="X14" s="427">
        <v>0</v>
      </c>
    </row>
    <row r="15" spans="1:24" ht="15" customHeight="1">
      <c r="A15" s="76" t="s">
        <v>63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20520</v>
      </c>
      <c r="L15" s="427">
        <v>0</v>
      </c>
      <c r="M15" s="427">
        <v>0</v>
      </c>
      <c r="N15" s="427">
        <v>0</v>
      </c>
      <c r="O15" s="427">
        <v>0</v>
      </c>
      <c r="P15" s="427">
        <v>0</v>
      </c>
      <c r="Q15" s="427">
        <v>0</v>
      </c>
      <c r="R15" s="427">
        <v>0</v>
      </c>
      <c r="S15" s="427">
        <v>0</v>
      </c>
      <c r="T15" s="427">
        <v>0</v>
      </c>
      <c r="U15" s="427">
        <v>0</v>
      </c>
      <c r="V15" s="427">
        <v>0</v>
      </c>
      <c r="W15" s="427">
        <v>0</v>
      </c>
      <c r="X15" s="427">
        <v>0</v>
      </c>
    </row>
    <row r="16" spans="1:24" ht="15" customHeight="1">
      <c r="A16" s="76" t="s">
        <v>64</v>
      </c>
      <c r="B16" s="77">
        <v>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72000</v>
      </c>
      <c r="L16" s="427">
        <v>0</v>
      </c>
      <c r="M16" s="427">
        <v>0</v>
      </c>
      <c r="N16" s="427">
        <v>0</v>
      </c>
      <c r="O16" s="427">
        <v>0</v>
      </c>
      <c r="P16" s="427">
        <v>126720</v>
      </c>
      <c r="Q16" s="427">
        <v>0</v>
      </c>
      <c r="R16" s="427">
        <v>0</v>
      </c>
      <c r="S16" s="427">
        <v>0</v>
      </c>
      <c r="T16" s="427">
        <v>0</v>
      </c>
      <c r="U16" s="427">
        <v>0</v>
      </c>
      <c r="V16" s="427">
        <v>0</v>
      </c>
      <c r="W16" s="427">
        <v>0</v>
      </c>
      <c r="X16" s="427">
        <v>0</v>
      </c>
    </row>
    <row r="17" spans="1:28" ht="15" customHeight="1">
      <c r="A17" s="76" t="s">
        <v>65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11520</v>
      </c>
      <c r="L17" s="427">
        <v>0</v>
      </c>
      <c r="M17" s="427">
        <v>0</v>
      </c>
      <c r="N17" s="427">
        <v>0</v>
      </c>
      <c r="O17" s="427">
        <v>0</v>
      </c>
      <c r="P17" s="427">
        <v>64440</v>
      </c>
      <c r="Q17" s="427">
        <v>0</v>
      </c>
      <c r="R17" s="427">
        <v>0</v>
      </c>
      <c r="S17" s="427">
        <v>0</v>
      </c>
      <c r="T17" s="427">
        <v>0</v>
      </c>
      <c r="U17" s="427">
        <v>0</v>
      </c>
      <c r="V17" s="427">
        <v>0</v>
      </c>
      <c r="W17" s="427">
        <v>0</v>
      </c>
      <c r="X17" s="427">
        <v>0</v>
      </c>
    </row>
    <row r="18" spans="1:28" ht="15" customHeight="1" thickBot="1">
      <c r="A18" s="79" t="s">
        <v>66</v>
      </c>
      <c r="B18" s="100">
        <v>0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0</v>
      </c>
      <c r="I18" s="100">
        <v>0</v>
      </c>
      <c r="J18" s="100">
        <v>0</v>
      </c>
      <c r="K18" s="100">
        <v>79560</v>
      </c>
      <c r="L18" s="428">
        <v>0</v>
      </c>
      <c r="M18" s="428">
        <v>0</v>
      </c>
      <c r="N18" s="428">
        <v>0</v>
      </c>
      <c r="O18" s="428">
        <v>0</v>
      </c>
      <c r="P18" s="428">
        <v>0</v>
      </c>
      <c r="Q18" s="428">
        <v>0</v>
      </c>
      <c r="R18" s="428">
        <v>0</v>
      </c>
      <c r="S18" s="428">
        <v>0</v>
      </c>
      <c r="T18" s="428">
        <v>0</v>
      </c>
      <c r="U18" s="428">
        <v>0</v>
      </c>
      <c r="V18" s="428">
        <v>0</v>
      </c>
      <c r="W18" s="428">
        <v>0</v>
      </c>
      <c r="X18" s="428">
        <v>0</v>
      </c>
    </row>
    <row r="19" spans="1:28" ht="9" customHeight="1">
      <c r="A19" s="778" t="s">
        <v>402</v>
      </c>
      <c r="B19" s="796"/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  <c r="R19" s="190"/>
      <c r="S19" s="190"/>
      <c r="T19" s="190"/>
      <c r="U19" s="190"/>
      <c r="V19" s="190"/>
      <c r="W19" s="190"/>
      <c r="X19" s="190"/>
    </row>
    <row r="20" spans="1:28" ht="9" customHeight="1">
      <c r="A20" s="871" t="s">
        <v>377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  <c r="R20" s="190"/>
      <c r="S20" s="190"/>
      <c r="T20" s="190"/>
      <c r="U20" s="190"/>
      <c r="V20" s="190"/>
      <c r="W20" s="190"/>
      <c r="X20" s="190"/>
    </row>
    <row r="21" spans="1:28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  <c r="R21" s="190"/>
      <c r="S21" s="190"/>
      <c r="T21" s="190"/>
      <c r="U21" s="190"/>
      <c r="V21" s="190"/>
      <c r="W21" s="190"/>
      <c r="X21" s="190"/>
    </row>
    <row r="23" spans="1:28" ht="13.25" customHeight="1">
      <c r="A23" s="250" t="s">
        <v>583</v>
      </c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8" ht="13.25" customHeight="1">
      <c r="A24" s="429" t="s">
        <v>248</v>
      </c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8" ht="4.25" customHeight="1" thickBot="1"/>
    <row r="26" spans="1:28" ht="16.25" customHeight="1">
      <c r="A26" s="568" t="s">
        <v>110</v>
      </c>
      <c r="B26" s="568">
        <v>2000</v>
      </c>
      <c r="C26" s="568">
        <v>2001</v>
      </c>
      <c r="D26" s="568">
        <v>2002</v>
      </c>
      <c r="E26" s="568">
        <v>2003</v>
      </c>
      <c r="F26" s="568">
        <v>2004</v>
      </c>
      <c r="G26" s="568">
        <v>2005</v>
      </c>
      <c r="H26" s="568">
        <v>2006</v>
      </c>
      <c r="I26" s="568">
        <v>2007</v>
      </c>
      <c r="J26" s="568">
        <v>2008</v>
      </c>
      <c r="K26" s="568">
        <v>2009</v>
      </c>
      <c r="L26" s="568">
        <v>2010</v>
      </c>
      <c r="M26" s="568">
        <v>2011</v>
      </c>
      <c r="N26" s="568">
        <v>2012</v>
      </c>
      <c r="O26" s="568">
        <v>2013</v>
      </c>
      <c r="P26" s="568">
        <v>2014</v>
      </c>
      <c r="Q26" s="568">
        <v>2015</v>
      </c>
      <c r="R26" s="568">
        <v>2016</v>
      </c>
      <c r="S26" s="568">
        <v>2017</v>
      </c>
      <c r="T26" s="732">
        <v>2018</v>
      </c>
      <c r="U26" s="568">
        <v>2019</v>
      </c>
      <c r="V26" s="568">
        <v>2020</v>
      </c>
      <c r="W26" s="568">
        <v>2021</v>
      </c>
      <c r="X26" s="568" t="s">
        <v>477</v>
      </c>
    </row>
    <row r="27" spans="1:28" ht="16.25" customHeight="1">
      <c r="A27" s="554" t="s">
        <v>54</v>
      </c>
      <c r="B27" s="731">
        <v>0</v>
      </c>
      <c r="C27" s="731">
        <v>0</v>
      </c>
      <c r="D27" s="731">
        <v>0</v>
      </c>
      <c r="E27" s="731">
        <v>0</v>
      </c>
      <c r="F27" s="731">
        <v>0</v>
      </c>
      <c r="G27" s="731">
        <v>0</v>
      </c>
      <c r="H27" s="731">
        <v>0</v>
      </c>
      <c r="I27" s="731">
        <v>0</v>
      </c>
      <c r="J27" s="731">
        <v>703680</v>
      </c>
      <c r="K27" s="731">
        <v>684400</v>
      </c>
      <c r="L27" s="555">
        <v>362160</v>
      </c>
      <c r="M27" s="555">
        <v>642960</v>
      </c>
      <c r="N27" s="555">
        <v>534600</v>
      </c>
      <c r="O27" s="555">
        <v>823960</v>
      </c>
      <c r="P27" s="555">
        <v>2421000</v>
      </c>
      <c r="Q27" s="555">
        <v>2744280</v>
      </c>
      <c r="R27" s="555">
        <v>2980080</v>
      </c>
      <c r="S27" s="555">
        <v>2533680</v>
      </c>
      <c r="T27" s="555">
        <f>SUM(T28:T39)</f>
        <v>779760</v>
      </c>
      <c r="U27" s="555">
        <f>SUM(U28:U39)</f>
        <v>515160</v>
      </c>
      <c r="V27" s="555">
        <f>SUM(V28:V39)</f>
        <v>467840</v>
      </c>
      <c r="W27" s="555">
        <f>SUM(W28:W39)</f>
        <v>193680</v>
      </c>
      <c r="X27" s="555">
        <f>SUM(X28:X39)</f>
        <v>1048680</v>
      </c>
    </row>
    <row r="28" spans="1:28" ht="15" customHeight="1">
      <c r="A28" s="76" t="s">
        <v>55</v>
      </c>
      <c r="B28" s="77">
        <v>0</v>
      </c>
      <c r="C28" s="77">
        <v>0</v>
      </c>
      <c r="D28" s="77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69840</v>
      </c>
      <c r="L28" s="204">
        <v>0</v>
      </c>
      <c r="M28" s="204">
        <v>157320</v>
      </c>
      <c r="N28" s="204">
        <v>77040</v>
      </c>
      <c r="O28" s="204">
        <v>28440</v>
      </c>
      <c r="P28" s="204">
        <v>222840</v>
      </c>
      <c r="Q28" s="204">
        <v>194400</v>
      </c>
      <c r="R28" s="204">
        <v>376920</v>
      </c>
      <c r="S28" s="204">
        <v>268200</v>
      </c>
      <c r="T28" s="204">
        <v>183600</v>
      </c>
      <c r="U28" s="204">
        <v>46440</v>
      </c>
      <c r="V28" s="204">
        <v>0</v>
      </c>
      <c r="W28" s="204">
        <v>0</v>
      </c>
      <c r="X28" s="204">
        <v>0</v>
      </c>
      <c r="AB28" s="77"/>
    </row>
    <row r="29" spans="1:28" ht="15" customHeight="1">
      <c r="A29" s="76" t="s">
        <v>56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282240</v>
      </c>
      <c r="L29" s="204">
        <v>0</v>
      </c>
      <c r="M29" s="204">
        <v>115200</v>
      </c>
      <c r="N29" s="204">
        <v>14040</v>
      </c>
      <c r="O29" s="204">
        <v>28440</v>
      </c>
      <c r="P29" s="204">
        <v>187920</v>
      </c>
      <c r="Q29" s="204">
        <v>204840</v>
      </c>
      <c r="R29" s="204">
        <v>249480</v>
      </c>
      <c r="S29" s="204">
        <v>241560</v>
      </c>
      <c r="T29" s="204">
        <v>234720</v>
      </c>
      <c r="U29" s="204">
        <v>0</v>
      </c>
      <c r="V29" s="204">
        <v>72360</v>
      </c>
      <c r="W29" s="204">
        <v>0</v>
      </c>
      <c r="X29" s="204">
        <v>135720</v>
      </c>
      <c r="AB29" s="77"/>
    </row>
    <row r="30" spans="1:28" ht="15" customHeight="1">
      <c r="A30" s="76" t="s">
        <v>57</v>
      </c>
      <c r="B30" s="77">
        <v>0</v>
      </c>
      <c r="C30" s="77">
        <v>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35280</v>
      </c>
      <c r="L30" s="204">
        <v>156600</v>
      </c>
      <c r="M30" s="204">
        <v>72000</v>
      </c>
      <c r="N30" s="204">
        <v>64440</v>
      </c>
      <c r="O30" s="204">
        <v>70920</v>
      </c>
      <c r="P30" s="204">
        <v>202680</v>
      </c>
      <c r="Q30" s="204">
        <v>181080</v>
      </c>
      <c r="R30" s="204">
        <v>168840</v>
      </c>
      <c r="S30" s="204">
        <v>176760</v>
      </c>
      <c r="T30" s="204">
        <v>45720</v>
      </c>
      <c r="U30" s="204">
        <v>92880</v>
      </c>
      <c r="V30" s="204">
        <v>52560</v>
      </c>
      <c r="W30" s="204">
        <v>31680</v>
      </c>
      <c r="X30" s="204">
        <v>139320</v>
      </c>
      <c r="AB30" s="77"/>
    </row>
    <row r="31" spans="1:28" ht="15" customHeight="1">
      <c r="A31" s="76" t="s">
        <v>58</v>
      </c>
      <c r="B31" s="77">
        <v>0</v>
      </c>
      <c r="C31" s="77">
        <v>0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61560</v>
      </c>
      <c r="L31" s="204">
        <v>52200</v>
      </c>
      <c r="M31" s="204">
        <v>56160</v>
      </c>
      <c r="N31" s="204">
        <v>0</v>
      </c>
      <c r="O31" s="204">
        <v>14400</v>
      </c>
      <c r="P31" s="204">
        <v>221760</v>
      </c>
      <c r="Q31" s="204">
        <v>263160</v>
      </c>
      <c r="R31" s="204">
        <v>272880</v>
      </c>
      <c r="S31" s="204">
        <v>144720</v>
      </c>
      <c r="T31" s="204">
        <v>45720</v>
      </c>
      <c r="U31" s="204">
        <v>0</v>
      </c>
      <c r="V31" s="204">
        <v>0</v>
      </c>
      <c r="W31" s="204">
        <v>0</v>
      </c>
      <c r="X31" s="204">
        <v>161280</v>
      </c>
      <c r="AB31" s="77"/>
    </row>
    <row r="32" spans="1:28" ht="15" customHeight="1">
      <c r="A32" s="76" t="s">
        <v>59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92880</v>
      </c>
      <c r="K32" s="77">
        <v>56880</v>
      </c>
      <c r="L32" s="204">
        <v>0</v>
      </c>
      <c r="M32" s="204">
        <v>59400</v>
      </c>
      <c r="N32" s="204">
        <v>178560</v>
      </c>
      <c r="O32" s="204">
        <v>14400</v>
      </c>
      <c r="P32" s="204">
        <v>175680</v>
      </c>
      <c r="Q32" s="204">
        <v>169560</v>
      </c>
      <c r="R32" s="204">
        <v>203760</v>
      </c>
      <c r="S32" s="204">
        <v>177120</v>
      </c>
      <c r="T32" s="204">
        <v>46800</v>
      </c>
      <c r="U32" s="204">
        <v>91800</v>
      </c>
      <c r="V32" s="204">
        <v>0</v>
      </c>
      <c r="W32" s="204">
        <v>49320</v>
      </c>
      <c r="X32" s="204">
        <v>46440</v>
      </c>
      <c r="AB32" s="77"/>
    </row>
    <row r="33" spans="1:28" ht="15" customHeight="1">
      <c r="A33" s="76" t="s">
        <v>60</v>
      </c>
      <c r="B33" s="77">
        <v>0</v>
      </c>
      <c r="C33" s="77">
        <v>0</v>
      </c>
      <c r="D33" s="77">
        <v>0</v>
      </c>
      <c r="E33" s="77">
        <v>0</v>
      </c>
      <c r="F33" s="77">
        <v>0</v>
      </c>
      <c r="G33" s="77">
        <v>0</v>
      </c>
      <c r="H33" s="77">
        <v>0</v>
      </c>
      <c r="I33" s="77">
        <v>0</v>
      </c>
      <c r="J33" s="77">
        <v>185760</v>
      </c>
      <c r="K33" s="77">
        <v>26280</v>
      </c>
      <c r="L33" s="204">
        <v>0</v>
      </c>
      <c r="M33" s="204">
        <v>0</v>
      </c>
      <c r="N33" s="204">
        <v>80640</v>
      </c>
      <c r="O33" s="204">
        <v>43200</v>
      </c>
      <c r="P33" s="204">
        <v>108360</v>
      </c>
      <c r="Q33" s="204">
        <v>110880</v>
      </c>
      <c r="R33" s="204">
        <v>284040</v>
      </c>
      <c r="S33" s="204">
        <v>174600</v>
      </c>
      <c r="T33" s="204">
        <v>45720</v>
      </c>
      <c r="U33" s="204">
        <v>66600</v>
      </c>
      <c r="V33" s="204">
        <v>0</v>
      </c>
      <c r="W33" s="204">
        <v>82440</v>
      </c>
      <c r="X33" s="204">
        <v>91440</v>
      </c>
      <c r="AB33" s="77"/>
    </row>
    <row r="34" spans="1:28" ht="15" customHeight="1">
      <c r="A34" s="76" t="s">
        <v>61</v>
      </c>
      <c r="B34" s="77">
        <v>0</v>
      </c>
      <c r="C34" s="77">
        <v>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92880</v>
      </c>
      <c r="K34" s="77">
        <v>0</v>
      </c>
      <c r="L34" s="204">
        <v>0</v>
      </c>
      <c r="M34" s="204">
        <v>28440</v>
      </c>
      <c r="N34" s="204">
        <v>48960</v>
      </c>
      <c r="O34" s="204">
        <v>14400</v>
      </c>
      <c r="P34" s="204">
        <v>236520</v>
      </c>
      <c r="Q34" s="204">
        <v>264960</v>
      </c>
      <c r="R34" s="204">
        <v>219960</v>
      </c>
      <c r="S34" s="204">
        <v>286560</v>
      </c>
      <c r="T34" s="204">
        <v>0</v>
      </c>
      <c r="U34" s="204">
        <v>23040</v>
      </c>
      <c r="V34" s="204">
        <v>108720</v>
      </c>
      <c r="W34" s="204">
        <v>0</v>
      </c>
      <c r="X34" s="204">
        <v>360360</v>
      </c>
      <c r="AB34" s="77"/>
    </row>
    <row r="35" spans="1:28" ht="15" customHeight="1">
      <c r="A35" s="76" t="s">
        <v>62</v>
      </c>
      <c r="B35" s="77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204">
        <v>0</v>
      </c>
      <c r="M35" s="204">
        <v>64440</v>
      </c>
      <c r="N35" s="204">
        <v>28440</v>
      </c>
      <c r="O35" s="204">
        <v>28800</v>
      </c>
      <c r="P35" s="204">
        <v>182520</v>
      </c>
      <c r="Q35" s="204">
        <v>236520</v>
      </c>
      <c r="R35" s="204">
        <v>271800</v>
      </c>
      <c r="S35" s="204">
        <v>158760</v>
      </c>
      <c r="T35" s="204">
        <v>0</v>
      </c>
      <c r="U35" s="204">
        <v>46440</v>
      </c>
      <c r="V35" s="204">
        <v>42480</v>
      </c>
      <c r="W35" s="204">
        <v>0</v>
      </c>
      <c r="X35" s="204">
        <v>0</v>
      </c>
      <c r="AB35" s="77"/>
    </row>
    <row r="36" spans="1:28" ht="15" customHeight="1">
      <c r="A36" s="76" t="s">
        <v>63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204">
        <v>0</v>
      </c>
      <c r="M36" s="204">
        <v>30960</v>
      </c>
      <c r="N36" s="204">
        <v>0</v>
      </c>
      <c r="O36" s="204">
        <v>24400</v>
      </c>
      <c r="P36" s="204">
        <v>210600</v>
      </c>
      <c r="Q36" s="204">
        <v>286200</v>
      </c>
      <c r="R36" s="204">
        <v>141120</v>
      </c>
      <c r="S36" s="204">
        <v>212040</v>
      </c>
      <c r="T36" s="204">
        <v>0</v>
      </c>
      <c r="U36" s="204">
        <v>46440</v>
      </c>
      <c r="V36" s="204">
        <v>42480</v>
      </c>
      <c r="W36" s="204">
        <v>0</v>
      </c>
      <c r="X36" s="204">
        <v>114120</v>
      </c>
      <c r="AB36" s="77"/>
    </row>
    <row r="37" spans="1:28" ht="15" customHeight="1">
      <c r="A37" s="76" t="s">
        <v>64</v>
      </c>
      <c r="B37" s="77">
        <v>0</v>
      </c>
      <c r="C37" s="77">
        <v>0</v>
      </c>
      <c r="D37" s="77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93000</v>
      </c>
      <c r="K37" s="77">
        <v>50040</v>
      </c>
      <c r="L37" s="204">
        <v>46800</v>
      </c>
      <c r="M37" s="204">
        <v>28440</v>
      </c>
      <c r="N37" s="204">
        <v>28440</v>
      </c>
      <c r="O37" s="204">
        <v>106560</v>
      </c>
      <c r="P37" s="204">
        <v>222120</v>
      </c>
      <c r="Q37" s="204">
        <v>252360</v>
      </c>
      <c r="R37" s="204">
        <v>225000</v>
      </c>
      <c r="S37" s="204">
        <v>255240</v>
      </c>
      <c r="T37" s="204">
        <v>86040</v>
      </c>
      <c r="U37" s="204">
        <v>46440</v>
      </c>
      <c r="V37" s="204">
        <v>42120</v>
      </c>
      <c r="W37" s="204">
        <v>9360</v>
      </c>
      <c r="X37" s="204">
        <v>0</v>
      </c>
      <c r="AB37" s="77"/>
    </row>
    <row r="38" spans="1:28" ht="15" customHeight="1">
      <c r="A38" s="76" t="s">
        <v>65</v>
      </c>
      <c r="B38" s="77">
        <v>0</v>
      </c>
      <c r="C38" s="77">
        <v>0</v>
      </c>
      <c r="D38" s="77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239160</v>
      </c>
      <c r="K38" s="77">
        <v>102280</v>
      </c>
      <c r="L38" s="204">
        <v>106560</v>
      </c>
      <c r="M38" s="204">
        <v>30600</v>
      </c>
      <c r="N38" s="204">
        <v>14040</v>
      </c>
      <c r="O38" s="204">
        <v>232200</v>
      </c>
      <c r="P38" s="204">
        <v>161280</v>
      </c>
      <c r="Q38" s="204">
        <v>312480</v>
      </c>
      <c r="R38" s="204">
        <v>269280</v>
      </c>
      <c r="S38" s="204">
        <v>135720</v>
      </c>
      <c r="T38" s="204">
        <v>45720</v>
      </c>
      <c r="U38" s="204">
        <v>0</v>
      </c>
      <c r="V38" s="204">
        <v>64640</v>
      </c>
      <c r="W38" s="204">
        <v>0</v>
      </c>
      <c r="X38" s="204">
        <v>0</v>
      </c>
      <c r="AB38" s="77"/>
    </row>
    <row r="39" spans="1:28" ht="15" customHeight="1" thickBot="1">
      <c r="A39" s="79" t="s">
        <v>66</v>
      </c>
      <c r="B39" s="100">
        <v>0</v>
      </c>
      <c r="C39" s="100">
        <v>0</v>
      </c>
      <c r="D39" s="100">
        <v>0</v>
      </c>
      <c r="E39" s="100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432">
        <v>0</v>
      </c>
      <c r="M39" s="432">
        <v>0</v>
      </c>
      <c r="N39" s="432">
        <v>0</v>
      </c>
      <c r="O39" s="432">
        <v>217800</v>
      </c>
      <c r="P39" s="432">
        <v>288720</v>
      </c>
      <c r="Q39" s="432">
        <v>267840</v>
      </c>
      <c r="R39" s="432">
        <v>297000</v>
      </c>
      <c r="S39" s="432">
        <v>302400</v>
      </c>
      <c r="T39" s="432">
        <v>45720</v>
      </c>
      <c r="U39" s="432">
        <v>55080</v>
      </c>
      <c r="V39" s="432">
        <v>42480</v>
      </c>
      <c r="W39" s="432">
        <v>20880</v>
      </c>
      <c r="X39" s="432">
        <v>0</v>
      </c>
      <c r="AB39" s="77"/>
    </row>
    <row r="40" spans="1:28" ht="9" customHeight="1">
      <c r="A40" s="778" t="s">
        <v>402</v>
      </c>
      <c r="B40" s="794"/>
      <c r="C40" s="794"/>
      <c r="D40" s="794"/>
      <c r="E40" s="794"/>
      <c r="F40" s="794"/>
      <c r="G40" s="794"/>
      <c r="H40" s="794"/>
      <c r="I40" s="794"/>
      <c r="J40" s="794"/>
      <c r="K40" s="794"/>
      <c r="L40" s="794"/>
      <c r="M40" s="794"/>
      <c r="N40" s="794"/>
      <c r="O40" s="794"/>
      <c r="P40" s="77"/>
      <c r="Q40" s="77"/>
      <c r="R40" s="77"/>
      <c r="S40" s="77"/>
      <c r="T40" s="77"/>
      <c r="U40" s="77"/>
      <c r="V40" s="77"/>
      <c r="W40" s="77"/>
      <c r="X40" s="77"/>
    </row>
    <row r="41" spans="1:28" ht="9" customHeight="1">
      <c r="A41" s="871" t="s">
        <v>377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</row>
    <row r="42" spans="1:28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</row>
    <row r="43" spans="1:28" ht="13.25" customHeight="1">
      <c r="A43" s="796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Hoja121">
    <tabColor theme="9" tint="0.59999389629810485"/>
  </sheetPr>
  <dimension ref="A2:Z22"/>
  <sheetViews>
    <sheetView showGridLines="0" zoomScaleNormal="100" workbookViewId="0">
      <selection activeCell="I6" sqref="I6:X18"/>
    </sheetView>
  </sheetViews>
  <sheetFormatPr baseColWidth="10" defaultColWidth="7" defaultRowHeight="13.25" customHeight="1"/>
  <cols>
    <col min="1" max="1" width="6" style="73" customWidth="1"/>
    <col min="2" max="8" width="8" style="73" hidden="1" customWidth="1"/>
    <col min="9" max="24" width="8" style="73" customWidth="1"/>
    <col min="25" max="25" width="7" style="73"/>
    <col min="26" max="26" width="7.59765625" style="73" bestFit="1" customWidth="1"/>
    <col min="27" max="16384" width="7" style="73"/>
  </cols>
  <sheetData>
    <row r="2" spans="1:26" ht="13.25" customHeight="1">
      <c r="A2" s="198" t="s">
        <v>584</v>
      </c>
    </row>
    <row r="3" spans="1:26" ht="13.25" customHeight="1">
      <c r="A3" s="199" t="s">
        <v>304</v>
      </c>
    </row>
    <row r="4" spans="1:26" ht="4.25" customHeight="1" thickBot="1"/>
    <row r="5" spans="1:26" ht="16.25" customHeight="1">
      <c r="A5" s="568" t="s">
        <v>110</v>
      </c>
      <c r="B5" s="565">
        <v>2000</v>
      </c>
      <c r="C5" s="565">
        <v>2001</v>
      </c>
      <c r="D5" s="565">
        <v>2002</v>
      </c>
      <c r="E5" s="565">
        <v>2003</v>
      </c>
      <c r="F5" s="565">
        <v>2004</v>
      </c>
      <c r="G5" s="565">
        <v>2005</v>
      </c>
      <c r="H5" s="565">
        <v>2006</v>
      </c>
      <c r="I5" s="565">
        <v>2007</v>
      </c>
      <c r="J5" s="565">
        <v>2008</v>
      </c>
      <c r="K5" s="565">
        <v>2009</v>
      </c>
      <c r="L5" s="565">
        <v>2010</v>
      </c>
      <c r="M5" s="565">
        <v>2011</v>
      </c>
      <c r="N5" s="565">
        <v>2012</v>
      </c>
      <c r="O5" s="565">
        <v>2013</v>
      </c>
      <c r="P5" s="565">
        <v>2014</v>
      </c>
      <c r="Q5" s="565">
        <v>2015</v>
      </c>
      <c r="R5" s="565">
        <v>2016</v>
      </c>
      <c r="S5" s="565">
        <v>2017</v>
      </c>
      <c r="T5" s="565">
        <v>2018</v>
      </c>
      <c r="U5" s="565">
        <v>2019</v>
      </c>
      <c r="V5" s="565">
        <v>2020</v>
      </c>
      <c r="W5" s="565">
        <v>2021</v>
      </c>
      <c r="X5" s="565" t="s">
        <v>477</v>
      </c>
    </row>
    <row r="6" spans="1:26" ht="16.25" customHeight="1">
      <c r="A6" s="554" t="s">
        <v>54</v>
      </c>
      <c r="B6" s="731">
        <v>277730275</v>
      </c>
      <c r="C6" s="731">
        <v>284655938</v>
      </c>
      <c r="D6" s="731">
        <v>306869737</v>
      </c>
      <c r="E6" s="731">
        <v>307389475</v>
      </c>
      <c r="F6" s="731">
        <v>309235302</v>
      </c>
      <c r="G6" s="731">
        <v>339316094</v>
      </c>
      <c r="H6" s="731">
        <v>370351908</v>
      </c>
      <c r="I6" s="952">
        <v>389383740</v>
      </c>
      <c r="J6" s="952">
        <v>438588810</v>
      </c>
      <c r="K6" s="952">
        <v>477680618</v>
      </c>
      <c r="L6" s="952">
        <v>509884071</v>
      </c>
      <c r="M6" s="952">
        <v>536104539</v>
      </c>
      <c r="N6" s="952">
        <v>573764987</v>
      </c>
      <c r="O6" s="952">
        <v>592367558</v>
      </c>
      <c r="P6" s="952">
        <v>623568649</v>
      </c>
      <c r="Q6" s="952">
        <v>671495588</v>
      </c>
      <c r="R6" s="952">
        <v>686163430</v>
      </c>
      <c r="S6" s="952">
        <v>705259679</v>
      </c>
      <c r="T6" s="952">
        <f>SUM(T7:T18)</f>
        <v>765785347</v>
      </c>
      <c r="U6" s="952">
        <f>SUM(U7:U18)</f>
        <v>794391606</v>
      </c>
      <c r="V6" s="952">
        <f>SUM(V7:V18)</f>
        <v>728096325</v>
      </c>
      <c r="W6" s="952">
        <f>SUM(W7:W18)</f>
        <v>772876344</v>
      </c>
      <c r="X6" s="952">
        <f>SUM(X7:X18)</f>
        <v>793622985</v>
      </c>
    </row>
    <row r="7" spans="1:26" ht="16.25" customHeight="1">
      <c r="A7" s="76" t="s">
        <v>55</v>
      </c>
      <c r="B7" s="77">
        <v>22373319</v>
      </c>
      <c r="C7" s="77">
        <v>22999141</v>
      </c>
      <c r="D7" s="77">
        <v>25464457</v>
      </c>
      <c r="E7" s="77">
        <v>25853653</v>
      </c>
      <c r="F7" s="77">
        <v>25820741</v>
      </c>
      <c r="G7" s="77">
        <v>26301687</v>
      </c>
      <c r="H7" s="77">
        <v>29302891</v>
      </c>
      <c r="I7" s="188">
        <v>32786877</v>
      </c>
      <c r="J7" s="188">
        <v>35194912</v>
      </c>
      <c r="K7" s="188">
        <v>39992557</v>
      </c>
      <c r="L7" s="188">
        <v>41349167</v>
      </c>
      <c r="M7" s="188">
        <v>44066720</v>
      </c>
      <c r="N7" s="188">
        <v>47131746</v>
      </c>
      <c r="O7" s="188">
        <v>50445148</v>
      </c>
      <c r="P7" s="188">
        <v>52250604</v>
      </c>
      <c r="Q7" s="188">
        <v>56553237</v>
      </c>
      <c r="R7" s="188">
        <v>56567967</v>
      </c>
      <c r="S7" s="188">
        <v>58684759</v>
      </c>
      <c r="T7" s="188">
        <v>62955740</v>
      </c>
      <c r="U7" s="188">
        <v>66290890</v>
      </c>
      <c r="V7" s="188">
        <v>67678202</v>
      </c>
      <c r="W7" s="188">
        <v>61653106</v>
      </c>
      <c r="X7" s="188">
        <v>63308086</v>
      </c>
      <c r="Z7" s="77"/>
    </row>
    <row r="8" spans="1:26" ht="16.25" customHeight="1">
      <c r="A8" s="76" t="s">
        <v>56</v>
      </c>
      <c r="B8" s="77">
        <v>21456520</v>
      </c>
      <c r="C8" s="77">
        <v>20737426</v>
      </c>
      <c r="D8" s="77">
        <v>22613244</v>
      </c>
      <c r="E8" s="77">
        <v>23783119</v>
      </c>
      <c r="F8" s="77">
        <v>24020398</v>
      </c>
      <c r="G8" s="77">
        <v>24332078</v>
      </c>
      <c r="H8" s="77">
        <v>26788992</v>
      </c>
      <c r="I8" s="188">
        <v>29120460</v>
      </c>
      <c r="J8" s="188">
        <v>32568536</v>
      </c>
      <c r="K8" s="188">
        <v>35874625</v>
      </c>
      <c r="L8" s="188">
        <v>38158224</v>
      </c>
      <c r="M8" s="188">
        <v>39516363</v>
      </c>
      <c r="N8" s="188">
        <v>43798432</v>
      </c>
      <c r="O8" s="188">
        <v>43340390</v>
      </c>
      <c r="P8" s="188">
        <v>47542142</v>
      </c>
      <c r="Q8" s="188">
        <v>50625456</v>
      </c>
      <c r="R8" s="188">
        <v>52710404</v>
      </c>
      <c r="S8" s="188">
        <v>52354092</v>
      </c>
      <c r="T8" s="188">
        <v>56935243</v>
      </c>
      <c r="U8" s="188">
        <v>60247330</v>
      </c>
      <c r="V8" s="188">
        <v>63094607</v>
      </c>
      <c r="W8" s="188">
        <v>56185223</v>
      </c>
      <c r="X8" s="188">
        <v>57693426</v>
      </c>
      <c r="Z8" s="77"/>
    </row>
    <row r="9" spans="1:26" ht="16.25" customHeight="1">
      <c r="A9" s="76" t="s">
        <v>57</v>
      </c>
      <c r="B9" s="77">
        <v>22820223</v>
      </c>
      <c r="C9" s="77">
        <v>23607411</v>
      </c>
      <c r="D9" s="77">
        <v>24178151</v>
      </c>
      <c r="E9" s="77">
        <v>26466273</v>
      </c>
      <c r="F9" s="77">
        <v>26016340</v>
      </c>
      <c r="G9" s="77">
        <v>27777289</v>
      </c>
      <c r="H9" s="77">
        <v>30075857</v>
      </c>
      <c r="I9" s="188">
        <v>32793709</v>
      </c>
      <c r="J9" s="188">
        <v>35457368</v>
      </c>
      <c r="K9" s="188">
        <v>38397018</v>
      </c>
      <c r="L9" s="188">
        <v>43415386</v>
      </c>
      <c r="M9" s="188">
        <v>44646477</v>
      </c>
      <c r="N9" s="188">
        <v>48937912</v>
      </c>
      <c r="O9" s="188">
        <v>49313357</v>
      </c>
      <c r="P9" s="188">
        <v>50412472</v>
      </c>
      <c r="Q9" s="188">
        <v>57112272</v>
      </c>
      <c r="R9" s="188">
        <v>57647552</v>
      </c>
      <c r="S9" s="188">
        <v>57735770</v>
      </c>
      <c r="T9" s="188">
        <v>65221102</v>
      </c>
      <c r="U9" s="188">
        <v>66162350</v>
      </c>
      <c r="V9" s="188">
        <v>65145181</v>
      </c>
      <c r="W9" s="188">
        <v>63645817</v>
      </c>
      <c r="X9" s="188">
        <v>65354288</v>
      </c>
      <c r="Z9" s="77"/>
    </row>
    <row r="10" spans="1:26" ht="16.25" customHeight="1">
      <c r="A10" s="76" t="s">
        <v>58</v>
      </c>
      <c r="B10" s="77">
        <v>21858882</v>
      </c>
      <c r="C10" s="77">
        <v>22725283</v>
      </c>
      <c r="D10" s="77">
        <v>24430174</v>
      </c>
      <c r="E10" s="77">
        <v>26849194</v>
      </c>
      <c r="F10" s="77">
        <v>24884247</v>
      </c>
      <c r="G10" s="77">
        <v>27186482</v>
      </c>
      <c r="H10" s="77">
        <v>29257808</v>
      </c>
      <c r="I10" s="188">
        <v>31569610</v>
      </c>
      <c r="J10" s="188">
        <v>35471175</v>
      </c>
      <c r="K10" s="188">
        <v>38516339</v>
      </c>
      <c r="L10" s="188">
        <v>40000074</v>
      </c>
      <c r="M10" s="188">
        <v>44347863</v>
      </c>
      <c r="N10" s="188">
        <v>45960538</v>
      </c>
      <c r="O10" s="188">
        <v>48621523</v>
      </c>
      <c r="P10" s="188">
        <v>49838800</v>
      </c>
      <c r="Q10" s="188">
        <v>55346615</v>
      </c>
      <c r="R10" s="188">
        <v>56370576</v>
      </c>
      <c r="S10" s="188">
        <v>55345708</v>
      </c>
      <c r="T10" s="188">
        <v>62423008</v>
      </c>
      <c r="U10" s="188">
        <v>63136311</v>
      </c>
      <c r="V10" s="188">
        <v>54931461</v>
      </c>
      <c r="W10" s="188">
        <v>62262107</v>
      </c>
      <c r="X10" s="188">
        <v>63933435</v>
      </c>
      <c r="Z10" s="77"/>
    </row>
    <row r="11" spans="1:26" ht="16.25" customHeight="1">
      <c r="A11" s="76" t="s">
        <v>59</v>
      </c>
      <c r="B11" s="77">
        <v>23265464</v>
      </c>
      <c r="C11" s="77">
        <v>24560683</v>
      </c>
      <c r="D11" s="77">
        <v>26265202</v>
      </c>
      <c r="E11" s="77">
        <v>26593123</v>
      </c>
      <c r="F11" s="77">
        <v>24526940</v>
      </c>
      <c r="G11" s="77">
        <v>28396478</v>
      </c>
      <c r="H11" s="77">
        <v>31245086</v>
      </c>
      <c r="I11" s="188">
        <v>31935035</v>
      </c>
      <c r="J11" s="188">
        <v>37446468</v>
      </c>
      <c r="K11" s="188">
        <v>38882605</v>
      </c>
      <c r="L11" s="188">
        <v>41475167</v>
      </c>
      <c r="M11" s="188">
        <v>45121873</v>
      </c>
      <c r="N11" s="188">
        <v>48864249</v>
      </c>
      <c r="O11" s="188">
        <v>51829925</v>
      </c>
      <c r="P11" s="188">
        <v>53241351</v>
      </c>
      <c r="Q11" s="188">
        <v>57860128</v>
      </c>
      <c r="R11" s="188">
        <v>59784363</v>
      </c>
      <c r="S11" s="188">
        <v>60216823</v>
      </c>
      <c r="T11" s="188">
        <v>64669288</v>
      </c>
      <c r="U11" s="188">
        <v>67346453</v>
      </c>
      <c r="V11" s="188">
        <v>53243992</v>
      </c>
      <c r="W11" s="188">
        <v>64261014</v>
      </c>
      <c r="X11" s="188">
        <v>65985999</v>
      </c>
      <c r="Z11" s="77"/>
    </row>
    <row r="12" spans="1:26" ht="16.25" customHeight="1">
      <c r="A12" s="76" t="s">
        <v>60</v>
      </c>
      <c r="B12" s="77">
        <v>23172471</v>
      </c>
      <c r="C12" s="77">
        <v>23438714</v>
      </c>
      <c r="D12" s="77">
        <v>24835322</v>
      </c>
      <c r="E12" s="77">
        <v>24970337</v>
      </c>
      <c r="F12" s="77">
        <v>24921620</v>
      </c>
      <c r="G12" s="77">
        <v>28190529</v>
      </c>
      <c r="H12" s="77">
        <v>30960034</v>
      </c>
      <c r="I12" s="188">
        <v>32524264</v>
      </c>
      <c r="J12" s="188">
        <v>35964188</v>
      </c>
      <c r="K12" s="188">
        <v>40262830</v>
      </c>
      <c r="L12" s="188">
        <v>41008311</v>
      </c>
      <c r="M12" s="188">
        <v>43071858</v>
      </c>
      <c r="N12" s="188">
        <v>48512243</v>
      </c>
      <c r="O12" s="188">
        <v>47497763</v>
      </c>
      <c r="P12" s="188">
        <v>49786451</v>
      </c>
      <c r="Q12" s="188">
        <v>54695570</v>
      </c>
      <c r="R12" s="188">
        <v>57808583</v>
      </c>
      <c r="S12" s="188">
        <v>59407745</v>
      </c>
      <c r="T12" s="188">
        <v>63118445</v>
      </c>
      <c r="U12" s="188">
        <v>64094616</v>
      </c>
      <c r="V12" s="188">
        <v>54135932</v>
      </c>
      <c r="W12" s="188">
        <v>63452889</v>
      </c>
      <c r="X12" s="188">
        <v>65156181</v>
      </c>
      <c r="Z12" s="77"/>
    </row>
    <row r="13" spans="1:26" ht="16.25" customHeight="1">
      <c r="A13" s="76" t="s">
        <v>61</v>
      </c>
      <c r="B13" s="77">
        <v>23298279</v>
      </c>
      <c r="C13" s="77">
        <v>23891191</v>
      </c>
      <c r="D13" s="77">
        <v>26593252</v>
      </c>
      <c r="E13" s="77">
        <v>25226142</v>
      </c>
      <c r="F13" s="77">
        <v>24864036</v>
      </c>
      <c r="G13" s="77">
        <v>28452821</v>
      </c>
      <c r="H13" s="77">
        <v>31661543</v>
      </c>
      <c r="I13" s="188">
        <v>32741243</v>
      </c>
      <c r="J13" s="188">
        <v>36524343</v>
      </c>
      <c r="K13" s="188">
        <v>41230510</v>
      </c>
      <c r="L13" s="188">
        <v>42492368</v>
      </c>
      <c r="M13" s="188">
        <v>42151340</v>
      </c>
      <c r="N13" s="188">
        <v>47527308</v>
      </c>
      <c r="O13" s="188">
        <v>49194436</v>
      </c>
      <c r="P13" s="188">
        <v>52190702</v>
      </c>
      <c r="Q13" s="188">
        <v>56144809</v>
      </c>
      <c r="R13" s="188">
        <v>58906411</v>
      </c>
      <c r="S13" s="188">
        <v>61596538</v>
      </c>
      <c r="T13" s="188">
        <v>64976907</v>
      </c>
      <c r="U13" s="188">
        <v>68356454</v>
      </c>
      <c r="V13" s="188">
        <v>57605285</v>
      </c>
      <c r="W13" s="188">
        <v>65191829</v>
      </c>
      <c r="X13" s="188">
        <v>66941800</v>
      </c>
      <c r="Z13" s="77"/>
    </row>
    <row r="14" spans="1:26" ht="16.25" customHeight="1">
      <c r="A14" s="76" t="s">
        <v>62</v>
      </c>
      <c r="B14" s="77">
        <v>24047000</v>
      </c>
      <c r="C14" s="77">
        <v>24012015</v>
      </c>
      <c r="D14" s="77">
        <v>26757910</v>
      </c>
      <c r="E14" s="77">
        <v>24704410</v>
      </c>
      <c r="F14" s="77">
        <v>24957464</v>
      </c>
      <c r="G14" s="77">
        <v>29889957</v>
      </c>
      <c r="H14" s="77">
        <v>31674025</v>
      </c>
      <c r="I14" s="188">
        <v>32044126</v>
      </c>
      <c r="J14" s="188">
        <v>37062689</v>
      </c>
      <c r="K14" s="188">
        <v>40676567</v>
      </c>
      <c r="L14" s="188">
        <v>42446312</v>
      </c>
      <c r="M14" s="188">
        <v>44528066</v>
      </c>
      <c r="N14" s="188">
        <v>48597895</v>
      </c>
      <c r="O14" s="188">
        <v>51466202</v>
      </c>
      <c r="P14" s="188">
        <v>52714247</v>
      </c>
      <c r="Q14" s="188">
        <v>56755885</v>
      </c>
      <c r="R14" s="188">
        <v>57445319</v>
      </c>
      <c r="S14" s="188">
        <v>61219057</v>
      </c>
      <c r="T14" s="188">
        <v>66122637</v>
      </c>
      <c r="U14" s="188">
        <v>68250344</v>
      </c>
      <c r="V14" s="188">
        <v>59671741</v>
      </c>
      <c r="W14" s="188">
        <v>66191579</v>
      </c>
      <c r="X14" s="188">
        <v>67968387</v>
      </c>
      <c r="Z14" s="77"/>
    </row>
    <row r="15" spans="1:26" ht="16.25" customHeight="1">
      <c r="A15" s="76" t="s">
        <v>63</v>
      </c>
      <c r="B15" s="77">
        <v>23982185</v>
      </c>
      <c r="C15" s="77">
        <v>23019974</v>
      </c>
      <c r="D15" s="77">
        <v>25642079</v>
      </c>
      <c r="E15" s="77">
        <v>24861598</v>
      </c>
      <c r="F15" s="77">
        <v>25649481</v>
      </c>
      <c r="G15" s="77">
        <v>29940799</v>
      </c>
      <c r="H15" s="77">
        <v>31204139</v>
      </c>
      <c r="I15" s="188">
        <v>31380594</v>
      </c>
      <c r="J15" s="188">
        <v>37554696</v>
      </c>
      <c r="K15" s="188">
        <v>39493760</v>
      </c>
      <c r="L15" s="188">
        <v>43262179</v>
      </c>
      <c r="M15" s="188">
        <v>45922612</v>
      </c>
      <c r="N15" s="188">
        <v>45073064</v>
      </c>
      <c r="O15" s="188">
        <v>48552863</v>
      </c>
      <c r="P15" s="188">
        <v>52142359</v>
      </c>
      <c r="Q15" s="188">
        <v>55895278</v>
      </c>
      <c r="R15" s="188">
        <v>55729271</v>
      </c>
      <c r="S15" s="188">
        <v>58678861</v>
      </c>
      <c r="T15" s="188">
        <v>63466627</v>
      </c>
      <c r="U15" s="188">
        <v>67158159</v>
      </c>
      <c r="V15" s="188">
        <v>61403450</v>
      </c>
      <c r="W15" s="188">
        <v>64780787</v>
      </c>
      <c r="X15" s="188">
        <v>66519725</v>
      </c>
      <c r="Z15" s="77"/>
    </row>
    <row r="16" spans="1:26" ht="16.25" customHeight="1">
      <c r="A16" s="76" t="s">
        <v>64</v>
      </c>
      <c r="B16" s="77">
        <v>24361895</v>
      </c>
      <c r="C16" s="77">
        <v>25379203</v>
      </c>
      <c r="D16" s="77">
        <v>27135842</v>
      </c>
      <c r="E16" s="77">
        <v>26342276</v>
      </c>
      <c r="F16" s="77">
        <v>27382817</v>
      </c>
      <c r="G16" s="77">
        <v>30894448</v>
      </c>
      <c r="H16" s="77">
        <v>32779083</v>
      </c>
      <c r="I16" s="188">
        <v>35062415</v>
      </c>
      <c r="J16" s="188">
        <v>39210098</v>
      </c>
      <c r="K16" s="188">
        <v>42372126</v>
      </c>
      <c r="L16" s="188">
        <v>45031018</v>
      </c>
      <c r="M16" s="188">
        <v>46705564</v>
      </c>
      <c r="N16" s="188">
        <v>51213204</v>
      </c>
      <c r="O16" s="188">
        <v>51582191</v>
      </c>
      <c r="P16" s="188">
        <v>55045028</v>
      </c>
      <c r="Q16" s="188">
        <v>58153402</v>
      </c>
      <c r="R16" s="188">
        <v>58093307</v>
      </c>
      <c r="S16" s="188">
        <v>60809257</v>
      </c>
      <c r="T16" s="188">
        <v>65899672</v>
      </c>
      <c r="U16" s="188">
        <v>70394038</v>
      </c>
      <c r="V16" s="188">
        <v>64284272</v>
      </c>
      <c r="W16" s="188">
        <v>67571911</v>
      </c>
      <c r="X16" s="188">
        <v>69385772</v>
      </c>
      <c r="Z16" s="77"/>
    </row>
    <row r="17" spans="1:26" ht="16.25" customHeight="1">
      <c r="A17" s="76" t="s">
        <v>65</v>
      </c>
      <c r="B17" s="77">
        <v>23865744</v>
      </c>
      <c r="C17" s="77">
        <v>24995920</v>
      </c>
      <c r="D17" s="77">
        <v>26536901</v>
      </c>
      <c r="E17" s="77">
        <v>25969538</v>
      </c>
      <c r="F17" s="77">
        <v>27994465</v>
      </c>
      <c r="G17" s="77">
        <v>29077937</v>
      </c>
      <c r="H17" s="77">
        <v>32886179</v>
      </c>
      <c r="I17" s="188">
        <v>34229328</v>
      </c>
      <c r="J17" s="188">
        <v>37689819</v>
      </c>
      <c r="K17" s="188">
        <v>40639574</v>
      </c>
      <c r="L17" s="188">
        <v>44912803</v>
      </c>
      <c r="M17" s="188">
        <v>47529891</v>
      </c>
      <c r="N17" s="188">
        <v>48944429</v>
      </c>
      <c r="O17" s="188">
        <v>49300401</v>
      </c>
      <c r="P17" s="188">
        <v>53545085</v>
      </c>
      <c r="Q17" s="188">
        <v>56301115</v>
      </c>
      <c r="R17" s="188">
        <v>56455917</v>
      </c>
      <c r="S17" s="188">
        <v>58717703</v>
      </c>
      <c r="T17" s="188">
        <v>63978857</v>
      </c>
      <c r="U17" s="188">
        <v>66323231</v>
      </c>
      <c r="V17" s="188">
        <v>62040785</v>
      </c>
      <c r="W17" s="188">
        <v>67995450</v>
      </c>
      <c r="X17" s="188">
        <v>69820680</v>
      </c>
      <c r="Z17" s="77"/>
    </row>
    <row r="18" spans="1:26" ht="16.25" customHeight="1" thickBot="1">
      <c r="A18" s="79" t="s">
        <v>66</v>
      </c>
      <c r="B18" s="100">
        <v>23228303</v>
      </c>
      <c r="C18" s="100">
        <v>25288977</v>
      </c>
      <c r="D18" s="100">
        <v>26417203</v>
      </c>
      <c r="E18" s="100">
        <v>25769812</v>
      </c>
      <c r="F18" s="100">
        <v>28196753</v>
      </c>
      <c r="G18" s="100">
        <v>28875589</v>
      </c>
      <c r="H18" s="100">
        <v>32516271</v>
      </c>
      <c r="I18" s="953">
        <v>33196079</v>
      </c>
      <c r="J18" s="953">
        <v>38444518</v>
      </c>
      <c r="K18" s="953">
        <v>41342107</v>
      </c>
      <c r="L18" s="953">
        <v>46333062</v>
      </c>
      <c r="M18" s="953">
        <v>48495912</v>
      </c>
      <c r="N18" s="953">
        <v>49203967</v>
      </c>
      <c r="O18" s="953">
        <v>51223359</v>
      </c>
      <c r="P18" s="953">
        <v>54859408</v>
      </c>
      <c r="Q18" s="953">
        <v>56051821</v>
      </c>
      <c r="R18" s="953">
        <v>58643760</v>
      </c>
      <c r="S18" s="953">
        <v>60493366</v>
      </c>
      <c r="T18" s="953">
        <v>66017821</v>
      </c>
      <c r="U18" s="953">
        <v>66631430</v>
      </c>
      <c r="V18" s="953">
        <v>64861417</v>
      </c>
      <c r="W18" s="953">
        <v>69684632</v>
      </c>
      <c r="X18" s="953">
        <v>71555206</v>
      </c>
      <c r="Z18" s="77"/>
    </row>
    <row r="19" spans="1:26" ht="9" customHeight="1">
      <c r="A19" s="778" t="s">
        <v>402</v>
      </c>
      <c r="B19" s="794"/>
      <c r="C19" s="794"/>
      <c r="D19" s="794"/>
      <c r="E19" s="794"/>
      <c r="F19" s="794"/>
      <c r="G19" s="794"/>
      <c r="H19" s="794"/>
      <c r="I19" s="794"/>
      <c r="J19" s="794"/>
      <c r="K19" s="794"/>
      <c r="L19" s="794"/>
      <c r="M19" s="794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</row>
    <row r="20" spans="1:26" ht="9" customHeight="1">
      <c r="A20" s="871" t="s">
        <v>378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</row>
    <row r="21" spans="1:26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</row>
    <row r="22" spans="1:26" ht="13.25" customHeight="1">
      <c r="A22" s="796"/>
      <c r="B22" s="796"/>
      <c r="C22" s="796"/>
      <c r="D22" s="796"/>
      <c r="E22" s="796"/>
      <c r="F22" s="796"/>
      <c r="G22" s="796"/>
      <c r="H22" s="796"/>
      <c r="I22" s="796"/>
      <c r="J22" s="796"/>
      <c r="K22" s="796"/>
      <c r="L22" s="796"/>
      <c r="M22" s="796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Hoja122">
    <tabColor theme="9" tint="0.59999389629810485"/>
  </sheetPr>
  <dimension ref="A1:Z45"/>
  <sheetViews>
    <sheetView showGridLines="0" zoomScaleNormal="100" workbookViewId="0">
      <selection activeCell="AJ61" sqref="AJ61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1" width="0" style="73" hidden="1" customWidth="1"/>
    <col min="12" max="24" width="9" style="73" customWidth="1"/>
    <col min="25" max="25" width="7" style="73"/>
    <col min="26" max="26" width="7.59765625" style="73" bestFit="1" customWidth="1"/>
    <col min="27" max="16384" width="7" style="73"/>
  </cols>
  <sheetData>
    <row r="1" spans="1:24" ht="13.25" customHeight="1">
      <c r="A1" s="1001"/>
      <c r="B1" s="1001"/>
      <c r="C1" s="1001"/>
      <c r="D1" s="1001"/>
      <c r="E1" s="1001"/>
    </row>
    <row r="2" spans="1:24" ht="13.25" customHeight="1">
      <c r="A2" s="198" t="s">
        <v>585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1:24" ht="13.25" customHeight="1">
      <c r="A3" s="199" t="s">
        <v>304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1:24" ht="4.25" customHeight="1" thickBot="1"/>
    <row r="5" spans="1:24" ht="16.25" customHeight="1">
      <c r="A5" s="568" t="s">
        <v>110</v>
      </c>
      <c r="B5" s="565">
        <v>2000</v>
      </c>
      <c r="C5" s="565">
        <v>2001</v>
      </c>
      <c r="D5" s="565">
        <v>2002</v>
      </c>
      <c r="E5" s="565">
        <v>2003</v>
      </c>
      <c r="F5" s="565">
        <v>2004</v>
      </c>
      <c r="G5" s="565">
        <v>2005</v>
      </c>
      <c r="H5" s="565">
        <v>2006</v>
      </c>
      <c r="I5" s="565">
        <v>2007</v>
      </c>
      <c r="J5" s="565">
        <v>2008</v>
      </c>
      <c r="K5" s="565">
        <v>2009</v>
      </c>
      <c r="L5" s="565">
        <v>2010</v>
      </c>
      <c r="M5" s="565">
        <v>2011</v>
      </c>
      <c r="N5" s="565">
        <v>2012</v>
      </c>
      <c r="O5" s="565">
        <v>2013</v>
      </c>
      <c r="P5" s="565">
        <v>2014</v>
      </c>
      <c r="Q5" s="565">
        <v>2015</v>
      </c>
      <c r="R5" s="565">
        <v>2016</v>
      </c>
      <c r="S5" s="565">
        <v>2017</v>
      </c>
      <c r="T5" s="565">
        <v>2018</v>
      </c>
      <c r="U5" s="565">
        <v>2019</v>
      </c>
      <c r="V5" s="565">
        <v>2020</v>
      </c>
      <c r="W5" s="565">
        <v>2021</v>
      </c>
      <c r="X5" s="565" t="s">
        <v>347</v>
      </c>
    </row>
    <row r="6" spans="1:24" ht="16.25" customHeight="1">
      <c r="A6" s="554" t="s">
        <v>54</v>
      </c>
      <c r="B6" s="731">
        <v>0</v>
      </c>
      <c r="C6" s="731">
        <v>0</v>
      </c>
      <c r="D6" s="731">
        <v>520000</v>
      </c>
      <c r="E6" s="731">
        <v>60000</v>
      </c>
      <c r="F6" s="731">
        <v>0</v>
      </c>
      <c r="G6" s="731">
        <v>0</v>
      </c>
      <c r="H6" s="731">
        <v>0</v>
      </c>
      <c r="I6" s="731">
        <v>0</v>
      </c>
      <c r="J6" s="731">
        <v>0</v>
      </c>
      <c r="K6" s="731">
        <v>0</v>
      </c>
      <c r="L6" s="737">
        <v>116810</v>
      </c>
      <c r="M6" s="737">
        <v>26960</v>
      </c>
      <c r="N6" s="737">
        <v>25664</v>
      </c>
      <c r="O6" s="737">
        <v>0</v>
      </c>
      <c r="P6" s="737">
        <v>0</v>
      </c>
      <c r="Q6" s="737">
        <v>0</v>
      </c>
      <c r="R6" s="737">
        <v>0</v>
      </c>
      <c r="S6" s="737">
        <v>0</v>
      </c>
      <c r="T6" s="737">
        <v>0</v>
      </c>
      <c r="U6" s="737">
        <v>0</v>
      </c>
      <c r="V6" s="737">
        <v>0</v>
      </c>
      <c r="W6" s="737">
        <v>0</v>
      </c>
      <c r="X6" s="737">
        <v>0</v>
      </c>
    </row>
    <row r="7" spans="1:24" ht="15" customHeight="1">
      <c r="A7" s="76" t="s">
        <v>55</v>
      </c>
      <c r="B7" s="77">
        <v>0</v>
      </c>
      <c r="C7" s="77">
        <v>0</v>
      </c>
      <c r="D7" s="77">
        <v>40000</v>
      </c>
      <c r="E7" s="77">
        <v>50000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>
        <v>0</v>
      </c>
      <c r="L7" s="430">
        <v>0</v>
      </c>
      <c r="M7" s="430">
        <v>0</v>
      </c>
      <c r="N7" s="430">
        <v>0</v>
      </c>
      <c r="O7" s="430">
        <v>0</v>
      </c>
      <c r="P7" s="430">
        <v>0</v>
      </c>
      <c r="Q7" s="430">
        <v>0</v>
      </c>
      <c r="R7" s="430">
        <v>0</v>
      </c>
      <c r="S7" s="430">
        <v>0</v>
      </c>
      <c r="T7" s="430">
        <v>0</v>
      </c>
      <c r="U7" s="430">
        <v>0</v>
      </c>
      <c r="V7" s="430">
        <v>0</v>
      </c>
      <c r="W7" s="430">
        <v>0</v>
      </c>
      <c r="X7" s="430">
        <v>0</v>
      </c>
    </row>
    <row r="8" spans="1:24" ht="15" customHeight="1">
      <c r="A8" s="76" t="s">
        <v>56</v>
      </c>
      <c r="B8" s="77">
        <v>0</v>
      </c>
      <c r="C8" s="77">
        <v>0</v>
      </c>
      <c r="D8" s="77">
        <v>40000</v>
      </c>
      <c r="E8" s="77">
        <v>10000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430">
        <v>0</v>
      </c>
      <c r="M8" s="430">
        <v>0</v>
      </c>
      <c r="N8" s="430">
        <v>0</v>
      </c>
      <c r="O8" s="430">
        <v>0</v>
      </c>
      <c r="P8" s="430">
        <v>0</v>
      </c>
      <c r="Q8" s="430">
        <v>0</v>
      </c>
      <c r="R8" s="430">
        <v>0</v>
      </c>
      <c r="S8" s="430">
        <v>0</v>
      </c>
      <c r="T8" s="430">
        <v>0</v>
      </c>
      <c r="U8" s="430">
        <v>0</v>
      </c>
      <c r="V8" s="430">
        <v>0</v>
      </c>
      <c r="W8" s="430">
        <v>0</v>
      </c>
      <c r="X8" s="430">
        <v>0</v>
      </c>
    </row>
    <row r="9" spans="1:24" ht="15" customHeight="1">
      <c r="A9" s="76" t="s">
        <v>57</v>
      </c>
      <c r="B9" s="77">
        <v>0</v>
      </c>
      <c r="C9" s="77">
        <v>0</v>
      </c>
      <c r="D9" s="77">
        <v>20000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430">
        <v>0</v>
      </c>
      <c r="M9" s="430">
        <v>0</v>
      </c>
      <c r="N9" s="430">
        <v>0</v>
      </c>
      <c r="O9" s="430">
        <v>0</v>
      </c>
      <c r="P9" s="430">
        <v>0</v>
      </c>
      <c r="Q9" s="430">
        <v>0</v>
      </c>
      <c r="R9" s="430">
        <v>0</v>
      </c>
      <c r="S9" s="430">
        <v>0</v>
      </c>
      <c r="T9" s="430">
        <v>0</v>
      </c>
      <c r="U9" s="430">
        <v>0</v>
      </c>
      <c r="V9" s="430">
        <v>0</v>
      </c>
      <c r="W9" s="430">
        <v>0</v>
      </c>
      <c r="X9" s="430">
        <v>0</v>
      </c>
    </row>
    <row r="10" spans="1:24" ht="15" customHeight="1">
      <c r="A10" s="76" t="s">
        <v>58</v>
      </c>
      <c r="B10" s="77">
        <v>0</v>
      </c>
      <c r="C10" s="77">
        <v>0</v>
      </c>
      <c r="D10" s="77">
        <v>20000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430">
        <v>0</v>
      </c>
      <c r="M10" s="430">
        <v>26960</v>
      </c>
      <c r="N10" s="430">
        <v>0</v>
      </c>
      <c r="O10" s="430">
        <v>0</v>
      </c>
      <c r="P10" s="430">
        <v>0</v>
      </c>
      <c r="Q10" s="430">
        <v>0</v>
      </c>
      <c r="R10" s="430">
        <v>0</v>
      </c>
      <c r="S10" s="430">
        <v>0</v>
      </c>
      <c r="T10" s="430">
        <v>0</v>
      </c>
      <c r="U10" s="430">
        <v>0</v>
      </c>
      <c r="V10" s="430">
        <v>0</v>
      </c>
      <c r="W10" s="430">
        <v>0</v>
      </c>
      <c r="X10" s="430">
        <v>0</v>
      </c>
    </row>
    <row r="11" spans="1:24" ht="15" customHeight="1">
      <c r="A11" s="76" t="s">
        <v>59</v>
      </c>
      <c r="B11" s="77">
        <v>0</v>
      </c>
      <c r="C11" s="77">
        <v>0</v>
      </c>
      <c r="D11" s="77">
        <v>40000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430">
        <v>0</v>
      </c>
      <c r="M11" s="430">
        <v>0</v>
      </c>
      <c r="N11" s="430">
        <v>0</v>
      </c>
      <c r="O11" s="430">
        <v>0</v>
      </c>
      <c r="P11" s="430">
        <v>0</v>
      </c>
      <c r="Q11" s="430">
        <v>0</v>
      </c>
      <c r="R11" s="430">
        <v>0</v>
      </c>
      <c r="S11" s="430">
        <v>0</v>
      </c>
      <c r="T11" s="430">
        <v>0</v>
      </c>
      <c r="U11" s="430">
        <v>0</v>
      </c>
      <c r="V11" s="430">
        <v>0</v>
      </c>
      <c r="W11" s="430">
        <v>0</v>
      </c>
      <c r="X11" s="430">
        <v>0</v>
      </c>
    </row>
    <row r="12" spans="1:24" ht="15" customHeight="1">
      <c r="A12" s="76" t="s">
        <v>60</v>
      </c>
      <c r="B12" s="77">
        <v>0</v>
      </c>
      <c r="C12" s="77">
        <v>0</v>
      </c>
      <c r="D12" s="77">
        <v>40000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430">
        <v>33696</v>
      </c>
      <c r="M12" s="430">
        <v>0</v>
      </c>
      <c r="N12" s="430">
        <v>0</v>
      </c>
      <c r="O12" s="430">
        <v>0</v>
      </c>
      <c r="P12" s="430">
        <v>0</v>
      </c>
      <c r="Q12" s="430">
        <v>0</v>
      </c>
      <c r="R12" s="430">
        <v>0</v>
      </c>
      <c r="S12" s="430">
        <v>0</v>
      </c>
      <c r="T12" s="430">
        <v>0</v>
      </c>
      <c r="U12" s="430">
        <v>0</v>
      </c>
      <c r="V12" s="430">
        <v>0</v>
      </c>
      <c r="W12" s="430">
        <v>0</v>
      </c>
      <c r="X12" s="430">
        <v>0</v>
      </c>
    </row>
    <row r="13" spans="1:24" ht="15" customHeight="1">
      <c r="A13" s="76" t="s">
        <v>61</v>
      </c>
      <c r="B13" s="77">
        <v>0</v>
      </c>
      <c r="C13" s="77">
        <v>0</v>
      </c>
      <c r="D13" s="77">
        <v>70000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430">
        <v>34224</v>
      </c>
      <c r="M13" s="430">
        <v>0</v>
      </c>
      <c r="N13" s="430">
        <v>0</v>
      </c>
      <c r="O13" s="430">
        <v>0</v>
      </c>
      <c r="P13" s="430">
        <v>0</v>
      </c>
      <c r="Q13" s="430">
        <v>0</v>
      </c>
      <c r="R13" s="430">
        <v>0</v>
      </c>
      <c r="S13" s="430">
        <v>0</v>
      </c>
      <c r="T13" s="430">
        <v>0</v>
      </c>
      <c r="U13" s="430">
        <v>0</v>
      </c>
      <c r="V13" s="430">
        <v>0</v>
      </c>
      <c r="W13" s="430">
        <v>0</v>
      </c>
      <c r="X13" s="430">
        <v>0</v>
      </c>
    </row>
    <row r="14" spans="1:24" ht="15" customHeight="1">
      <c r="A14" s="76" t="s">
        <v>62</v>
      </c>
      <c r="B14" s="77">
        <v>0</v>
      </c>
      <c r="C14" s="77">
        <v>0</v>
      </c>
      <c r="D14" s="77">
        <v>40000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430">
        <v>0</v>
      </c>
      <c r="M14" s="430">
        <v>0</v>
      </c>
      <c r="N14" s="430">
        <v>0</v>
      </c>
      <c r="O14" s="430">
        <v>0</v>
      </c>
      <c r="P14" s="430">
        <v>0</v>
      </c>
      <c r="Q14" s="430">
        <v>0</v>
      </c>
      <c r="R14" s="430">
        <v>0</v>
      </c>
      <c r="S14" s="430">
        <v>0</v>
      </c>
      <c r="T14" s="430">
        <v>0</v>
      </c>
      <c r="U14" s="430">
        <v>0</v>
      </c>
      <c r="V14" s="430">
        <v>0</v>
      </c>
      <c r="W14" s="430">
        <v>0</v>
      </c>
      <c r="X14" s="430">
        <v>0</v>
      </c>
    </row>
    <row r="15" spans="1:24" ht="15" customHeight="1">
      <c r="A15" s="76" t="s">
        <v>63</v>
      </c>
      <c r="B15" s="77">
        <v>0</v>
      </c>
      <c r="C15" s="77">
        <v>0</v>
      </c>
      <c r="D15" s="77">
        <v>70000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430">
        <v>0</v>
      </c>
      <c r="M15" s="430">
        <v>0</v>
      </c>
      <c r="N15" s="430">
        <v>25664</v>
      </c>
      <c r="O15" s="430">
        <v>0</v>
      </c>
      <c r="P15" s="430">
        <v>0</v>
      </c>
      <c r="Q15" s="430">
        <v>0</v>
      </c>
      <c r="R15" s="430">
        <v>0</v>
      </c>
      <c r="S15" s="430">
        <v>0</v>
      </c>
      <c r="T15" s="430">
        <v>0</v>
      </c>
      <c r="U15" s="430">
        <v>0</v>
      </c>
      <c r="V15" s="430">
        <v>0</v>
      </c>
      <c r="W15" s="430">
        <v>0</v>
      </c>
      <c r="X15" s="430">
        <v>0</v>
      </c>
    </row>
    <row r="16" spans="1:24" ht="15" customHeight="1">
      <c r="A16" s="76" t="s">
        <v>64</v>
      </c>
      <c r="B16" s="77">
        <v>0</v>
      </c>
      <c r="C16" s="77">
        <v>0</v>
      </c>
      <c r="D16" s="77">
        <v>60000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430">
        <v>24040</v>
      </c>
      <c r="M16" s="430">
        <v>0</v>
      </c>
      <c r="N16" s="430">
        <v>0</v>
      </c>
      <c r="O16" s="430">
        <v>0</v>
      </c>
      <c r="P16" s="430">
        <v>0</v>
      </c>
      <c r="Q16" s="430">
        <v>0</v>
      </c>
      <c r="R16" s="430">
        <v>0</v>
      </c>
      <c r="S16" s="430">
        <v>0</v>
      </c>
      <c r="T16" s="430">
        <v>0</v>
      </c>
      <c r="U16" s="430">
        <v>0</v>
      </c>
      <c r="V16" s="430">
        <v>0</v>
      </c>
      <c r="W16" s="430">
        <v>0</v>
      </c>
      <c r="X16" s="430">
        <v>0</v>
      </c>
    </row>
    <row r="17" spans="1:26" ht="15" customHeight="1">
      <c r="A17" s="76" t="s">
        <v>65</v>
      </c>
      <c r="B17" s="77">
        <v>0</v>
      </c>
      <c r="C17" s="77">
        <v>0</v>
      </c>
      <c r="D17" s="77">
        <v>40000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430">
        <v>0</v>
      </c>
      <c r="M17" s="430">
        <v>0</v>
      </c>
      <c r="N17" s="430">
        <v>0</v>
      </c>
      <c r="O17" s="430">
        <v>0</v>
      </c>
      <c r="P17" s="430">
        <v>0</v>
      </c>
      <c r="Q17" s="430">
        <v>0</v>
      </c>
      <c r="R17" s="430">
        <v>0</v>
      </c>
      <c r="S17" s="430">
        <v>0</v>
      </c>
      <c r="T17" s="430">
        <v>0</v>
      </c>
      <c r="U17" s="430">
        <v>0</v>
      </c>
      <c r="V17" s="430">
        <v>0</v>
      </c>
      <c r="W17" s="430">
        <v>0</v>
      </c>
      <c r="X17" s="430">
        <v>0</v>
      </c>
    </row>
    <row r="18" spans="1:26" ht="15" customHeight="1" thickBot="1">
      <c r="A18" s="79" t="s">
        <v>66</v>
      </c>
      <c r="B18" s="100">
        <v>0</v>
      </c>
      <c r="C18" s="100">
        <v>0</v>
      </c>
      <c r="D18" s="100">
        <v>40000</v>
      </c>
      <c r="E18" s="100">
        <v>0</v>
      </c>
      <c r="F18" s="100">
        <v>0</v>
      </c>
      <c r="G18" s="100">
        <v>0</v>
      </c>
      <c r="H18" s="100">
        <v>0</v>
      </c>
      <c r="I18" s="100">
        <v>0</v>
      </c>
      <c r="J18" s="100">
        <v>0</v>
      </c>
      <c r="K18" s="100">
        <v>0</v>
      </c>
      <c r="L18" s="431">
        <v>24850</v>
      </c>
      <c r="M18" s="431">
        <v>0</v>
      </c>
      <c r="N18" s="431">
        <v>0</v>
      </c>
      <c r="O18" s="431">
        <v>0</v>
      </c>
      <c r="P18" s="431">
        <v>0</v>
      </c>
      <c r="Q18" s="431">
        <v>0</v>
      </c>
      <c r="R18" s="431">
        <v>0</v>
      </c>
      <c r="S18" s="431">
        <v>0</v>
      </c>
      <c r="T18" s="431">
        <v>0</v>
      </c>
      <c r="U18" s="431">
        <v>0</v>
      </c>
      <c r="V18" s="431">
        <v>0</v>
      </c>
      <c r="W18" s="431">
        <v>0</v>
      </c>
      <c r="X18" s="431">
        <v>0</v>
      </c>
    </row>
    <row r="19" spans="1:26" ht="9" customHeight="1">
      <c r="A19" s="778" t="s">
        <v>402</v>
      </c>
      <c r="B19" s="796"/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</row>
    <row r="20" spans="1:26" ht="9" customHeight="1">
      <c r="A20" s="871" t="s">
        <v>378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</row>
    <row r="21" spans="1:26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</row>
    <row r="23" spans="1:26" ht="13.25" customHeight="1">
      <c r="A23" s="198" t="s">
        <v>586</v>
      </c>
    </row>
    <row r="24" spans="1:26" ht="13.25" customHeight="1">
      <c r="A24" s="199" t="s">
        <v>304</v>
      </c>
    </row>
    <row r="25" spans="1:26" ht="4.25" customHeight="1" thickBot="1"/>
    <row r="26" spans="1:26" ht="16.25" customHeight="1">
      <c r="A26" s="568" t="s">
        <v>110</v>
      </c>
      <c r="B26" s="565">
        <v>2000</v>
      </c>
      <c r="C26" s="565">
        <v>2001</v>
      </c>
      <c r="D26" s="565">
        <v>2002</v>
      </c>
      <c r="E26" s="565">
        <v>2003</v>
      </c>
      <c r="F26" s="565">
        <v>2004</v>
      </c>
      <c r="G26" s="565">
        <v>2005</v>
      </c>
      <c r="H26" s="565">
        <v>2006</v>
      </c>
      <c r="I26" s="565">
        <v>2007</v>
      </c>
      <c r="J26" s="565">
        <v>2008</v>
      </c>
      <c r="K26" s="565">
        <v>2009</v>
      </c>
      <c r="L26" s="565">
        <v>2010</v>
      </c>
      <c r="M26" s="565">
        <v>2011</v>
      </c>
      <c r="N26" s="565">
        <v>2012</v>
      </c>
      <c r="O26" s="565">
        <v>2013</v>
      </c>
      <c r="P26" s="565">
        <v>2014</v>
      </c>
      <c r="Q26" s="565">
        <v>2015</v>
      </c>
      <c r="R26" s="565">
        <v>2016</v>
      </c>
      <c r="S26" s="565">
        <v>2017</v>
      </c>
      <c r="T26" s="565">
        <v>2018</v>
      </c>
      <c r="U26" s="565">
        <v>2019</v>
      </c>
      <c r="V26" s="565">
        <v>2020</v>
      </c>
      <c r="W26" s="565">
        <v>2021</v>
      </c>
      <c r="X26" s="565" t="s">
        <v>392</v>
      </c>
    </row>
    <row r="27" spans="1:26" ht="16.25" customHeight="1">
      <c r="A27" s="554" t="s">
        <v>54</v>
      </c>
      <c r="B27" s="731">
        <v>277687210</v>
      </c>
      <c r="C27" s="731">
        <v>284651870</v>
      </c>
      <c r="D27" s="731">
        <v>306348188</v>
      </c>
      <c r="E27" s="731">
        <v>303803772</v>
      </c>
      <c r="F27" s="731">
        <v>305352114</v>
      </c>
      <c r="G27" s="731">
        <v>339301736</v>
      </c>
      <c r="H27" s="731">
        <v>370338561</v>
      </c>
      <c r="I27" s="731">
        <v>389346964</v>
      </c>
      <c r="J27" s="731">
        <v>438350083</v>
      </c>
      <c r="K27" s="731">
        <v>477514917</v>
      </c>
      <c r="L27" s="731">
        <v>509638716</v>
      </c>
      <c r="M27" s="731">
        <v>535763259</v>
      </c>
      <c r="N27" s="731">
        <v>573449493</v>
      </c>
      <c r="O27" s="731">
        <v>592066776</v>
      </c>
      <c r="P27" s="731">
        <v>623405970</v>
      </c>
      <c r="Q27" s="731">
        <v>671495588</v>
      </c>
      <c r="R27" s="731">
        <v>686163430</v>
      </c>
      <c r="S27" s="731">
        <v>705259679</v>
      </c>
      <c r="T27" s="731">
        <f>SUM(T28:T39)</f>
        <v>765785347</v>
      </c>
      <c r="U27" s="731">
        <f>SUM(U28:U39)</f>
        <v>794391606</v>
      </c>
      <c r="V27" s="731">
        <f>SUM(V28:V39)</f>
        <v>728096325</v>
      </c>
      <c r="W27" s="731">
        <f>SUM(W28:W39)</f>
        <v>772876344</v>
      </c>
      <c r="X27" s="731">
        <f>SUM(X28:X39)</f>
        <v>793622985</v>
      </c>
    </row>
    <row r="28" spans="1:26" ht="15" customHeight="1">
      <c r="A28" s="76" t="s">
        <v>55</v>
      </c>
      <c r="B28" s="77">
        <v>22373219</v>
      </c>
      <c r="C28" s="77">
        <v>22998768</v>
      </c>
      <c r="D28" s="77">
        <v>25424317</v>
      </c>
      <c r="E28" s="77">
        <v>25482395</v>
      </c>
      <c r="F28" s="77">
        <v>25552848</v>
      </c>
      <c r="G28" s="77">
        <v>26300593</v>
      </c>
      <c r="H28" s="77">
        <v>29300770</v>
      </c>
      <c r="I28" s="77">
        <v>32785942</v>
      </c>
      <c r="J28" s="77">
        <v>35174420</v>
      </c>
      <c r="K28" s="77">
        <v>39962482</v>
      </c>
      <c r="L28" s="77">
        <v>41341643</v>
      </c>
      <c r="M28" s="77">
        <v>44044851</v>
      </c>
      <c r="N28" s="77">
        <v>47094549</v>
      </c>
      <c r="O28" s="77">
        <v>50408717</v>
      </c>
      <c r="P28" s="77">
        <v>52225500</v>
      </c>
      <c r="Q28" s="77">
        <v>56553237</v>
      </c>
      <c r="R28" s="77">
        <v>56567967</v>
      </c>
      <c r="S28" s="77">
        <v>58684759</v>
      </c>
      <c r="T28" s="77">
        <v>62955740</v>
      </c>
      <c r="U28" s="77">
        <v>66290890</v>
      </c>
      <c r="V28" s="77">
        <v>67678202</v>
      </c>
      <c r="W28" s="77">
        <v>61653106</v>
      </c>
      <c r="X28" s="77">
        <v>63308086</v>
      </c>
      <c r="Z28" s="77"/>
    </row>
    <row r="29" spans="1:26" ht="15" customHeight="1">
      <c r="A29" s="76" t="s">
        <v>56</v>
      </c>
      <c r="B29" s="77">
        <v>21456400</v>
      </c>
      <c r="C29" s="77">
        <v>20566736</v>
      </c>
      <c r="D29" s="77">
        <v>22573124</v>
      </c>
      <c r="E29" s="77">
        <v>23466119</v>
      </c>
      <c r="F29" s="77">
        <v>23794122</v>
      </c>
      <c r="G29" s="77">
        <v>24331235</v>
      </c>
      <c r="H29" s="77">
        <v>26787829</v>
      </c>
      <c r="I29" s="77">
        <v>29119392</v>
      </c>
      <c r="J29" s="77">
        <v>32550546</v>
      </c>
      <c r="K29" s="77">
        <v>35846980</v>
      </c>
      <c r="L29" s="77">
        <v>38145694</v>
      </c>
      <c r="M29" s="77">
        <v>39466974</v>
      </c>
      <c r="N29" s="77">
        <v>43771540</v>
      </c>
      <c r="O29" s="77">
        <v>43317094</v>
      </c>
      <c r="P29" s="77">
        <v>47519037</v>
      </c>
      <c r="Q29" s="77">
        <v>50625456</v>
      </c>
      <c r="R29" s="77">
        <v>52710404</v>
      </c>
      <c r="S29" s="77">
        <v>52354092</v>
      </c>
      <c r="T29" s="77">
        <v>56935243</v>
      </c>
      <c r="U29" s="77">
        <v>60247330</v>
      </c>
      <c r="V29" s="77">
        <v>63094607</v>
      </c>
      <c r="W29" s="77">
        <v>56185223</v>
      </c>
      <c r="X29" s="77">
        <v>57693426</v>
      </c>
      <c r="Z29" s="77"/>
    </row>
    <row r="30" spans="1:26" ht="15" customHeight="1">
      <c r="A30" s="76" t="s">
        <v>57</v>
      </c>
      <c r="B30" s="77">
        <v>22820213</v>
      </c>
      <c r="C30" s="77">
        <v>23657381</v>
      </c>
      <c r="D30" s="77">
        <v>24157991</v>
      </c>
      <c r="E30" s="77">
        <v>26198970</v>
      </c>
      <c r="F30" s="77">
        <v>25656257</v>
      </c>
      <c r="G30" s="77">
        <v>27775618</v>
      </c>
      <c r="H30" s="77">
        <v>30075083</v>
      </c>
      <c r="I30" s="77">
        <v>32783404</v>
      </c>
      <c r="J30" s="77">
        <v>35435605</v>
      </c>
      <c r="K30" s="77">
        <v>38380680</v>
      </c>
      <c r="L30" s="77">
        <v>43403628</v>
      </c>
      <c r="M30" s="77">
        <v>44618431</v>
      </c>
      <c r="N30" s="77">
        <v>48911703</v>
      </c>
      <c r="O30" s="77">
        <v>49284340</v>
      </c>
      <c r="P30" s="77">
        <v>50390400</v>
      </c>
      <c r="Q30" s="77">
        <v>57112272</v>
      </c>
      <c r="R30" s="77">
        <v>57647552</v>
      </c>
      <c r="S30" s="77">
        <v>57735770</v>
      </c>
      <c r="T30" s="77">
        <v>65221102</v>
      </c>
      <c r="U30" s="77">
        <v>66162350</v>
      </c>
      <c r="V30" s="77">
        <v>65145181</v>
      </c>
      <c r="W30" s="77">
        <v>63645817</v>
      </c>
      <c r="X30" s="77">
        <v>65354288</v>
      </c>
      <c r="Z30" s="77"/>
    </row>
    <row r="31" spans="1:26" ht="15" customHeight="1">
      <c r="A31" s="76" t="s">
        <v>58</v>
      </c>
      <c r="B31" s="77">
        <v>21858802</v>
      </c>
      <c r="C31" s="77">
        <v>22764859</v>
      </c>
      <c r="D31" s="77">
        <v>24410044</v>
      </c>
      <c r="E31" s="77">
        <v>26564980</v>
      </c>
      <c r="F31" s="77">
        <v>24509812</v>
      </c>
      <c r="G31" s="77">
        <v>27184957</v>
      </c>
      <c r="H31" s="77">
        <v>29256953</v>
      </c>
      <c r="I31" s="77">
        <v>31566081</v>
      </c>
      <c r="J31" s="77">
        <v>35454747</v>
      </c>
      <c r="K31" s="77">
        <v>38505115</v>
      </c>
      <c r="L31" s="77">
        <v>39988954</v>
      </c>
      <c r="M31" s="77">
        <v>44295275</v>
      </c>
      <c r="N31" s="77">
        <v>45937495</v>
      </c>
      <c r="O31" s="77">
        <v>48595909</v>
      </c>
      <c r="P31" s="77">
        <v>49818008</v>
      </c>
      <c r="Q31" s="77">
        <v>55346615</v>
      </c>
      <c r="R31" s="77">
        <v>56370576</v>
      </c>
      <c r="S31" s="77">
        <v>55345708</v>
      </c>
      <c r="T31" s="77">
        <v>62423008</v>
      </c>
      <c r="U31" s="77">
        <v>63136311</v>
      </c>
      <c r="V31" s="77">
        <v>54931461</v>
      </c>
      <c r="W31" s="77">
        <v>62262107</v>
      </c>
      <c r="X31" s="77">
        <v>63933435</v>
      </c>
      <c r="Z31" s="77"/>
    </row>
    <row r="32" spans="1:26" ht="15" customHeight="1">
      <c r="A32" s="76" t="s">
        <v>59</v>
      </c>
      <c r="B32" s="77">
        <v>23265295</v>
      </c>
      <c r="C32" s="77">
        <v>24600413</v>
      </c>
      <c r="D32" s="77">
        <v>26225042</v>
      </c>
      <c r="E32" s="77">
        <v>26229004</v>
      </c>
      <c r="F32" s="77">
        <v>24130795</v>
      </c>
      <c r="G32" s="77">
        <v>28394026</v>
      </c>
      <c r="H32" s="77">
        <v>31244001</v>
      </c>
      <c r="I32" s="77">
        <v>31933676</v>
      </c>
      <c r="J32" s="77">
        <v>37426607</v>
      </c>
      <c r="K32" s="77">
        <v>38869103</v>
      </c>
      <c r="L32" s="77">
        <v>41461494</v>
      </c>
      <c r="M32" s="77">
        <v>45097827</v>
      </c>
      <c r="N32" s="77">
        <v>48840235</v>
      </c>
      <c r="O32" s="77">
        <v>51811406</v>
      </c>
      <c r="P32" s="77">
        <v>53216965</v>
      </c>
      <c r="Q32" s="77">
        <v>57860128</v>
      </c>
      <c r="R32" s="77">
        <v>59784363</v>
      </c>
      <c r="S32" s="77">
        <v>60216823</v>
      </c>
      <c r="T32" s="77">
        <v>64669288</v>
      </c>
      <c r="U32" s="77">
        <v>67346453</v>
      </c>
      <c r="V32" s="77">
        <v>53243992</v>
      </c>
      <c r="W32" s="77">
        <v>64261014</v>
      </c>
      <c r="X32" s="77">
        <v>65985999</v>
      </c>
      <c r="Z32" s="77"/>
    </row>
    <row r="33" spans="1:26" ht="15" customHeight="1">
      <c r="A33" s="76" t="s">
        <v>60</v>
      </c>
      <c r="B33" s="77">
        <v>23172421</v>
      </c>
      <c r="C33" s="77">
        <v>23478594</v>
      </c>
      <c r="D33" s="77">
        <v>24795322</v>
      </c>
      <c r="E33" s="77">
        <v>24700327</v>
      </c>
      <c r="F33" s="77">
        <v>24496859</v>
      </c>
      <c r="G33" s="77">
        <v>28189033</v>
      </c>
      <c r="H33" s="77">
        <v>30958329</v>
      </c>
      <c r="I33" s="77">
        <v>32522830</v>
      </c>
      <c r="J33" s="77">
        <v>35945033</v>
      </c>
      <c r="K33" s="77">
        <v>40248093</v>
      </c>
      <c r="L33" s="77">
        <v>40966836</v>
      </c>
      <c r="M33" s="77">
        <v>43048326</v>
      </c>
      <c r="N33" s="77">
        <v>48489676</v>
      </c>
      <c r="O33" s="77">
        <v>47474665</v>
      </c>
      <c r="P33" s="77">
        <v>49759638</v>
      </c>
      <c r="Q33" s="77">
        <v>54695570</v>
      </c>
      <c r="R33" s="77">
        <v>57808583</v>
      </c>
      <c r="S33" s="77">
        <v>59407745</v>
      </c>
      <c r="T33" s="77">
        <v>63118445</v>
      </c>
      <c r="U33" s="77">
        <v>64094616</v>
      </c>
      <c r="V33" s="77">
        <v>54135932</v>
      </c>
      <c r="W33" s="77">
        <v>63452889</v>
      </c>
      <c r="X33" s="77">
        <v>65156181</v>
      </c>
      <c r="Z33" s="77"/>
    </row>
    <row r="34" spans="1:26" ht="15" customHeight="1">
      <c r="A34" s="76" t="s">
        <v>61</v>
      </c>
      <c r="B34" s="77">
        <v>23298179</v>
      </c>
      <c r="C34" s="77">
        <v>23889691</v>
      </c>
      <c r="D34" s="77">
        <v>26523132</v>
      </c>
      <c r="E34" s="77">
        <v>24883323</v>
      </c>
      <c r="F34" s="77">
        <v>24533559</v>
      </c>
      <c r="G34" s="77">
        <v>28452001</v>
      </c>
      <c r="H34" s="77">
        <v>31660943</v>
      </c>
      <c r="I34" s="77">
        <v>32732787</v>
      </c>
      <c r="J34" s="77">
        <v>36503819</v>
      </c>
      <c r="K34" s="77">
        <v>41218333</v>
      </c>
      <c r="L34" s="77">
        <v>42448905</v>
      </c>
      <c r="M34" s="77">
        <v>42128609</v>
      </c>
      <c r="N34" s="77">
        <v>47505275</v>
      </c>
      <c r="O34" s="77">
        <v>49161632</v>
      </c>
      <c r="P34" s="77">
        <v>52172301</v>
      </c>
      <c r="Q34" s="77">
        <v>56144809</v>
      </c>
      <c r="R34" s="77">
        <v>58906411</v>
      </c>
      <c r="S34" s="77">
        <v>61596538</v>
      </c>
      <c r="T34" s="77">
        <v>64976907</v>
      </c>
      <c r="U34" s="77">
        <v>68356454</v>
      </c>
      <c r="V34" s="77">
        <v>57605285</v>
      </c>
      <c r="W34" s="77">
        <v>65191829</v>
      </c>
      <c r="X34" s="77">
        <v>66941800</v>
      </c>
      <c r="Z34" s="77"/>
    </row>
    <row r="35" spans="1:26" ht="15" customHeight="1">
      <c r="A35" s="76" t="s">
        <v>62</v>
      </c>
      <c r="B35" s="77">
        <v>24046870</v>
      </c>
      <c r="C35" s="77">
        <v>24011845</v>
      </c>
      <c r="D35" s="77">
        <v>26717810</v>
      </c>
      <c r="E35" s="77">
        <v>24339249</v>
      </c>
      <c r="F35" s="77">
        <v>24681393</v>
      </c>
      <c r="G35" s="77">
        <v>29888485</v>
      </c>
      <c r="H35" s="77">
        <v>31673177</v>
      </c>
      <c r="I35" s="77">
        <v>32040144</v>
      </c>
      <c r="J35" s="77">
        <v>37044823</v>
      </c>
      <c r="K35" s="77">
        <v>40665045</v>
      </c>
      <c r="L35" s="77">
        <v>42436202</v>
      </c>
      <c r="M35" s="77">
        <v>44504764</v>
      </c>
      <c r="N35" s="77">
        <v>48575699</v>
      </c>
      <c r="O35" s="77">
        <v>51444407</v>
      </c>
      <c r="P35" s="77">
        <v>52712241</v>
      </c>
      <c r="Q35" s="77">
        <v>56755885</v>
      </c>
      <c r="R35" s="77">
        <v>57445319</v>
      </c>
      <c r="S35" s="77">
        <v>61219057</v>
      </c>
      <c r="T35" s="77">
        <v>66122637</v>
      </c>
      <c r="U35" s="77">
        <v>68250344</v>
      </c>
      <c r="V35" s="77">
        <v>59671741</v>
      </c>
      <c r="W35" s="77">
        <v>66191579</v>
      </c>
      <c r="X35" s="77">
        <v>67968387</v>
      </c>
      <c r="Z35" s="77"/>
    </row>
    <row r="36" spans="1:26" ht="15" customHeight="1">
      <c r="A36" s="76" t="s">
        <v>63</v>
      </c>
      <c r="B36" s="77">
        <v>23940435</v>
      </c>
      <c r="C36" s="77">
        <v>23019854</v>
      </c>
      <c r="D36" s="77">
        <v>25571909</v>
      </c>
      <c r="E36" s="77">
        <v>24593201</v>
      </c>
      <c r="F36" s="77">
        <v>25340362</v>
      </c>
      <c r="G36" s="77">
        <v>29939991</v>
      </c>
      <c r="H36" s="77">
        <v>31203458</v>
      </c>
      <c r="I36" s="77">
        <v>31379047</v>
      </c>
      <c r="J36" s="77">
        <v>37534041</v>
      </c>
      <c r="K36" s="77">
        <v>39483852</v>
      </c>
      <c r="L36" s="77">
        <v>43249565</v>
      </c>
      <c r="M36" s="77">
        <v>45898692</v>
      </c>
      <c r="N36" s="77">
        <v>45026207</v>
      </c>
      <c r="O36" s="77">
        <v>48529082</v>
      </c>
      <c r="P36" s="77">
        <v>52142359</v>
      </c>
      <c r="Q36" s="77">
        <v>55895278</v>
      </c>
      <c r="R36" s="77">
        <v>55729271</v>
      </c>
      <c r="S36" s="77">
        <v>58678861</v>
      </c>
      <c r="T36" s="77">
        <v>63466627</v>
      </c>
      <c r="U36" s="77">
        <v>67158159</v>
      </c>
      <c r="V36" s="77">
        <v>61403450</v>
      </c>
      <c r="W36" s="77">
        <v>64780787</v>
      </c>
      <c r="X36" s="77">
        <v>66519725</v>
      </c>
      <c r="Z36" s="77"/>
    </row>
    <row r="37" spans="1:26" ht="15" customHeight="1">
      <c r="A37" s="76" t="s">
        <v>64</v>
      </c>
      <c r="B37" s="77">
        <v>24361595</v>
      </c>
      <c r="C37" s="77">
        <v>25379063</v>
      </c>
      <c r="D37" s="77">
        <v>27075666</v>
      </c>
      <c r="E37" s="77">
        <v>26042102</v>
      </c>
      <c r="F37" s="77">
        <v>27029674</v>
      </c>
      <c r="G37" s="77">
        <v>30893303</v>
      </c>
      <c r="H37" s="77">
        <v>32777291</v>
      </c>
      <c r="I37" s="77">
        <v>35060656</v>
      </c>
      <c r="J37" s="77">
        <v>39186167</v>
      </c>
      <c r="K37" s="77">
        <v>42367458</v>
      </c>
      <c r="L37" s="77">
        <v>44996814</v>
      </c>
      <c r="M37" s="77">
        <v>46683676</v>
      </c>
      <c r="N37" s="77">
        <v>51190893</v>
      </c>
      <c r="O37" s="77">
        <v>51561113</v>
      </c>
      <c r="P37" s="77">
        <v>55045028</v>
      </c>
      <c r="Q37" s="77">
        <v>58153402</v>
      </c>
      <c r="R37" s="77">
        <v>58093307</v>
      </c>
      <c r="S37" s="77">
        <v>60809257</v>
      </c>
      <c r="T37" s="77">
        <v>65899672</v>
      </c>
      <c r="U37" s="77">
        <v>70394038</v>
      </c>
      <c r="V37" s="77">
        <v>64284272</v>
      </c>
      <c r="W37" s="77">
        <v>67571911</v>
      </c>
      <c r="X37" s="77">
        <v>69385772</v>
      </c>
      <c r="Z37" s="77"/>
    </row>
    <row r="38" spans="1:26" ht="15" customHeight="1">
      <c r="A38" s="76" t="s">
        <v>65</v>
      </c>
      <c r="B38" s="77">
        <v>23865598</v>
      </c>
      <c r="C38" s="77">
        <v>24995789</v>
      </c>
      <c r="D38" s="77">
        <v>26496778</v>
      </c>
      <c r="E38" s="77">
        <v>25740187</v>
      </c>
      <c r="F38" s="77">
        <v>27714670</v>
      </c>
      <c r="G38" s="77">
        <v>29077551</v>
      </c>
      <c r="H38" s="77">
        <v>32885340</v>
      </c>
      <c r="I38" s="77">
        <v>34228011</v>
      </c>
      <c r="J38" s="77">
        <v>37670400</v>
      </c>
      <c r="K38" s="77">
        <v>40632662</v>
      </c>
      <c r="L38" s="77">
        <v>44900802</v>
      </c>
      <c r="M38" s="77">
        <v>47506951</v>
      </c>
      <c r="N38" s="77">
        <v>48924957</v>
      </c>
      <c r="O38" s="77">
        <v>49277121</v>
      </c>
      <c r="P38" s="77">
        <v>53545085</v>
      </c>
      <c r="Q38" s="77">
        <v>56301115</v>
      </c>
      <c r="R38" s="77">
        <v>56455917</v>
      </c>
      <c r="S38" s="77">
        <v>58717703</v>
      </c>
      <c r="T38" s="77">
        <v>63978857</v>
      </c>
      <c r="U38" s="77">
        <v>66323231</v>
      </c>
      <c r="V38" s="77">
        <v>62040785</v>
      </c>
      <c r="W38" s="77">
        <v>67995450</v>
      </c>
      <c r="X38" s="77">
        <v>69820680</v>
      </c>
      <c r="Z38" s="77"/>
    </row>
    <row r="39" spans="1:26" ht="15" customHeight="1" thickBot="1">
      <c r="A39" s="79" t="s">
        <v>66</v>
      </c>
      <c r="B39" s="100">
        <v>23228183</v>
      </c>
      <c r="C39" s="100">
        <v>25288877</v>
      </c>
      <c r="D39" s="100">
        <v>26377053</v>
      </c>
      <c r="E39" s="100">
        <v>25563915</v>
      </c>
      <c r="F39" s="100">
        <v>27911763</v>
      </c>
      <c r="G39" s="100">
        <v>28874943</v>
      </c>
      <c r="H39" s="100">
        <v>32515387</v>
      </c>
      <c r="I39" s="100">
        <v>33194994</v>
      </c>
      <c r="J39" s="100">
        <v>38423875</v>
      </c>
      <c r="K39" s="100">
        <v>41335114</v>
      </c>
      <c r="L39" s="100">
        <v>46298179</v>
      </c>
      <c r="M39" s="100">
        <v>48468883</v>
      </c>
      <c r="N39" s="100">
        <v>49181264</v>
      </c>
      <c r="O39" s="100">
        <v>51201290</v>
      </c>
      <c r="P39" s="100">
        <v>54859408</v>
      </c>
      <c r="Q39" s="100">
        <v>56051821</v>
      </c>
      <c r="R39" s="100">
        <v>58643760</v>
      </c>
      <c r="S39" s="100">
        <v>60493366</v>
      </c>
      <c r="T39" s="100">
        <v>66017821</v>
      </c>
      <c r="U39" s="100">
        <v>66631430</v>
      </c>
      <c r="V39" s="100">
        <v>64861417</v>
      </c>
      <c r="W39" s="100">
        <v>69684632</v>
      </c>
      <c r="X39" s="100">
        <v>71555206</v>
      </c>
      <c r="Z39" s="77"/>
    </row>
    <row r="40" spans="1:26" ht="9" customHeight="1">
      <c r="A40" s="778" t="s">
        <v>402</v>
      </c>
      <c r="B40" s="794"/>
      <c r="C40" s="794"/>
      <c r="D40" s="794"/>
      <c r="E40" s="794"/>
      <c r="F40" s="794"/>
      <c r="G40" s="794"/>
      <c r="H40" s="794"/>
      <c r="I40" s="794"/>
      <c r="J40" s="794"/>
      <c r="K40" s="794"/>
      <c r="L40" s="794"/>
      <c r="M40" s="794"/>
      <c r="N40" s="794"/>
      <c r="O40" s="794"/>
      <c r="P40" s="794"/>
      <c r="Q40" s="794"/>
      <c r="R40" s="188"/>
      <c r="S40" s="77"/>
      <c r="T40" s="77"/>
      <c r="U40" s="77"/>
      <c r="V40" s="77"/>
      <c r="W40" s="77"/>
      <c r="X40" s="77"/>
    </row>
    <row r="41" spans="1:26" ht="9" customHeight="1">
      <c r="A41" s="871" t="s">
        <v>378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  <c r="P41" s="796"/>
      <c r="Q41" s="796"/>
      <c r="R41" s="190"/>
    </row>
    <row r="42" spans="1:26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  <c r="P42" s="796"/>
      <c r="Q42" s="796"/>
      <c r="R42" s="190"/>
    </row>
    <row r="43" spans="1:26" ht="13.25" customHeight="1">
      <c r="A43" s="796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  <c r="P43" s="796"/>
      <c r="Q43" s="796"/>
    </row>
    <row r="44" spans="1:26" ht="13.25" customHeight="1">
      <c r="A44" s="796"/>
      <c r="B44" s="796"/>
      <c r="C44" s="796"/>
      <c r="D44" s="796"/>
      <c r="E44" s="796"/>
      <c r="F44" s="796"/>
      <c r="G44" s="796"/>
      <c r="H44" s="796"/>
      <c r="I44" s="796"/>
      <c r="J44" s="796"/>
      <c r="K44" s="796"/>
      <c r="L44" s="796"/>
      <c r="M44" s="796"/>
      <c r="N44" s="796"/>
      <c r="O44" s="796"/>
      <c r="P44" s="796"/>
      <c r="Q44" s="796"/>
    </row>
    <row r="45" spans="1:26" ht="13.25" customHeight="1">
      <c r="A45" s="796"/>
      <c r="B45" s="796"/>
      <c r="C45" s="796"/>
      <c r="D45" s="796"/>
      <c r="E45" s="796"/>
      <c r="F45" s="796"/>
      <c r="G45" s="796"/>
      <c r="H45" s="796"/>
      <c r="I45" s="796"/>
      <c r="J45" s="796"/>
      <c r="K45" s="796"/>
      <c r="L45" s="796"/>
      <c r="M45" s="796"/>
      <c r="N45" s="796"/>
      <c r="O45" s="796"/>
      <c r="P45" s="796"/>
      <c r="Q45" s="796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Hoja123">
    <tabColor theme="9" tint="0.59999389629810485"/>
  </sheetPr>
  <dimension ref="A1:X45"/>
  <sheetViews>
    <sheetView showGridLines="0" zoomScaleNormal="100" workbookViewId="0">
      <selection activeCell="AD15" sqref="AD15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1" width="0" style="73" hidden="1" customWidth="1"/>
    <col min="12" max="24" width="9" style="73" customWidth="1"/>
    <col min="25" max="29" width="8.59765625" style="73" customWidth="1"/>
    <col min="30" max="16384" width="7" style="73"/>
  </cols>
  <sheetData>
    <row r="1" spans="1:24" ht="13.25" customHeight="1">
      <c r="A1" s="1001"/>
      <c r="B1" s="1001"/>
      <c r="C1" s="1001"/>
      <c r="D1" s="1001"/>
      <c r="E1" s="1001"/>
    </row>
    <row r="2" spans="1:24" ht="13.25" customHeight="1">
      <c r="A2" s="250" t="s">
        <v>587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24" ht="13.25" customHeight="1">
      <c r="A3" s="253" t="s">
        <v>304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24" ht="4.25" customHeight="1" thickBot="1"/>
    <row r="5" spans="1:24" ht="16.25" customHeight="1">
      <c r="A5" s="568" t="s">
        <v>110</v>
      </c>
      <c r="B5" s="565">
        <v>2000</v>
      </c>
      <c r="C5" s="565">
        <v>2001</v>
      </c>
      <c r="D5" s="565">
        <v>2002</v>
      </c>
      <c r="E5" s="565">
        <v>2003</v>
      </c>
      <c r="F5" s="565">
        <v>2004</v>
      </c>
      <c r="G5" s="565">
        <v>2005</v>
      </c>
      <c r="H5" s="565">
        <v>2006</v>
      </c>
      <c r="I5" s="565">
        <v>2007</v>
      </c>
      <c r="J5" s="565">
        <v>2008</v>
      </c>
      <c r="K5" s="565">
        <v>2009</v>
      </c>
      <c r="L5" s="565">
        <v>2010</v>
      </c>
      <c r="M5" s="565">
        <v>2011</v>
      </c>
      <c r="N5" s="565">
        <v>2012</v>
      </c>
      <c r="O5" s="565">
        <v>2013</v>
      </c>
      <c r="P5" s="565">
        <v>2014</v>
      </c>
      <c r="Q5" s="565">
        <v>2015</v>
      </c>
      <c r="R5" s="565">
        <v>2016</v>
      </c>
      <c r="S5" s="565">
        <v>2017</v>
      </c>
      <c r="T5" s="565">
        <v>2018</v>
      </c>
      <c r="U5" s="565">
        <v>2019</v>
      </c>
      <c r="V5" s="565">
        <v>2020</v>
      </c>
      <c r="W5" s="565">
        <v>2021</v>
      </c>
      <c r="X5" s="565" t="s">
        <v>477</v>
      </c>
    </row>
    <row r="6" spans="1:24" ht="16.25" customHeight="1">
      <c r="A6" s="554" t="s">
        <v>54</v>
      </c>
      <c r="B6" s="731">
        <v>540600</v>
      </c>
      <c r="C6" s="731">
        <v>0</v>
      </c>
      <c r="D6" s="731">
        <v>0</v>
      </c>
      <c r="E6" s="731">
        <v>406960</v>
      </c>
      <c r="F6" s="731">
        <v>0</v>
      </c>
      <c r="G6" s="731">
        <v>0</v>
      </c>
      <c r="H6" s="731">
        <v>0</v>
      </c>
      <c r="I6" s="731">
        <v>0</v>
      </c>
      <c r="J6" s="731">
        <v>0</v>
      </c>
      <c r="K6" s="731">
        <v>11426760</v>
      </c>
      <c r="L6" s="555">
        <v>2151000</v>
      </c>
      <c r="M6" s="555">
        <v>0</v>
      </c>
      <c r="N6" s="555">
        <v>0</v>
      </c>
      <c r="O6" s="555">
        <v>0</v>
      </c>
      <c r="P6" s="555">
        <v>0</v>
      </c>
      <c r="Q6" s="555">
        <v>0</v>
      </c>
      <c r="R6" s="555">
        <v>0</v>
      </c>
      <c r="S6" s="555">
        <v>0</v>
      </c>
      <c r="T6" s="555">
        <v>0</v>
      </c>
      <c r="U6" s="555">
        <v>0</v>
      </c>
      <c r="V6" s="555">
        <v>0</v>
      </c>
      <c r="W6" s="555">
        <v>0</v>
      </c>
      <c r="X6" s="555">
        <v>0</v>
      </c>
    </row>
    <row r="7" spans="1:24" ht="15" customHeight="1">
      <c r="A7" s="76" t="s">
        <v>55</v>
      </c>
      <c r="B7" s="77">
        <v>0</v>
      </c>
      <c r="C7" s="77">
        <v>0</v>
      </c>
      <c r="D7" s="77">
        <v>0</v>
      </c>
      <c r="E7" s="77">
        <v>82600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>
        <v>0</v>
      </c>
      <c r="L7" s="204">
        <v>432000</v>
      </c>
      <c r="M7" s="204">
        <v>0</v>
      </c>
      <c r="N7" s="204">
        <v>0</v>
      </c>
      <c r="O7" s="204">
        <v>0</v>
      </c>
      <c r="P7" s="204">
        <v>0</v>
      </c>
      <c r="Q7" s="204">
        <v>0</v>
      </c>
      <c r="R7" s="204">
        <v>0</v>
      </c>
      <c r="S7" s="204">
        <v>0</v>
      </c>
      <c r="T7" s="204">
        <v>0</v>
      </c>
      <c r="U7" s="204">
        <v>0</v>
      </c>
      <c r="V7" s="204">
        <v>0</v>
      </c>
      <c r="W7" s="204">
        <v>0</v>
      </c>
      <c r="X7" s="204">
        <v>0</v>
      </c>
    </row>
    <row r="8" spans="1:24" ht="15" customHeight="1">
      <c r="A8" s="76" t="s">
        <v>56</v>
      </c>
      <c r="B8" s="77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204">
        <v>378000</v>
      </c>
      <c r="M8" s="204">
        <v>0</v>
      </c>
      <c r="N8" s="204">
        <v>0</v>
      </c>
      <c r="O8" s="204">
        <v>0</v>
      </c>
      <c r="P8" s="204">
        <v>0</v>
      </c>
      <c r="Q8" s="204">
        <v>0</v>
      </c>
      <c r="R8" s="204">
        <v>0</v>
      </c>
      <c r="S8" s="204">
        <v>0</v>
      </c>
      <c r="T8" s="204">
        <v>0</v>
      </c>
      <c r="U8" s="204">
        <v>0</v>
      </c>
      <c r="V8" s="204">
        <v>0</v>
      </c>
      <c r="W8" s="204">
        <v>0</v>
      </c>
      <c r="X8" s="204">
        <v>0</v>
      </c>
    </row>
    <row r="9" spans="1:24" ht="15" customHeight="1">
      <c r="A9" s="76" t="s">
        <v>57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204">
        <v>450000</v>
      </c>
      <c r="M9" s="204">
        <v>0</v>
      </c>
      <c r="N9" s="204">
        <v>0</v>
      </c>
      <c r="O9" s="204">
        <v>0</v>
      </c>
      <c r="P9" s="204">
        <v>0</v>
      </c>
      <c r="Q9" s="204">
        <v>0</v>
      </c>
      <c r="R9" s="204">
        <v>0</v>
      </c>
      <c r="S9" s="204">
        <v>0</v>
      </c>
      <c r="T9" s="204">
        <v>0</v>
      </c>
      <c r="U9" s="204">
        <v>0</v>
      </c>
      <c r="V9" s="204">
        <v>0</v>
      </c>
      <c r="W9" s="204">
        <v>0</v>
      </c>
      <c r="X9" s="204">
        <v>0</v>
      </c>
    </row>
    <row r="10" spans="1:24" ht="15" customHeight="1">
      <c r="A10" s="76" t="s">
        <v>58</v>
      </c>
      <c r="B10" s="77">
        <v>207000</v>
      </c>
      <c r="C10" s="77">
        <v>0</v>
      </c>
      <c r="D10" s="77">
        <v>0</v>
      </c>
      <c r="E10" s="77">
        <v>78840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810000</v>
      </c>
      <c r="L10" s="204">
        <v>270000</v>
      </c>
      <c r="M10" s="204">
        <v>0</v>
      </c>
      <c r="N10" s="204">
        <v>0</v>
      </c>
      <c r="O10" s="204">
        <v>0</v>
      </c>
      <c r="P10" s="204">
        <v>0</v>
      </c>
      <c r="Q10" s="204">
        <v>0</v>
      </c>
      <c r="R10" s="204">
        <v>0</v>
      </c>
      <c r="S10" s="204">
        <v>0</v>
      </c>
      <c r="T10" s="204">
        <v>0</v>
      </c>
      <c r="U10" s="204">
        <v>0</v>
      </c>
      <c r="V10" s="204">
        <v>0</v>
      </c>
      <c r="W10" s="204">
        <v>0</v>
      </c>
      <c r="X10" s="204">
        <v>0</v>
      </c>
    </row>
    <row r="11" spans="1:24" ht="15" customHeight="1">
      <c r="A11" s="76" t="s">
        <v>59</v>
      </c>
      <c r="B11" s="77">
        <v>207000</v>
      </c>
      <c r="C11" s="77">
        <v>0</v>
      </c>
      <c r="D11" s="77">
        <v>0</v>
      </c>
      <c r="E11" s="77">
        <v>78480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1134000</v>
      </c>
      <c r="L11" s="204">
        <v>180000</v>
      </c>
      <c r="M11" s="204">
        <v>0</v>
      </c>
      <c r="N11" s="204">
        <v>0</v>
      </c>
      <c r="O11" s="204">
        <v>0</v>
      </c>
      <c r="P11" s="204">
        <v>0</v>
      </c>
      <c r="Q11" s="204">
        <v>0</v>
      </c>
      <c r="R11" s="204">
        <v>0</v>
      </c>
      <c r="S11" s="204">
        <v>0</v>
      </c>
      <c r="T11" s="204">
        <v>0</v>
      </c>
      <c r="U11" s="204">
        <v>0</v>
      </c>
      <c r="V11" s="204">
        <v>0</v>
      </c>
      <c r="W11" s="204">
        <v>0</v>
      </c>
      <c r="X11" s="204">
        <v>0</v>
      </c>
    </row>
    <row r="12" spans="1:24" ht="15" customHeight="1">
      <c r="A12" s="76" t="s">
        <v>60</v>
      </c>
      <c r="B12" s="77">
        <v>96600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1621800</v>
      </c>
      <c r="L12" s="204">
        <v>90000</v>
      </c>
      <c r="M12" s="204">
        <v>0</v>
      </c>
      <c r="N12" s="204">
        <v>0</v>
      </c>
      <c r="O12" s="204">
        <v>0</v>
      </c>
      <c r="P12" s="204">
        <v>0</v>
      </c>
      <c r="Q12" s="204">
        <v>0</v>
      </c>
      <c r="R12" s="204">
        <v>0</v>
      </c>
      <c r="S12" s="204">
        <v>0</v>
      </c>
      <c r="T12" s="204">
        <v>0</v>
      </c>
      <c r="U12" s="204">
        <v>0</v>
      </c>
      <c r="V12" s="204">
        <v>0</v>
      </c>
      <c r="W12" s="204">
        <v>0</v>
      </c>
      <c r="X12" s="204">
        <v>0</v>
      </c>
    </row>
    <row r="13" spans="1:24" ht="15" customHeight="1">
      <c r="A13" s="76" t="s">
        <v>61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2166120</v>
      </c>
      <c r="L13" s="204">
        <v>0</v>
      </c>
      <c r="M13" s="204">
        <v>0</v>
      </c>
      <c r="N13" s="204">
        <v>0</v>
      </c>
      <c r="O13" s="204">
        <v>0</v>
      </c>
      <c r="P13" s="204">
        <v>0</v>
      </c>
      <c r="Q13" s="204">
        <v>0</v>
      </c>
      <c r="R13" s="204">
        <v>0</v>
      </c>
      <c r="S13" s="204">
        <v>0</v>
      </c>
      <c r="T13" s="204">
        <v>0</v>
      </c>
      <c r="U13" s="204">
        <v>0</v>
      </c>
      <c r="V13" s="204">
        <v>0</v>
      </c>
      <c r="W13" s="204">
        <v>0</v>
      </c>
      <c r="X13" s="204">
        <v>0</v>
      </c>
    </row>
    <row r="14" spans="1:24" ht="15" customHeight="1">
      <c r="A14" s="76" t="s">
        <v>62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1554120</v>
      </c>
      <c r="L14" s="204">
        <v>0</v>
      </c>
      <c r="M14" s="204">
        <v>0</v>
      </c>
      <c r="N14" s="204">
        <v>0</v>
      </c>
      <c r="O14" s="204">
        <v>0</v>
      </c>
      <c r="P14" s="204">
        <v>0</v>
      </c>
      <c r="Q14" s="204">
        <v>0</v>
      </c>
      <c r="R14" s="204">
        <v>0</v>
      </c>
      <c r="S14" s="204">
        <v>0</v>
      </c>
      <c r="T14" s="204">
        <v>0</v>
      </c>
      <c r="U14" s="204">
        <v>0</v>
      </c>
      <c r="V14" s="204">
        <v>0</v>
      </c>
      <c r="W14" s="204">
        <v>0</v>
      </c>
      <c r="X14" s="204">
        <v>0</v>
      </c>
    </row>
    <row r="15" spans="1:24" ht="15" customHeight="1">
      <c r="A15" s="76" t="s">
        <v>63</v>
      </c>
      <c r="B15" s="77">
        <v>0</v>
      </c>
      <c r="C15" s="77">
        <v>0</v>
      </c>
      <c r="D15" s="77">
        <v>0</v>
      </c>
      <c r="E15" s="77">
        <v>83520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1026360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</row>
    <row r="16" spans="1:24" ht="15" customHeight="1">
      <c r="A16" s="76" t="s">
        <v>64</v>
      </c>
      <c r="B16" s="77">
        <v>30000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1695960</v>
      </c>
      <c r="L16" s="204">
        <v>280800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</row>
    <row r="17" spans="1:24" ht="15" customHeight="1">
      <c r="A17" s="76" t="s">
        <v>65</v>
      </c>
      <c r="B17" s="77">
        <v>0</v>
      </c>
      <c r="C17" s="77">
        <v>0</v>
      </c>
      <c r="D17" s="77">
        <v>0</v>
      </c>
      <c r="E17" s="77">
        <v>83520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736200</v>
      </c>
      <c r="L17" s="204">
        <v>70200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</row>
    <row r="18" spans="1:24" ht="15" customHeight="1" thickBot="1">
      <c r="A18" s="79" t="s">
        <v>66</v>
      </c>
      <c r="B18" s="100">
        <v>0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0</v>
      </c>
      <c r="I18" s="100">
        <v>0</v>
      </c>
      <c r="J18" s="100">
        <v>0</v>
      </c>
      <c r="K18" s="100">
        <v>682200</v>
      </c>
      <c r="L18" s="432">
        <v>0</v>
      </c>
      <c r="M18" s="432">
        <v>0</v>
      </c>
      <c r="N18" s="432">
        <v>0</v>
      </c>
      <c r="O18" s="432">
        <v>0</v>
      </c>
      <c r="P18" s="432">
        <v>0</v>
      </c>
      <c r="Q18" s="432">
        <v>0</v>
      </c>
      <c r="R18" s="432">
        <v>0</v>
      </c>
      <c r="S18" s="432">
        <v>0</v>
      </c>
      <c r="T18" s="432">
        <v>0</v>
      </c>
      <c r="U18" s="432">
        <v>0</v>
      </c>
      <c r="V18" s="432">
        <v>0</v>
      </c>
      <c r="W18" s="432">
        <v>0</v>
      </c>
      <c r="X18" s="432">
        <v>0</v>
      </c>
    </row>
    <row r="19" spans="1:24" ht="9" customHeight="1">
      <c r="A19" s="778" t="s">
        <v>402</v>
      </c>
      <c r="B19" s="794"/>
      <c r="C19" s="794"/>
      <c r="D19" s="794"/>
      <c r="E19" s="794"/>
      <c r="F19" s="794"/>
      <c r="G19" s="794"/>
      <c r="H19" s="794"/>
      <c r="I19" s="794"/>
      <c r="J19" s="794"/>
      <c r="K19" s="794"/>
      <c r="L19" s="794"/>
      <c r="M19" s="794"/>
      <c r="N19" s="794"/>
      <c r="O19" s="794"/>
      <c r="P19" s="794"/>
      <c r="Q19" s="794"/>
      <c r="R19" s="77"/>
      <c r="S19" s="77"/>
      <c r="T19" s="77"/>
      <c r="U19" s="77"/>
      <c r="V19" s="77"/>
      <c r="W19" s="77"/>
      <c r="X19" s="77"/>
    </row>
    <row r="20" spans="1:24" ht="9" customHeight="1">
      <c r="A20" s="871" t="s">
        <v>377</v>
      </c>
      <c r="B20" s="794"/>
      <c r="C20" s="794"/>
      <c r="D20" s="794"/>
      <c r="E20" s="794"/>
      <c r="F20" s="794"/>
      <c r="G20" s="794"/>
      <c r="H20" s="794"/>
      <c r="I20" s="794"/>
      <c r="J20" s="794"/>
      <c r="K20" s="796"/>
      <c r="L20" s="796"/>
      <c r="M20" s="796"/>
      <c r="N20" s="796"/>
      <c r="O20" s="796"/>
      <c r="P20" s="796"/>
      <c r="Q20" s="796"/>
    </row>
    <row r="21" spans="1:24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</row>
    <row r="23" spans="1:24" ht="13.25" customHeight="1">
      <c r="A23" s="250" t="s">
        <v>588</v>
      </c>
    </row>
    <row r="24" spans="1:24" ht="13.25" customHeight="1">
      <c r="A24" s="253" t="s">
        <v>304</v>
      </c>
    </row>
    <row r="25" spans="1:24" ht="4.25" customHeight="1" thickBot="1"/>
    <row r="26" spans="1:24" ht="16.25" customHeight="1">
      <c r="A26" s="568" t="s">
        <v>110</v>
      </c>
      <c r="B26" s="565">
        <v>2000</v>
      </c>
      <c r="C26" s="565">
        <v>2001</v>
      </c>
      <c r="D26" s="565">
        <v>2002</v>
      </c>
      <c r="E26" s="565">
        <v>2003</v>
      </c>
      <c r="F26" s="565">
        <v>2004</v>
      </c>
      <c r="G26" s="565">
        <v>2005</v>
      </c>
      <c r="H26" s="565">
        <v>2006</v>
      </c>
      <c r="I26" s="565">
        <v>2007</v>
      </c>
      <c r="J26" s="565">
        <v>2008</v>
      </c>
      <c r="K26" s="565">
        <v>2009</v>
      </c>
      <c r="L26" s="565">
        <v>2010</v>
      </c>
      <c r="M26" s="565">
        <v>2011</v>
      </c>
      <c r="N26" s="565">
        <v>2012</v>
      </c>
      <c r="O26" s="565">
        <v>2013</v>
      </c>
      <c r="P26" s="565">
        <v>2014</v>
      </c>
      <c r="Q26" s="565">
        <v>2015</v>
      </c>
      <c r="R26" s="565">
        <v>2016</v>
      </c>
      <c r="S26" s="565">
        <v>2017</v>
      </c>
      <c r="T26" s="565">
        <v>2018</v>
      </c>
      <c r="U26" s="565">
        <v>2019</v>
      </c>
      <c r="V26" s="565">
        <v>2020</v>
      </c>
      <c r="W26" s="565">
        <v>2021</v>
      </c>
      <c r="X26" s="565" t="s">
        <v>477</v>
      </c>
    </row>
    <row r="27" spans="1:24" ht="16.25" customHeight="1">
      <c r="A27" s="554" t="s">
        <v>54</v>
      </c>
      <c r="B27" s="731">
        <v>819360</v>
      </c>
      <c r="C27" s="731">
        <v>7585840</v>
      </c>
      <c r="D27" s="731">
        <v>9350280</v>
      </c>
      <c r="E27" s="731">
        <v>11515680</v>
      </c>
      <c r="F27" s="731">
        <v>21776220</v>
      </c>
      <c r="G27" s="731">
        <v>26716320</v>
      </c>
      <c r="H27" s="731">
        <v>32098780</v>
      </c>
      <c r="I27" s="731">
        <v>33003000</v>
      </c>
      <c r="J27" s="731">
        <v>44035200</v>
      </c>
      <c r="K27" s="731">
        <v>45058785</v>
      </c>
      <c r="L27" s="731">
        <v>61209080</v>
      </c>
      <c r="M27" s="731">
        <v>54022840</v>
      </c>
      <c r="N27" s="731">
        <v>67644360</v>
      </c>
      <c r="O27" s="731">
        <v>71532320</v>
      </c>
      <c r="P27" s="731">
        <v>77494023</v>
      </c>
      <c r="Q27" s="731">
        <v>41222640</v>
      </c>
      <c r="R27" s="731">
        <v>32529240</v>
      </c>
      <c r="S27" s="731">
        <v>12187440</v>
      </c>
      <c r="T27" s="731">
        <f>SUM(T28:T39)</f>
        <v>5122080</v>
      </c>
      <c r="U27" s="555">
        <f>SUM(U28:U39)</f>
        <v>72000</v>
      </c>
      <c r="V27" s="555">
        <f>SUM(V28:V39)</f>
        <v>0</v>
      </c>
      <c r="W27" s="555">
        <f>SUM(W28:W39)</f>
        <v>0</v>
      </c>
      <c r="X27" s="555">
        <f>SUM(X28:X39)</f>
        <v>0</v>
      </c>
    </row>
    <row r="28" spans="1:24" ht="15" customHeight="1">
      <c r="A28" s="76" t="s">
        <v>55</v>
      </c>
      <c r="B28" s="77">
        <v>0</v>
      </c>
      <c r="C28" s="77">
        <v>1034640</v>
      </c>
      <c r="D28" s="77">
        <v>669240</v>
      </c>
      <c r="E28" s="77">
        <v>1673280</v>
      </c>
      <c r="F28" s="77">
        <v>1761480</v>
      </c>
      <c r="G28" s="77">
        <v>1922400</v>
      </c>
      <c r="H28" s="77">
        <v>2239560</v>
      </c>
      <c r="I28" s="77">
        <v>3472560</v>
      </c>
      <c r="J28" s="77">
        <v>3475080</v>
      </c>
      <c r="K28" s="77">
        <v>3206160</v>
      </c>
      <c r="L28" s="77">
        <v>3907440</v>
      </c>
      <c r="M28" s="77">
        <v>4423560</v>
      </c>
      <c r="N28" s="77">
        <v>5124600</v>
      </c>
      <c r="O28" s="77">
        <v>5249520</v>
      </c>
      <c r="P28" s="77">
        <v>6001200</v>
      </c>
      <c r="Q28" s="77">
        <v>6498560</v>
      </c>
      <c r="R28" s="77">
        <v>2543760</v>
      </c>
      <c r="S28" s="77">
        <v>1337040</v>
      </c>
      <c r="T28" s="77">
        <v>234720</v>
      </c>
      <c r="U28" s="204">
        <v>0</v>
      </c>
      <c r="V28" s="204">
        <v>0</v>
      </c>
      <c r="W28" s="204">
        <v>0</v>
      </c>
      <c r="X28" s="204">
        <v>0</v>
      </c>
    </row>
    <row r="29" spans="1:24" ht="15" customHeight="1">
      <c r="A29" s="76" t="s">
        <v>56</v>
      </c>
      <c r="B29" s="77">
        <v>248300</v>
      </c>
      <c r="C29" s="77">
        <v>1269720</v>
      </c>
      <c r="D29" s="77">
        <v>491400</v>
      </c>
      <c r="E29" s="77">
        <v>813600</v>
      </c>
      <c r="F29" s="77">
        <v>1457080</v>
      </c>
      <c r="G29" s="77">
        <v>2185200</v>
      </c>
      <c r="H29" s="77">
        <v>2367360</v>
      </c>
      <c r="I29" s="77">
        <v>2864880</v>
      </c>
      <c r="J29" s="77">
        <v>2645640</v>
      </c>
      <c r="K29" s="77">
        <v>3145680</v>
      </c>
      <c r="L29" s="77">
        <v>3812400</v>
      </c>
      <c r="M29" s="77">
        <v>4284360</v>
      </c>
      <c r="N29" s="77">
        <v>5463360</v>
      </c>
      <c r="O29" s="77">
        <v>4513680</v>
      </c>
      <c r="P29" s="77">
        <v>6156000</v>
      </c>
      <c r="Q29" s="77">
        <v>5013840</v>
      </c>
      <c r="R29" s="77">
        <v>2694960</v>
      </c>
      <c r="S29" s="77">
        <v>677880</v>
      </c>
      <c r="T29" s="77">
        <v>603720</v>
      </c>
      <c r="U29" s="204">
        <v>72000</v>
      </c>
      <c r="V29" s="204">
        <v>0</v>
      </c>
      <c r="W29" s="204">
        <v>0</v>
      </c>
      <c r="X29" s="204">
        <v>0</v>
      </c>
    </row>
    <row r="30" spans="1:24" ht="15" customHeight="1">
      <c r="A30" s="76" t="s">
        <v>57</v>
      </c>
      <c r="B30" s="77">
        <v>0</v>
      </c>
      <c r="C30" s="77">
        <v>619160</v>
      </c>
      <c r="D30" s="77">
        <v>821880</v>
      </c>
      <c r="E30" s="77">
        <v>172800</v>
      </c>
      <c r="F30" s="77">
        <v>1916640</v>
      </c>
      <c r="G30" s="77">
        <v>2455200</v>
      </c>
      <c r="H30" s="77">
        <v>2921040</v>
      </c>
      <c r="I30" s="77">
        <v>2310480</v>
      </c>
      <c r="J30" s="77">
        <v>3976200</v>
      </c>
      <c r="K30" s="77">
        <v>3445560</v>
      </c>
      <c r="L30" s="77">
        <v>4594680</v>
      </c>
      <c r="M30" s="77">
        <v>4960320</v>
      </c>
      <c r="N30" s="77">
        <v>5837400</v>
      </c>
      <c r="O30" s="77">
        <v>5391720</v>
      </c>
      <c r="P30" s="77">
        <v>5927760</v>
      </c>
      <c r="Q30" s="77">
        <v>5057680</v>
      </c>
      <c r="R30" s="77">
        <v>2935440</v>
      </c>
      <c r="S30" s="77">
        <v>1237320</v>
      </c>
      <c r="T30" s="77">
        <v>183600</v>
      </c>
      <c r="U30" s="204">
        <v>0</v>
      </c>
      <c r="V30" s="204">
        <v>0</v>
      </c>
      <c r="W30" s="204">
        <v>0</v>
      </c>
      <c r="X30" s="204">
        <v>0</v>
      </c>
    </row>
    <row r="31" spans="1:24" ht="15" customHeight="1">
      <c r="A31" s="76" t="s">
        <v>58</v>
      </c>
      <c r="B31" s="77">
        <v>0</v>
      </c>
      <c r="C31" s="77">
        <v>630720</v>
      </c>
      <c r="D31" s="77">
        <v>745560</v>
      </c>
      <c r="E31" s="77">
        <v>0</v>
      </c>
      <c r="F31" s="77">
        <v>1362960</v>
      </c>
      <c r="G31" s="77">
        <v>1845360</v>
      </c>
      <c r="H31" s="77">
        <v>1701360</v>
      </c>
      <c r="I31" s="77">
        <v>2290680</v>
      </c>
      <c r="J31" s="77">
        <v>3880440</v>
      </c>
      <c r="K31" s="77">
        <v>3830040</v>
      </c>
      <c r="L31" s="77">
        <v>3598560</v>
      </c>
      <c r="M31" s="77">
        <v>4328640</v>
      </c>
      <c r="N31" s="77">
        <v>5478840</v>
      </c>
      <c r="O31" s="77">
        <v>6263640</v>
      </c>
      <c r="P31" s="77">
        <v>6273360</v>
      </c>
      <c r="Q31" s="77">
        <v>2270000</v>
      </c>
      <c r="R31" s="77">
        <v>2499480</v>
      </c>
      <c r="S31" s="77">
        <v>1271520</v>
      </c>
      <c r="T31" s="77">
        <v>0</v>
      </c>
      <c r="U31" s="204">
        <v>0</v>
      </c>
      <c r="V31" s="204">
        <v>0</v>
      </c>
      <c r="W31" s="204">
        <v>0</v>
      </c>
      <c r="X31" s="204">
        <v>0</v>
      </c>
    </row>
    <row r="32" spans="1:24" ht="15" customHeight="1">
      <c r="A32" s="76" t="s">
        <v>59</v>
      </c>
      <c r="B32" s="77">
        <v>0</v>
      </c>
      <c r="C32" s="77">
        <v>540720</v>
      </c>
      <c r="D32" s="77">
        <v>573120</v>
      </c>
      <c r="E32" s="77">
        <v>115200</v>
      </c>
      <c r="F32" s="77">
        <v>1985400</v>
      </c>
      <c r="G32" s="77">
        <v>2010600</v>
      </c>
      <c r="H32" s="77">
        <v>1749600</v>
      </c>
      <c r="I32" s="77">
        <v>3391560</v>
      </c>
      <c r="J32" s="77">
        <v>4016880</v>
      </c>
      <c r="K32" s="77">
        <v>2664720</v>
      </c>
      <c r="L32" s="77">
        <v>4142880</v>
      </c>
      <c r="M32" s="77">
        <v>4304520</v>
      </c>
      <c r="N32" s="77">
        <v>7632720</v>
      </c>
      <c r="O32" s="77">
        <v>5702400</v>
      </c>
      <c r="P32" s="77">
        <v>5791320</v>
      </c>
      <c r="Q32" s="77">
        <v>1888160</v>
      </c>
      <c r="R32" s="77">
        <v>1915200</v>
      </c>
      <c r="S32" s="77">
        <v>1221120</v>
      </c>
      <c r="T32" s="77">
        <v>104400</v>
      </c>
      <c r="U32" s="204">
        <v>0</v>
      </c>
      <c r="V32" s="204">
        <v>0</v>
      </c>
      <c r="W32" s="204">
        <v>0</v>
      </c>
      <c r="X32" s="204">
        <v>0</v>
      </c>
    </row>
    <row r="33" spans="1:24" ht="15" customHeight="1">
      <c r="A33" s="76" t="s">
        <v>60</v>
      </c>
      <c r="B33" s="77">
        <v>0</v>
      </c>
      <c r="C33" s="77">
        <v>295560</v>
      </c>
      <c r="D33" s="77">
        <v>651600</v>
      </c>
      <c r="E33" s="77">
        <v>357840</v>
      </c>
      <c r="F33" s="77">
        <v>2643840</v>
      </c>
      <c r="G33" s="77">
        <v>2412360</v>
      </c>
      <c r="H33" s="77">
        <v>1366740</v>
      </c>
      <c r="I33" s="77">
        <v>2544840</v>
      </c>
      <c r="J33" s="77">
        <v>3292920</v>
      </c>
      <c r="K33" s="77">
        <v>2920320</v>
      </c>
      <c r="L33" s="77">
        <v>5458680</v>
      </c>
      <c r="M33" s="77">
        <v>4368600</v>
      </c>
      <c r="N33" s="77">
        <v>6289920</v>
      </c>
      <c r="O33" s="77">
        <v>4404960</v>
      </c>
      <c r="P33" s="77">
        <v>6462394</v>
      </c>
      <c r="Q33" s="77">
        <v>3123360</v>
      </c>
      <c r="R33" s="77">
        <v>2851920</v>
      </c>
      <c r="S33" s="77">
        <v>1019880</v>
      </c>
      <c r="T33" s="77">
        <v>242280</v>
      </c>
      <c r="U33" s="204">
        <v>0</v>
      </c>
      <c r="V33" s="204">
        <v>0</v>
      </c>
      <c r="W33" s="204">
        <v>0</v>
      </c>
      <c r="X33" s="204">
        <v>0</v>
      </c>
    </row>
    <row r="34" spans="1:24" ht="15" customHeight="1">
      <c r="A34" s="76" t="s">
        <v>61</v>
      </c>
      <c r="B34" s="77">
        <v>0</v>
      </c>
      <c r="C34" s="77">
        <v>573840</v>
      </c>
      <c r="D34" s="77">
        <v>760320</v>
      </c>
      <c r="E34" s="77">
        <v>618480</v>
      </c>
      <c r="F34" s="77">
        <v>1915200</v>
      </c>
      <c r="G34" s="77">
        <v>2311200</v>
      </c>
      <c r="H34" s="77">
        <v>2667600</v>
      </c>
      <c r="I34" s="77">
        <v>2724480</v>
      </c>
      <c r="J34" s="77">
        <v>3884400</v>
      </c>
      <c r="K34" s="77">
        <v>4197240</v>
      </c>
      <c r="L34" s="77">
        <v>5560200</v>
      </c>
      <c r="M34" s="77">
        <v>4507920</v>
      </c>
      <c r="N34" s="77">
        <v>6221880</v>
      </c>
      <c r="O34" s="77">
        <v>4846680</v>
      </c>
      <c r="P34" s="77">
        <v>6949000</v>
      </c>
      <c r="Q34" s="77">
        <v>3706200</v>
      </c>
      <c r="R34" s="77">
        <v>2269440</v>
      </c>
      <c r="S34" s="77">
        <v>1035360</v>
      </c>
      <c r="T34" s="77">
        <v>627840</v>
      </c>
      <c r="U34" s="204">
        <v>0</v>
      </c>
      <c r="V34" s="204">
        <v>0</v>
      </c>
      <c r="W34" s="204">
        <v>0</v>
      </c>
      <c r="X34" s="204">
        <v>0</v>
      </c>
    </row>
    <row r="35" spans="1:24" ht="15" customHeight="1">
      <c r="A35" s="76" t="s">
        <v>62</v>
      </c>
      <c r="B35" s="77">
        <v>0</v>
      </c>
      <c r="C35" s="77">
        <v>443520</v>
      </c>
      <c r="D35" s="77">
        <v>759960</v>
      </c>
      <c r="E35" s="77">
        <v>1104480</v>
      </c>
      <c r="F35" s="77">
        <v>1897560</v>
      </c>
      <c r="G35" s="77">
        <v>2385000</v>
      </c>
      <c r="H35" s="77">
        <v>3582720</v>
      </c>
      <c r="I35" s="77">
        <v>2673360</v>
      </c>
      <c r="J35" s="77">
        <v>3276360</v>
      </c>
      <c r="K35" s="77">
        <v>3825465</v>
      </c>
      <c r="L35" s="77">
        <v>5679720</v>
      </c>
      <c r="M35" s="77">
        <v>4734400</v>
      </c>
      <c r="N35" s="77">
        <v>5550480</v>
      </c>
      <c r="O35" s="77">
        <v>6009440</v>
      </c>
      <c r="P35" s="77">
        <v>6626240</v>
      </c>
      <c r="Q35" s="77">
        <v>3038040</v>
      </c>
      <c r="R35" s="77">
        <v>3368880</v>
      </c>
      <c r="S35" s="77">
        <v>1329480</v>
      </c>
      <c r="T35" s="77">
        <v>918720</v>
      </c>
      <c r="U35" s="204">
        <v>0</v>
      </c>
      <c r="V35" s="204">
        <v>0</v>
      </c>
      <c r="W35" s="204">
        <v>0</v>
      </c>
      <c r="X35" s="204">
        <v>0</v>
      </c>
    </row>
    <row r="36" spans="1:24" ht="15" customHeight="1">
      <c r="A36" s="76" t="s">
        <v>63</v>
      </c>
      <c r="B36" s="77">
        <v>0</v>
      </c>
      <c r="C36" s="77">
        <v>582480</v>
      </c>
      <c r="D36" s="77">
        <v>840240</v>
      </c>
      <c r="E36" s="77">
        <v>1833120</v>
      </c>
      <c r="F36" s="77">
        <v>2250000</v>
      </c>
      <c r="G36" s="77">
        <v>2316600</v>
      </c>
      <c r="H36" s="77">
        <v>3437600</v>
      </c>
      <c r="I36" s="77">
        <v>2649600</v>
      </c>
      <c r="J36" s="77">
        <v>3435120</v>
      </c>
      <c r="K36" s="77">
        <v>4293000</v>
      </c>
      <c r="L36" s="77">
        <v>5911000</v>
      </c>
      <c r="M36" s="77">
        <v>5422320</v>
      </c>
      <c r="N36" s="77">
        <v>5275440</v>
      </c>
      <c r="O36" s="77">
        <v>8465160</v>
      </c>
      <c r="P36" s="77">
        <v>7078360</v>
      </c>
      <c r="Q36" s="77">
        <v>3985880</v>
      </c>
      <c r="R36" s="77">
        <v>3614040</v>
      </c>
      <c r="S36" s="77">
        <v>1313640</v>
      </c>
      <c r="T36" s="77">
        <v>944280</v>
      </c>
      <c r="U36" s="204">
        <v>0</v>
      </c>
      <c r="V36" s="204">
        <v>0</v>
      </c>
      <c r="W36" s="204">
        <v>0</v>
      </c>
      <c r="X36" s="204">
        <v>0</v>
      </c>
    </row>
    <row r="37" spans="1:24" ht="15" customHeight="1">
      <c r="A37" s="76" t="s">
        <v>64</v>
      </c>
      <c r="B37" s="77">
        <v>214560</v>
      </c>
      <c r="C37" s="77">
        <v>512360</v>
      </c>
      <c r="D37" s="77">
        <v>1130040</v>
      </c>
      <c r="E37" s="77">
        <v>1441800</v>
      </c>
      <c r="F37" s="77">
        <v>1897000</v>
      </c>
      <c r="G37" s="77">
        <v>2214000</v>
      </c>
      <c r="H37" s="77">
        <v>3794400</v>
      </c>
      <c r="I37" s="77">
        <v>2998800</v>
      </c>
      <c r="J37" s="77">
        <v>4705920</v>
      </c>
      <c r="K37" s="77">
        <v>4483080</v>
      </c>
      <c r="L37" s="77">
        <v>6465640</v>
      </c>
      <c r="M37" s="77">
        <v>5093280</v>
      </c>
      <c r="N37" s="77">
        <v>6111720</v>
      </c>
      <c r="O37" s="77">
        <v>8242080</v>
      </c>
      <c r="P37" s="77">
        <v>6918040</v>
      </c>
      <c r="Q37" s="77">
        <v>3212640</v>
      </c>
      <c r="R37" s="77">
        <v>3531240</v>
      </c>
      <c r="S37" s="77">
        <v>1211040</v>
      </c>
      <c r="T37" s="77">
        <v>850320</v>
      </c>
      <c r="U37" s="204">
        <v>0</v>
      </c>
      <c r="V37" s="204">
        <v>0</v>
      </c>
      <c r="W37" s="204">
        <v>0</v>
      </c>
      <c r="X37" s="204">
        <v>0</v>
      </c>
    </row>
    <row r="38" spans="1:24" ht="15" customHeight="1">
      <c r="A38" s="76" t="s">
        <v>65</v>
      </c>
      <c r="B38" s="77">
        <v>225360</v>
      </c>
      <c r="C38" s="77">
        <v>626640</v>
      </c>
      <c r="D38" s="77">
        <v>830520</v>
      </c>
      <c r="E38" s="77">
        <v>1539000</v>
      </c>
      <c r="F38" s="77">
        <v>1022400</v>
      </c>
      <c r="G38" s="77">
        <v>1908000</v>
      </c>
      <c r="H38" s="77">
        <v>3017120</v>
      </c>
      <c r="I38" s="77">
        <v>2306160</v>
      </c>
      <c r="J38" s="77">
        <v>3484440</v>
      </c>
      <c r="K38" s="77">
        <v>4266360</v>
      </c>
      <c r="L38" s="77">
        <v>5764440</v>
      </c>
      <c r="M38" s="77">
        <v>5047920</v>
      </c>
      <c r="N38" s="77">
        <v>5221440</v>
      </c>
      <c r="O38" s="77">
        <v>6709320</v>
      </c>
      <c r="P38" s="77">
        <v>6139549</v>
      </c>
      <c r="Q38" s="77">
        <v>1896120</v>
      </c>
      <c r="R38" s="77">
        <v>2303640</v>
      </c>
      <c r="S38" s="77">
        <v>327240</v>
      </c>
      <c r="T38" s="77">
        <v>169560</v>
      </c>
      <c r="U38" s="204">
        <v>0</v>
      </c>
      <c r="V38" s="204">
        <v>0</v>
      </c>
      <c r="W38" s="204">
        <v>0</v>
      </c>
      <c r="X38" s="204">
        <v>0</v>
      </c>
    </row>
    <row r="39" spans="1:24" ht="15" customHeight="1" thickBot="1">
      <c r="A39" s="79" t="s">
        <v>66</v>
      </c>
      <c r="B39" s="100">
        <v>131140</v>
      </c>
      <c r="C39" s="100">
        <v>456480</v>
      </c>
      <c r="D39" s="100">
        <v>1076400</v>
      </c>
      <c r="E39" s="100">
        <v>1846080</v>
      </c>
      <c r="F39" s="100">
        <v>1666660</v>
      </c>
      <c r="G39" s="100">
        <v>2750400</v>
      </c>
      <c r="H39" s="100">
        <v>3253680</v>
      </c>
      <c r="I39" s="100">
        <v>2775600</v>
      </c>
      <c r="J39" s="100">
        <v>3961800</v>
      </c>
      <c r="K39" s="100">
        <v>4781160</v>
      </c>
      <c r="L39" s="100">
        <v>6313440</v>
      </c>
      <c r="M39" s="100">
        <v>2547000</v>
      </c>
      <c r="N39" s="100">
        <v>3436560</v>
      </c>
      <c r="O39" s="100">
        <v>5733720</v>
      </c>
      <c r="P39" s="100">
        <v>7170800</v>
      </c>
      <c r="Q39" s="100">
        <v>1532160</v>
      </c>
      <c r="R39" s="100">
        <v>2001240</v>
      </c>
      <c r="S39" s="100">
        <v>205920</v>
      </c>
      <c r="T39" s="100">
        <v>242640</v>
      </c>
      <c r="U39" s="432">
        <v>0</v>
      </c>
      <c r="V39" s="432">
        <v>0</v>
      </c>
      <c r="W39" s="432">
        <v>0</v>
      </c>
      <c r="X39" s="432">
        <v>0</v>
      </c>
    </row>
    <row r="40" spans="1:24" ht="9" customHeight="1">
      <c r="A40" s="778" t="s">
        <v>402</v>
      </c>
      <c r="B40" s="796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190"/>
    </row>
    <row r="41" spans="1:24" ht="9" customHeight="1">
      <c r="A41" s="871" t="s">
        <v>377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  <c r="P41" s="796"/>
      <c r="Q41" s="796"/>
      <c r="R41" s="190"/>
    </row>
    <row r="42" spans="1:24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  <c r="P42" s="796"/>
      <c r="Q42" s="796"/>
      <c r="R42" s="190"/>
    </row>
    <row r="43" spans="1:24" ht="13.25" customHeight="1">
      <c r="A43" s="796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  <c r="P43" s="796"/>
      <c r="Q43" s="796"/>
    </row>
    <row r="44" spans="1:24" ht="13.25" customHeight="1">
      <c r="A44" s="796"/>
      <c r="B44" s="796"/>
      <c r="C44" s="796"/>
      <c r="D44" s="796"/>
      <c r="E44" s="796"/>
      <c r="F44" s="796"/>
      <c r="G44" s="796"/>
      <c r="H44" s="796"/>
      <c r="I44" s="796"/>
      <c r="J44" s="796"/>
      <c r="K44" s="796"/>
      <c r="L44" s="796"/>
      <c r="M44" s="796"/>
      <c r="N44" s="796"/>
      <c r="O44" s="796"/>
      <c r="P44" s="796"/>
      <c r="Q44" s="796"/>
    </row>
    <row r="45" spans="1:24" ht="13.25" customHeight="1">
      <c r="A45" s="796"/>
      <c r="B45" s="796"/>
      <c r="C45" s="796"/>
      <c r="D45" s="796"/>
      <c r="E45" s="796"/>
      <c r="F45" s="796"/>
      <c r="G45" s="796"/>
      <c r="H45" s="796"/>
      <c r="I45" s="796"/>
      <c r="J45" s="796"/>
      <c r="K45" s="796"/>
      <c r="L45" s="796"/>
      <c r="M45" s="796"/>
      <c r="N45" s="796"/>
      <c r="O45" s="796"/>
      <c r="P45" s="796"/>
      <c r="Q45" s="796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Hoja124">
    <tabColor theme="9" tint="0.59999389629810485"/>
  </sheetPr>
  <dimension ref="A1:W45"/>
  <sheetViews>
    <sheetView showGridLines="0" tabSelected="1" topLeftCell="N1" zoomScaleNormal="100" workbookViewId="0">
      <selection activeCell="AI16" sqref="AI16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0" width="0" style="73" hidden="1" customWidth="1"/>
    <col min="11" max="11" width="3.3984375" style="73" hidden="1" customWidth="1"/>
    <col min="12" max="23" width="9" style="73" customWidth="1"/>
    <col min="24" max="24" width="8.796875" style="73" customWidth="1"/>
    <col min="25" max="28" width="8.3984375" style="73" customWidth="1"/>
    <col min="29" max="16384" width="7" style="73"/>
  </cols>
  <sheetData>
    <row r="1" spans="1:23" ht="13.25" customHeight="1">
      <c r="A1" s="1001"/>
      <c r="B1" s="1001"/>
      <c r="C1" s="1001"/>
      <c r="D1" s="1001"/>
      <c r="E1" s="1001"/>
    </row>
    <row r="2" spans="1:23" ht="13.25" customHeight="1">
      <c r="A2" s="250" t="s">
        <v>589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23" ht="13.25" customHeight="1">
      <c r="A3" s="253" t="s">
        <v>304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23" ht="4.25" customHeight="1" thickBot="1"/>
    <row r="5" spans="1:23" ht="16.25" customHeight="1">
      <c r="A5" s="568" t="s">
        <v>110</v>
      </c>
      <c r="B5" s="565">
        <v>2000</v>
      </c>
      <c r="C5" s="565">
        <v>2001</v>
      </c>
      <c r="D5" s="565">
        <v>2002</v>
      </c>
      <c r="E5" s="565">
        <v>2003</v>
      </c>
      <c r="F5" s="565">
        <v>2004</v>
      </c>
      <c r="G5" s="565">
        <v>2005</v>
      </c>
      <c r="H5" s="565">
        <v>2006</v>
      </c>
      <c r="I5" s="565">
        <v>2007</v>
      </c>
      <c r="J5" s="565">
        <v>2008</v>
      </c>
      <c r="K5" s="565">
        <v>2009</v>
      </c>
      <c r="L5" s="565">
        <v>2010</v>
      </c>
      <c r="M5" s="565">
        <v>2011</v>
      </c>
      <c r="N5" s="565">
        <v>2012</v>
      </c>
      <c r="O5" s="565">
        <v>2013</v>
      </c>
      <c r="P5" s="565">
        <v>2014</v>
      </c>
      <c r="Q5" s="565">
        <v>2015</v>
      </c>
      <c r="R5" s="565">
        <v>2016</v>
      </c>
      <c r="S5" s="543">
        <v>2017</v>
      </c>
      <c r="T5" s="543">
        <v>2018</v>
      </c>
      <c r="U5" s="543">
        <v>2019</v>
      </c>
      <c r="V5" s="544" t="s">
        <v>347</v>
      </c>
      <c r="W5" s="544" t="s">
        <v>477</v>
      </c>
    </row>
    <row r="6" spans="1:23" ht="16.25" customHeight="1">
      <c r="A6" s="554" t="s">
        <v>54</v>
      </c>
      <c r="B6" s="731">
        <v>149118</v>
      </c>
      <c r="C6" s="731">
        <v>173520</v>
      </c>
      <c r="D6" s="731">
        <v>134788</v>
      </c>
      <c r="E6" s="731">
        <v>126750</v>
      </c>
      <c r="F6" s="731">
        <v>153020</v>
      </c>
      <c r="G6" s="731">
        <v>250768</v>
      </c>
      <c r="H6" s="731">
        <v>192440</v>
      </c>
      <c r="I6" s="731">
        <v>219000</v>
      </c>
      <c r="J6" s="731">
        <v>197944</v>
      </c>
      <c r="K6" s="731">
        <v>233698</v>
      </c>
      <c r="L6" s="737">
        <v>250508</v>
      </c>
      <c r="M6" s="737">
        <v>302784</v>
      </c>
      <c r="N6" s="737">
        <v>279680</v>
      </c>
      <c r="O6" s="737">
        <v>254320</v>
      </c>
      <c r="P6" s="737">
        <v>242980</v>
      </c>
      <c r="Q6" s="737">
        <v>264540</v>
      </c>
      <c r="R6" s="737">
        <v>314592</v>
      </c>
      <c r="S6" s="737">
        <v>329754</v>
      </c>
      <c r="T6" s="737">
        <f>SUM(T7:T18)</f>
        <v>337244</v>
      </c>
      <c r="U6" s="737">
        <f>SUM(U7:U18)</f>
        <v>305520</v>
      </c>
      <c r="V6" s="737">
        <f>SUM(V7:V18)</f>
        <v>0</v>
      </c>
      <c r="W6" s="737">
        <f>SUM(W7:W18)</f>
        <v>0</v>
      </c>
    </row>
    <row r="7" spans="1:23" ht="15" customHeight="1">
      <c r="A7" s="76" t="s">
        <v>55</v>
      </c>
      <c r="B7" s="77">
        <v>12882</v>
      </c>
      <c r="C7" s="77">
        <v>22160</v>
      </c>
      <c r="D7" s="77">
        <v>15150</v>
      </c>
      <c r="E7" s="77">
        <v>13000</v>
      </c>
      <c r="F7" s="77">
        <v>12680</v>
      </c>
      <c r="G7" s="77">
        <v>39420</v>
      </c>
      <c r="H7" s="77">
        <v>10400</v>
      </c>
      <c r="I7" s="77">
        <v>27100</v>
      </c>
      <c r="J7" s="77">
        <v>4000</v>
      </c>
      <c r="K7" s="77">
        <v>8160</v>
      </c>
      <c r="L7" s="430">
        <v>25780</v>
      </c>
      <c r="M7" s="430">
        <v>42640</v>
      </c>
      <c r="N7" s="430">
        <v>38560</v>
      </c>
      <c r="O7" s="430">
        <v>10400</v>
      </c>
      <c r="P7" s="430">
        <v>14700</v>
      </c>
      <c r="Q7" s="430">
        <v>12480</v>
      </c>
      <c r="R7" s="430">
        <v>20920</v>
      </c>
      <c r="S7" s="430">
        <v>21560</v>
      </c>
      <c r="T7" s="430">
        <v>37807</v>
      </c>
      <c r="U7" s="430">
        <v>27040</v>
      </c>
      <c r="V7" s="430">
        <v>0</v>
      </c>
      <c r="W7" s="430">
        <v>0</v>
      </c>
    </row>
    <row r="8" spans="1:23" ht="15" customHeight="1">
      <c r="A8" s="76" t="s">
        <v>56</v>
      </c>
      <c r="B8" s="77">
        <v>15712</v>
      </c>
      <c r="C8" s="77">
        <v>0</v>
      </c>
      <c r="D8" s="77">
        <v>8650</v>
      </c>
      <c r="E8" s="77">
        <v>5000</v>
      </c>
      <c r="F8" s="77">
        <v>7500</v>
      </c>
      <c r="G8" s="77">
        <v>8000</v>
      </c>
      <c r="H8" s="77">
        <v>28040</v>
      </c>
      <c r="I8" s="77">
        <v>3600</v>
      </c>
      <c r="J8" s="77">
        <v>17480</v>
      </c>
      <c r="K8" s="77">
        <v>13200</v>
      </c>
      <c r="L8" s="430">
        <v>25300</v>
      </c>
      <c r="M8" s="430">
        <v>18824</v>
      </c>
      <c r="N8" s="430">
        <v>17160</v>
      </c>
      <c r="O8" s="430">
        <v>29240</v>
      </c>
      <c r="P8" s="430">
        <v>33200</v>
      </c>
      <c r="Q8" s="430">
        <v>14960</v>
      </c>
      <c r="R8" s="430">
        <v>0</v>
      </c>
      <c r="S8" s="430">
        <v>19940</v>
      </c>
      <c r="T8" s="430">
        <v>7906</v>
      </c>
      <c r="U8" s="430">
        <v>13220</v>
      </c>
      <c r="V8" s="430">
        <v>0</v>
      </c>
      <c r="W8" s="430">
        <v>0</v>
      </c>
    </row>
    <row r="9" spans="1:23" ht="15" customHeight="1">
      <c r="A9" s="76" t="s">
        <v>57</v>
      </c>
      <c r="B9" s="77">
        <v>17171</v>
      </c>
      <c r="C9" s="77">
        <v>12000</v>
      </c>
      <c r="D9" s="77">
        <v>0</v>
      </c>
      <c r="E9" s="77">
        <v>7000</v>
      </c>
      <c r="F9" s="77">
        <v>9500</v>
      </c>
      <c r="G9" s="77">
        <v>24248</v>
      </c>
      <c r="H9" s="77">
        <v>0</v>
      </c>
      <c r="I9" s="77">
        <v>22980</v>
      </c>
      <c r="J9" s="77">
        <v>24000</v>
      </c>
      <c r="K9" s="77">
        <v>17850</v>
      </c>
      <c r="L9" s="430">
        <v>25200</v>
      </c>
      <c r="M9" s="430">
        <v>18920</v>
      </c>
      <c r="N9" s="430">
        <v>16060</v>
      </c>
      <c r="O9" s="430">
        <v>20700</v>
      </c>
      <c r="P9" s="430">
        <v>14800</v>
      </c>
      <c r="Q9" s="430">
        <v>16640</v>
      </c>
      <c r="R9" s="430">
        <v>48464</v>
      </c>
      <c r="S9" s="430">
        <v>24517</v>
      </c>
      <c r="T9" s="430">
        <v>7200</v>
      </c>
      <c r="U9" s="430">
        <v>47912</v>
      </c>
      <c r="V9" s="430">
        <v>0</v>
      </c>
      <c r="W9" s="430">
        <v>0</v>
      </c>
    </row>
    <row r="10" spans="1:23" ht="15" customHeight="1">
      <c r="A10" s="76" t="s">
        <v>58</v>
      </c>
      <c r="B10" s="77">
        <v>10000</v>
      </c>
      <c r="C10" s="77">
        <v>0</v>
      </c>
      <c r="D10" s="77">
        <v>15500</v>
      </c>
      <c r="E10" s="77">
        <v>18500</v>
      </c>
      <c r="F10" s="77">
        <v>9000</v>
      </c>
      <c r="G10" s="77">
        <v>31568</v>
      </c>
      <c r="H10" s="77">
        <v>33940</v>
      </c>
      <c r="I10" s="77">
        <v>29100</v>
      </c>
      <c r="J10" s="77">
        <v>41660</v>
      </c>
      <c r="K10" s="77">
        <v>15000</v>
      </c>
      <c r="L10" s="430">
        <v>11100</v>
      </c>
      <c r="M10" s="430">
        <v>37200</v>
      </c>
      <c r="N10" s="430">
        <v>18000</v>
      </c>
      <c r="O10" s="430">
        <v>10600</v>
      </c>
      <c r="P10" s="430">
        <v>32840</v>
      </c>
      <c r="Q10" s="430">
        <v>41600</v>
      </c>
      <c r="R10" s="430">
        <v>20440</v>
      </c>
      <c r="S10" s="430">
        <v>37440</v>
      </c>
      <c r="T10" s="430">
        <v>57880</v>
      </c>
      <c r="U10" s="430">
        <v>6240</v>
      </c>
      <c r="V10" s="430">
        <v>0</v>
      </c>
      <c r="W10" s="430">
        <v>0</v>
      </c>
    </row>
    <row r="11" spans="1:23" ht="15" customHeight="1">
      <c r="A11" s="76" t="s">
        <v>59</v>
      </c>
      <c r="B11" s="77">
        <v>9500</v>
      </c>
      <c r="C11" s="77">
        <v>22660</v>
      </c>
      <c r="D11" s="77">
        <v>13000</v>
      </c>
      <c r="E11" s="77">
        <v>0</v>
      </c>
      <c r="F11" s="77">
        <v>6760</v>
      </c>
      <c r="G11" s="77">
        <v>12200</v>
      </c>
      <c r="H11" s="77">
        <v>8120</v>
      </c>
      <c r="I11" s="77">
        <v>10000</v>
      </c>
      <c r="J11" s="77">
        <v>6000</v>
      </c>
      <c r="K11" s="77">
        <v>40656</v>
      </c>
      <c r="L11" s="430">
        <v>12200</v>
      </c>
      <c r="M11" s="430">
        <v>25520</v>
      </c>
      <c r="N11" s="430">
        <v>32920</v>
      </c>
      <c r="O11" s="430">
        <v>42600</v>
      </c>
      <c r="P11" s="430">
        <v>9920</v>
      </c>
      <c r="Q11" s="430">
        <v>0</v>
      </c>
      <c r="R11" s="430">
        <v>49080</v>
      </c>
      <c r="S11" s="430">
        <v>26060</v>
      </c>
      <c r="T11" s="430">
        <v>38736</v>
      </c>
      <c r="U11" s="430">
        <v>50160</v>
      </c>
      <c r="V11" s="430">
        <v>0</v>
      </c>
      <c r="W11" s="430">
        <v>0</v>
      </c>
    </row>
    <row r="12" spans="1:23" ht="15" customHeight="1">
      <c r="A12" s="76" t="s">
        <v>60</v>
      </c>
      <c r="B12" s="77">
        <v>17795</v>
      </c>
      <c r="C12" s="77">
        <v>19000</v>
      </c>
      <c r="D12" s="77">
        <v>5000</v>
      </c>
      <c r="E12" s="77">
        <v>25100</v>
      </c>
      <c r="F12" s="77">
        <v>15000</v>
      </c>
      <c r="G12" s="77">
        <v>12800</v>
      </c>
      <c r="H12" s="77">
        <v>7000</v>
      </c>
      <c r="I12" s="77">
        <v>11480</v>
      </c>
      <c r="J12" s="77">
        <v>17904</v>
      </c>
      <c r="K12" s="77">
        <v>21032</v>
      </c>
      <c r="L12" s="430">
        <v>13520</v>
      </c>
      <c r="M12" s="430">
        <v>0</v>
      </c>
      <c r="N12" s="430">
        <v>24520</v>
      </c>
      <c r="O12" s="430">
        <v>18540</v>
      </c>
      <c r="P12" s="430">
        <v>33780</v>
      </c>
      <c r="Q12" s="430">
        <v>46400</v>
      </c>
      <c r="R12" s="430">
        <v>6240</v>
      </c>
      <c r="S12" s="430">
        <v>0</v>
      </c>
      <c r="T12" s="430">
        <v>17480</v>
      </c>
      <c r="U12" s="430">
        <v>27040</v>
      </c>
      <c r="V12" s="430">
        <v>0</v>
      </c>
      <c r="W12" s="430">
        <v>0</v>
      </c>
    </row>
    <row r="13" spans="1:23" ht="15" customHeight="1">
      <c r="A13" s="76" t="s">
        <v>61</v>
      </c>
      <c r="B13" s="77">
        <v>23824</v>
      </c>
      <c r="C13" s="77">
        <v>10600</v>
      </c>
      <c r="D13" s="77">
        <v>12064</v>
      </c>
      <c r="E13" s="77">
        <v>12000</v>
      </c>
      <c r="F13" s="77">
        <v>22000</v>
      </c>
      <c r="G13" s="77">
        <v>8000</v>
      </c>
      <c r="H13" s="77">
        <v>17980</v>
      </c>
      <c r="I13" s="77">
        <v>14500</v>
      </c>
      <c r="J13" s="77">
        <v>8320</v>
      </c>
      <c r="K13" s="77">
        <v>23900</v>
      </c>
      <c r="L13" s="430">
        <v>21964</v>
      </c>
      <c r="M13" s="430">
        <v>56920</v>
      </c>
      <c r="N13" s="430">
        <v>46720</v>
      </c>
      <c r="O13" s="430">
        <v>11600</v>
      </c>
      <c r="P13" s="430">
        <v>12500</v>
      </c>
      <c r="Q13" s="430">
        <v>19680</v>
      </c>
      <c r="R13" s="430">
        <v>43280</v>
      </c>
      <c r="S13" s="430">
        <v>10640</v>
      </c>
      <c r="T13" s="430">
        <v>16700</v>
      </c>
      <c r="U13" s="430">
        <v>10480</v>
      </c>
      <c r="V13" s="430">
        <v>0</v>
      </c>
      <c r="W13" s="430">
        <v>0</v>
      </c>
    </row>
    <row r="14" spans="1:23" ht="15" customHeight="1">
      <c r="A14" s="76" t="s">
        <v>62</v>
      </c>
      <c r="B14" s="77">
        <v>3000</v>
      </c>
      <c r="C14" s="77">
        <v>21944</v>
      </c>
      <c r="D14" s="77">
        <v>15240</v>
      </c>
      <c r="E14" s="77">
        <v>6000</v>
      </c>
      <c r="F14" s="77">
        <v>2500</v>
      </c>
      <c r="G14" s="77">
        <v>37000</v>
      </c>
      <c r="H14" s="77">
        <v>10000</v>
      </c>
      <c r="I14" s="77">
        <v>28200</v>
      </c>
      <c r="J14" s="77">
        <v>32200</v>
      </c>
      <c r="K14" s="77">
        <v>23220</v>
      </c>
      <c r="L14" s="430">
        <v>8000</v>
      </c>
      <c r="M14" s="430">
        <v>23000</v>
      </c>
      <c r="N14" s="430">
        <v>11680</v>
      </c>
      <c r="O14" s="430">
        <v>25900</v>
      </c>
      <c r="P14" s="430">
        <v>10400</v>
      </c>
      <c r="Q14" s="430">
        <v>37800</v>
      </c>
      <c r="R14" s="430">
        <v>34344</v>
      </c>
      <c r="S14" s="430">
        <v>66980</v>
      </c>
      <c r="T14" s="430">
        <v>52200</v>
      </c>
      <c r="U14" s="430">
        <v>21760</v>
      </c>
      <c r="V14" s="430">
        <v>0</v>
      </c>
      <c r="W14" s="430">
        <v>0</v>
      </c>
    </row>
    <row r="15" spans="1:23" ht="15" customHeight="1">
      <c r="A15" s="76" t="s">
        <v>63</v>
      </c>
      <c r="B15" s="77">
        <v>10000</v>
      </c>
      <c r="C15" s="77">
        <v>7623</v>
      </c>
      <c r="D15" s="77">
        <v>3000</v>
      </c>
      <c r="E15" s="77">
        <v>14000</v>
      </c>
      <c r="F15" s="77">
        <v>15000</v>
      </c>
      <c r="G15" s="77">
        <v>18000</v>
      </c>
      <c r="H15" s="77">
        <v>31000</v>
      </c>
      <c r="I15" s="77">
        <v>11480</v>
      </c>
      <c r="J15" s="77">
        <v>4500</v>
      </c>
      <c r="K15" s="77">
        <v>11920</v>
      </c>
      <c r="L15" s="430">
        <v>42380</v>
      </c>
      <c r="M15" s="430">
        <v>5500</v>
      </c>
      <c r="N15" s="430">
        <v>14560</v>
      </c>
      <c r="O15" s="430">
        <v>10500</v>
      </c>
      <c r="P15" s="430">
        <v>14080</v>
      </c>
      <c r="Q15" s="430">
        <v>51140</v>
      </c>
      <c r="R15" s="430">
        <v>40384</v>
      </c>
      <c r="S15" s="430">
        <v>29516</v>
      </c>
      <c r="T15" s="430">
        <v>27452</v>
      </c>
      <c r="U15" s="430">
        <v>49108</v>
      </c>
      <c r="V15" s="430">
        <v>0</v>
      </c>
      <c r="W15" s="430">
        <v>0</v>
      </c>
    </row>
    <row r="16" spans="1:23" ht="15" customHeight="1">
      <c r="A16" s="76" t="s">
        <v>64</v>
      </c>
      <c r="B16" s="77">
        <v>13500</v>
      </c>
      <c r="C16" s="77">
        <v>40064</v>
      </c>
      <c r="D16" s="77">
        <v>24684</v>
      </c>
      <c r="E16" s="77">
        <v>17650</v>
      </c>
      <c r="F16" s="77">
        <v>26140</v>
      </c>
      <c r="G16" s="77">
        <v>15832</v>
      </c>
      <c r="H16" s="77">
        <v>16480</v>
      </c>
      <c r="I16" s="77">
        <v>12240</v>
      </c>
      <c r="J16" s="77">
        <v>14500</v>
      </c>
      <c r="K16" s="77">
        <v>16640</v>
      </c>
      <c r="L16" s="430">
        <v>0</v>
      </c>
      <c r="M16" s="430">
        <v>29200</v>
      </c>
      <c r="N16" s="430">
        <v>9580</v>
      </c>
      <c r="O16" s="430">
        <v>26160</v>
      </c>
      <c r="P16" s="430">
        <v>22880</v>
      </c>
      <c r="Q16" s="430">
        <v>0</v>
      </c>
      <c r="R16" s="430">
        <v>0</v>
      </c>
      <c r="S16" s="430">
        <v>34240</v>
      </c>
      <c r="T16" s="430">
        <v>2000</v>
      </c>
      <c r="U16" s="430">
        <v>22880</v>
      </c>
      <c r="V16" s="430">
        <v>0</v>
      </c>
      <c r="W16" s="430">
        <v>0</v>
      </c>
    </row>
    <row r="17" spans="1:23" ht="15" customHeight="1">
      <c r="A17" s="76" t="s">
        <v>65</v>
      </c>
      <c r="B17" s="77">
        <v>6240</v>
      </c>
      <c r="C17" s="77">
        <v>11000</v>
      </c>
      <c r="D17" s="77">
        <v>9000</v>
      </c>
      <c r="E17" s="77">
        <v>6000</v>
      </c>
      <c r="F17" s="77">
        <v>7120</v>
      </c>
      <c r="G17" s="77">
        <v>6200</v>
      </c>
      <c r="H17" s="77">
        <v>5000</v>
      </c>
      <c r="I17" s="77">
        <v>13620</v>
      </c>
      <c r="J17" s="77">
        <v>16380</v>
      </c>
      <c r="K17" s="77">
        <v>15360</v>
      </c>
      <c r="L17" s="430">
        <v>25400</v>
      </c>
      <c r="M17" s="430">
        <v>21220</v>
      </c>
      <c r="N17" s="430">
        <v>42640</v>
      </c>
      <c r="O17" s="430">
        <v>19640</v>
      </c>
      <c r="P17" s="430">
        <v>6240</v>
      </c>
      <c r="Q17" s="430">
        <v>17600</v>
      </c>
      <c r="R17" s="430">
        <v>8840</v>
      </c>
      <c r="S17" s="430">
        <v>47101</v>
      </c>
      <c r="T17" s="430">
        <v>56163</v>
      </c>
      <c r="U17" s="430">
        <v>23440</v>
      </c>
      <c r="V17" s="430">
        <v>0</v>
      </c>
      <c r="W17" s="430">
        <v>0</v>
      </c>
    </row>
    <row r="18" spans="1:23" ht="15" customHeight="1" thickBot="1">
      <c r="A18" s="79" t="s">
        <v>66</v>
      </c>
      <c r="B18" s="100">
        <v>9494</v>
      </c>
      <c r="C18" s="100">
        <v>6469</v>
      </c>
      <c r="D18" s="100">
        <v>13500</v>
      </c>
      <c r="E18" s="100">
        <v>2500</v>
      </c>
      <c r="F18" s="100">
        <v>19820</v>
      </c>
      <c r="G18" s="100">
        <v>37500</v>
      </c>
      <c r="H18" s="100">
        <v>24480</v>
      </c>
      <c r="I18" s="100">
        <v>34700</v>
      </c>
      <c r="J18" s="100">
        <v>11000</v>
      </c>
      <c r="K18" s="100">
        <v>26760</v>
      </c>
      <c r="L18" s="431">
        <v>39664</v>
      </c>
      <c r="M18" s="431">
        <v>23840</v>
      </c>
      <c r="N18" s="431">
        <v>7280</v>
      </c>
      <c r="O18" s="431">
        <v>28440</v>
      </c>
      <c r="P18" s="431">
        <v>37640</v>
      </c>
      <c r="Q18" s="431">
        <v>6240</v>
      </c>
      <c r="R18" s="431">
        <v>42600</v>
      </c>
      <c r="S18" s="431">
        <v>11760</v>
      </c>
      <c r="T18" s="431">
        <v>15720</v>
      </c>
      <c r="U18" s="431">
        <v>6240</v>
      </c>
      <c r="V18" s="431">
        <v>0</v>
      </c>
      <c r="W18" s="431">
        <v>0</v>
      </c>
    </row>
    <row r="19" spans="1:23" ht="9" customHeight="1">
      <c r="A19" s="778" t="s">
        <v>402</v>
      </c>
      <c r="B19" s="796"/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</row>
    <row r="20" spans="1:23" ht="9" customHeight="1">
      <c r="A20" s="871" t="s">
        <v>377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</row>
    <row r="21" spans="1:23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</row>
    <row r="23" spans="1:23" ht="13.25" customHeight="1">
      <c r="A23" s="250" t="s">
        <v>590</v>
      </c>
    </row>
    <row r="24" spans="1:23" ht="13.25" customHeight="1">
      <c r="A24" s="253" t="s">
        <v>304</v>
      </c>
    </row>
    <row r="25" spans="1:23" ht="4.25" customHeight="1" thickBot="1"/>
    <row r="26" spans="1:23" ht="16.25" customHeight="1">
      <c r="A26" s="568" t="s">
        <v>110</v>
      </c>
      <c r="B26" s="565">
        <v>2000</v>
      </c>
      <c r="C26" s="565">
        <v>2001</v>
      </c>
      <c r="D26" s="565">
        <v>2002</v>
      </c>
      <c r="E26" s="565">
        <v>2003</v>
      </c>
      <c r="F26" s="565">
        <v>2004</v>
      </c>
      <c r="G26" s="565">
        <v>2005</v>
      </c>
      <c r="H26" s="565">
        <v>2006</v>
      </c>
      <c r="I26" s="565">
        <v>2007</v>
      </c>
      <c r="J26" s="565">
        <v>2008</v>
      </c>
      <c r="K26" s="565">
        <v>2009</v>
      </c>
      <c r="L26" s="565">
        <v>2010</v>
      </c>
      <c r="M26" s="565">
        <v>2011</v>
      </c>
      <c r="N26" s="565">
        <v>2012</v>
      </c>
      <c r="O26" s="565">
        <v>2013</v>
      </c>
      <c r="P26" s="565">
        <v>2014</v>
      </c>
      <c r="Q26" s="565">
        <v>2015</v>
      </c>
      <c r="R26" s="565">
        <v>2016</v>
      </c>
      <c r="S26" s="543">
        <v>2017</v>
      </c>
      <c r="T26" s="543">
        <v>2018</v>
      </c>
      <c r="U26" s="543">
        <v>2019</v>
      </c>
      <c r="V26" s="544" t="s">
        <v>347</v>
      </c>
      <c r="W26" s="544" t="s">
        <v>477</v>
      </c>
    </row>
    <row r="27" spans="1:23" ht="16.25" customHeight="1">
      <c r="A27" s="554" t="s">
        <v>54</v>
      </c>
      <c r="B27" s="731">
        <v>156413</v>
      </c>
      <c r="C27" s="731">
        <v>173520</v>
      </c>
      <c r="D27" s="731">
        <v>134788</v>
      </c>
      <c r="E27" s="731">
        <v>126750</v>
      </c>
      <c r="F27" s="731">
        <v>153020</v>
      </c>
      <c r="G27" s="731">
        <v>250768</v>
      </c>
      <c r="H27" s="731">
        <v>192440</v>
      </c>
      <c r="I27" s="731">
        <v>219000</v>
      </c>
      <c r="J27" s="731">
        <v>197944</v>
      </c>
      <c r="K27" s="731">
        <v>233698</v>
      </c>
      <c r="L27" s="737">
        <v>250508</v>
      </c>
      <c r="M27" s="737">
        <v>302784</v>
      </c>
      <c r="N27" s="737">
        <v>279680</v>
      </c>
      <c r="O27" s="737">
        <v>254320</v>
      </c>
      <c r="P27" s="737">
        <v>242980</v>
      </c>
      <c r="Q27" s="737">
        <v>264540</v>
      </c>
      <c r="R27" s="737">
        <v>314592</v>
      </c>
      <c r="S27" s="737">
        <v>329754</v>
      </c>
      <c r="T27" s="737">
        <f>SUM(T28:T39)</f>
        <v>337244</v>
      </c>
      <c r="U27" s="737">
        <f>SUM(U28:U39)</f>
        <v>305520</v>
      </c>
      <c r="V27" s="737">
        <f>SUM(V28:V39)</f>
        <v>0</v>
      </c>
      <c r="W27" s="737">
        <f>SUM(W28:W39)</f>
        <v>0</v>
      </c>
    </row>
    <row r="28" spans="1:23" ht="15" customHeight="1">
      <c r="A28" s="76" t="s">
        <v>55</v>
      </c>
      <c r="B28" s="77">
        <v>12882</v>
      </c>
      <c r="C28" s="77">
        <v>22160</v>
      </c>
      <c r="D28" s="77">
        <v>15150</v>
      </c>
      <c r="E28" s="77">
        <v>13000</v>
      </c>
      <c r="F28" s="77">
        <v>12680</v>
      </c>
      <c r="G28" s="77">
        <v>39420</v>
      </c>
      <c r="H28" s="77">
        <v>10400</v>
      </c>
      <c r="I28" s="77">
        <v>27100</v>
      </c>
      <c r="J28" s="77">
        <v>4000</v>
      </c>
      <c r="K28" s="77">
        <v>8160</v>
      </c>
      <c r="L28" s="430">
        <v>25780</v>
      </c>
      <c r="M28" s="430">
        <v>42640</v>
      </c>
      <c r="N28" s="430">
        <v>38560</v>
      </c>
      <c r="O28" s="430">
        <v>10400</v>
      </c>
      <c r="P28" s="430">
        <v>14700</v>
      </c>
      <c r="Q28" s="430">
        <v>12480</v>
      </c>
      <c r="R28" s="430">
        <v>20920</v>
      </c>
      <c r="S28" s="430">
        <v>21560</v>
      </c>
      <c r="T28" s="430">
        <v>37807</v>
      </c>
      <c r="U28" s="430">
        <v>27040</v>
      </c>
      <c r="V28" s="430">
        <v>0</v>
      </c>
      <c r="W28" s="430">
        <v>0</v>
      </c>
    </row>
    <row r="29" spans="1:23" ht="15" customHeight="1">
      <c r="A29" s="76" t="s">
        <v>56</v>
      </c>
      <c r="B29" s="77">
        <v>15712</v>
      </c>
      <c r="C29" s="77">
        <v>0</v>
      </c>
      <c r="D29" s="77">
        <v>8650</v>
      </c>
      <c r="E29" s="77">
        <v>5000</v>
      </c>
      <c r="F29" s="77">
        <v>7500</v>
      </c>
      <c r="G29" s="77">
        <v>8000</v>
      </c>
      <c r="H29" s="77">
        <v>28040</v>
      </c>
      <c r="I29" s="77">
        <v>3600</v>
      </c>
      <c r="J29" s="77">
        <v>17480</v>
      </c>
      <c r="K29" s="77">
        <v>13200</v>
      </c>
      <c r="L29" s="430">
        <v>25300</v>
      </c>
      <c r="M29" s="430">
        <v>18824</v>
      </c>
      <c r="N29" s="430">
        <v>17160</v>
      </c>
      <c r="O29" s="430">
        <v>29240</v>
      </c>
      <c r="P29" s="430">
        <v>33200</v>
      </c>
      <c r="Q29" s="430">
        <v>14960</v>
      </c>
      <c r="R29" s="430">
        <v>0</v>
      </c>
      <c r="S29" s="430">
        <v>19940</v>
      </c>
      <c r="T29" s="430">
        <v>7906</v>
      </c>
      <c r="U29" s="430">
        <v>13220</v>
      </c>
      <c r="V29" s="430">
        <v>0</v>
      </c>
      <c r="W29" s="430">
        <v>0</v>
      </c>
    </row>
    <row r="30" spans="1:23" ht="15" customHeight="1">
      <c r="A30" s="76" t="s">
        <v>57</v>
      </c>
      <c r="B30" s="77">
        <v>18246</v>
      </c>
      <c r="C30" s="77">
        <v>12000</v>
      </c>
      <c r="D30" s="77">
        <v>0</v>
      </c>
      <c r="E30" s="77">
        <v>7000</v>
      </c>
      <c r="F30" s="77">
        <v>9500</v>
      </c>
      <c r="G30" s="77">
        <v>24248</v>
      </c>
      <c r="H30" s="77">
        <v>0</v>
      </c>
      <c r="I30" s="77">
        <v>22980</v>
      </c>
      <c r="J30" s="77">
        <v>24000</v>
      </c>
      <c r="K30" s="77">
        <v>17850</v>
      </c>
      <c r="L30" s="430">
        <v>25200</v>
      </c>
      <c r="M30" s="430">
        <v>18920</v>
      </c>
      <c r="N30" s="430">
        <v>16060</v>
      </c>
      <c r="O30" s="430">
        <v>20700</v>
      </c>
      <c r="P30" s="430">
        <v>14800</v>
      </c>
      <c r="Q30" s="430">
        <v>16640</v>
      </c>
      <c r="R30" s="430">
        <v>48464</v>
      </c>
      <c r="S30" s="430">
        <v>24517</v>
      </c>
      <c r="T30" s="430">
        <v>7200</v>
      </c>
      <c r="U30" s="430">
        <v>47912</v>
      </c>
      <c r="V30" s="430">
        <v>0</v>
      </c>
      <c r="W30" s="430">
        <v>0</v>
      </c>
    </row>
    <row r="31" spans="1:23" ht="15" customHeight="1">
      <c r="A31" s="76" t="s">
        <v>58</v>
      </c>
      <c r="B31" s="77">
        <v>12110</v>
      </c>
      <c r="C31" s="77">
        <v>0</v>
      </c>
      <c r="D31" s="77">
        <v>15500</v>
      </c>
      <c r="E31" s="77">
        <v>18500</v>
      </c>
      <c r="F31" s="77">
        <v>9000</v>
      </c>
      <c r="G31" s="77">
        <v>31568</v>
      </c>
      <c r="H31" s="77">
        <v>33940</v>
      </c>
      <c r="I31" s="77">
        <v>29100</v>
      </c>
      <c r="J31" s="77">
        <v>41660</v>
      </c>
      <c r="K31" s="77">
        <v>15000</v>
      </c>
      <c r="L31" s="430">
        <v>11100</v>
      </c>
      <c r="M31" s="430">
        <v>37200</v>
      </c>
      <c r="N31" s="430">
        <v>18000</v>
      </c>
      <c r="O31" s="430">
        <v>10600</v>
      </c>
      <c r="P31" s="430">
        <v>32840</v>
      </c>
      <c r="Q31" s="430">
        <v>41600</v>
      </c>
      <c r="R31" s="430">
        <v>20440</v>
      </c>
      <c r="S31" s="430">
        <v>37440</v>
      </c>
      <c r="T31" s="430">
        <v>57880</v>
      </c>
      <c r="U31" s="430">
        <v>6240</v>
      </c>
      <c r="V31" s="430">
        <v>0</v>
      </c>
      <c r="W31" s="430">
        <v>0</v>
      </c>
    </row>
    <row r="32" spans="1:23" ht="15" customHeight="1">
      <c r="A32" s="76" t="s">
        <v>59</v>
      </c>
      <c r="B32" s="77">
        <v>12340</v>
      </c>
      <c r="C32" s="77">
        <v>22660</v>
      </c>
      <c r="D32" s="77">
        <v>13000</v>
      </c>
      <c r="E32" s="77">
        <v>0</v>
      </c>
      <c r="F32" s="77">
        <v>6760</v>
      </c>
      <c r="G32" s="77">
        <v>12200</v>
      </c>
      <c r="H32" s="77">
        <v>8120</v>
      </c>
      <c r="I32" s="77">
        <v>10000</v>
      </c>
      <c r="J32" s="77">
        <v>6000</v>
      </c>
      <c r="K32" s="77">
        <v>40656</v>
      </c>
      <c r="L32" s="430">
        <v>12200</v>
      </c>
      <c r="M32" s="430">
        <v>25520</v>
      </c>
      <c r="N32" s="430">
        <v>32920</v>
      </c>
      <c r="O32" s="430">
        <v>42600</v>
      </c>
      <c r="P32" s="430">
        <v>9920</v>
      </c>
      <c r="Q32" s="430">
        <v>0</v>
      </c>
      <c r="R32" s="430">
        <v>49080</v>
      </c>
      <c r="S32" s="430">
        <v>26060</v>
      </c>
      <c r="T32" s="430">
        <v>38736</v>
      </c>
      <c r="U32" s="430">
        <v>50160</v>
      </c>
      <c r="V32" s="430">
        <v>0</v>
      </c>
      <c r="W32" s="430">
        <v>0</v>
      </c>
    </row>
    <row r="33" spans="1:23" ht="15" customHeight="1">
      <c r="A33" s="76" t="s">
        <v>60</v>
      </c>
      <c r="B33" s="77">
        <v>18315</v>
      </c>
      <c r="C33" s="77">
        <v>19000</v>
      </c>
      <c r="D33" s="77">
        <v>5000</v>
      </c>
      <c r="E33" s="77">
        <v>25100</v>
      </c>
      <c r="F33" s="77">
        <v>15000</v>
      </c>
      <c r="G33" s="77">
        <v>12800</v>
      </c>
      <c r="H33" s="77">
        <v>7000</v>
      </c>
      <c r="I33" s="77">
        <v>11480</v>
      </c>
      <c r="J33" s="77">
        <v>17904</v>
      </c>
      <c r="K33" s="77">
        <v>21032</v>
      </c>
      <c r="L33" s="430">
        <v>13520</v>
      </c>
      <c r="M33" s="430">
        <v>0</v>
      </c>
      <c r="N33" s="430">
        <v>24520</v>
      </c>
      <c r="O33" s="430">
        <v>18540</v>
      </c>
      <c r="P33" s="430">
        <v>33780</v>
      </c>
      <c r="Q33" s="430">
        <v>46400</v>
      </c>
      <c r="R33" s="430">
        <v>6240</v>
      </c>
      <c r="S33" s="430">
        <v>0</v>
      </c>
      <c r="T33" s="430">
        <v>17480</v>
      </c>
      <c r="U33" s="430">
        <v>27040</v>
      </c>
      <c r="V33" s="430">
        <v>0</v>
      </c>
      <c r="W33" s="430">
        <v>0</v>
      </c>
    </row>
    <row r="34" spans="1:23" ht="15" customHeight="1">
      <c r="A34" s="76" t="s">
        <v>61</v>
      </c>
      <c r="B34" s="77">
        <v>24574</v>
      </c>
      <c r="C34" s="77">
        <v>10600</v>
      </c>
      <c r="D34" s="77">
        <v>12064</v>
      </c>
      <c r="E34" s="77">
        <v>12000</v>
      </c>
      <c r="F34" s="77">
        <v>22000</v>
      </c>
      <c r="G34" s="77">
        <v>8000</v>
      </c>
      <c r="H34" s="77">
        <v>17980</v>
      </c>
      <c r="I34" s="77">
        <v>14500</v>
      </c>
      <c r="J34" s="77">
        <v>8320</v>
      </c>
      <c r="K34" s="77">
        <v>23900</v>
      </c>
      <c r="L34" s="430">
        <v>21964</v>
      </c>
      <c r="M34" s="430">
        <v>56920</v>
      </c>
      <c r="N34" s="430">
        <v>46720</v>
      </c>
      <c r="O34" s="430">
        <v>11600</v>
      </c>
      <c r="P34" s="430">
        <v>12500</v>
      </c>
      <c r="Q34" s="430">
        <v>19680</v>
      </c>
      <c r="R34" s="430">
        <v>43280</v>
      </c>
      <c r="S34" s="430">
        <v>10640</v>
      </c>
      <c r="T34" s="430">
        <v>16700</v>
      </c>
      <c r="U34" s="430">
        <v>10480</v>
      </c>
      <c r="V34" s="430">
        <v>0</v>
      </c>
      <c r="W34" s="430">
        <v>0</v>
      </c>
    </row>
    <row r="35" spans="1:23" ht="15" customHeight="1">
      <c r="A35" s="76" t="s">
        <v>62</v>
      </c>
      <c r="B35" s="77">
        <v>3000</v>
      </c>
      <c r="C35" s="77">
        <v>21944</v>
      </c>
      <c r="D35" s="77">
        <v>15240</v>
      </c>
      <c r="E35" s="77">
        <v>6000</v>
      </c>
      <c r="F35" s="77">
        <v>2500</v>
      </c>
      <c r="G35" s="77">
        <v>37000</v>
      </c>
      <c r="H35" s="77">
        <v>10000</v>
      </c>
      <c r="I35" s="77">
        <v>28200</v>
      </c>
      <c r="J35" s="77">
        <v>32200</v>
      </c>
      <c r="K35" s="77">
        <v>23220</v>
      </c>
      <c r="L35" s="430">
        <v>8000</v>
      </c>
      <c r="M35" s="430">
        <v>23000</v>
      </c>
      <c r="N35" s="430">
        <v>11680</v>
      </c>
      <c r="O35" s="430">
        <v>25900</v>
      </c>
      <c r="P35" s="430">
        <v>10400</v>
      </c>
      <c r="Q35" s="430">
        <v>37800</v>
      </c>
      <c r="R35" s="430">
        <v>34344</v>
      </c>
      <c r="S35" s="430">
        <v>66980</v>
      </c>
      <c r="T35" s="430">
        <v>52200</v>
      </c>
      <c r="U35" s="430">
        <v>21760</v>
      </c>
      <c r="V35" s="430">
        <v>0</v>
      </c>
      <c r="W35" s="430">
        <v>0</v>
      </c>
    </row>
    <row r="36" spans="1:23" ht="15" customHeight="1">
      <c r="A36" s="76" t="s">
        <v>63</v>
      </c>
      <c r="B36" s="77">
        <v>10000</v>
      </c>
      <c r="C36" s="77">
        <v>7623</v>
      </c>
      <c r="D36" s="77">
        <v>3000</v>
      </c>
      <c r="E36" s="77">
        <v>14000</v>
      </c>
      <c r="F36" s="77">
        <v>15000</v>
      </c>
      <c r="G36" s="77">
        <v>18000</v>
      </c>
      <c r="H36" s="77">
        <v>31000</v>
      </c>
      <c r="I36" s="77">
        <v>11480</v>
      </c>
      <c r="J36" s="77">
        <v>4500</v>
      </c>
      <c r="K36" s="77">
        <v>11920</v>
      </c>
      <c r="L36" s="430">
        <v>42380</v>
      </c>
      <c r="M36" s="430">
        <v>5500</v>
      </c>
      <c r="N36" s="430">
        <v>14560</v>
      </c>
      <c r="O36" s="430">
        <v>10500</v>
      </c>
      <c r="P36" s="430">
        <v>14080</v>
      </c>
      <c r="Q36" s="430">
        <v>51140</v>
      </c>
      <c r="R36" s="430">
        <v>40384</v>
      </c>
      <c r="S36" s="430">
        <v>29516</v>
      </c>
      <c r="T36" s="430">
        <v>27452</v>
      </c>
      <c r="U36" s="430">
        <v>49108</v>
      </c>
      <c r="V36" s="430">
        <v>0</v>
      </c>
      <c r="W36" s="430">
        <v>0</v>
      </c>
    </row>
    <row r="37" spans="1:23" ht="15" customHeight="1">
      <c r="A37" s="76" t="s">
        <v>64</v>
      </c>
      <c r="B37" s="77">
        <v>13500</v>
      </c>
      <c r="C37" s="77">
        <v>40064</v>
      </c>
      <c r="D37" s="77">
        <v>24684</v>
      </c>
      <c r="E37" s="77">
        <v>17650</v>
      </c>
      <c r="F37" s="77">
        <v>26140</v>
      </c>
      <c r="G37" s="77">
        <v>15832</v>
      </c>
      <c r="H37" s="77">
        <v>16480</v>
      </c>
      <c r="I37" s="77">
        <v>12240</v>
      </c>
      <c r="J37" s="77">
        <v>14500</v>
      </c>
      <c r="K37" s="77">
        <v>16640</v>
      </c>
      <c r="L37" s="430">
        <v>0</v>
      </c>
      <c r="M37" s="430">
        <v>29200</v>
      </c>
      <c r="N37" s="430">
        <v>9580</v>
      </c>
      <c r="O37" s="430">
        <v>26160</v>
      </c>
      <c r="P37" s="430">
        <v>22880</v>
      </c>
      <c r="Q37" s="430">
        <v>0</v>
      </c>
      <c r="R37" s="430">
        <v>0</v>
      </c>
      <c r="S37" s="430">
        <v>34240</v>
      </c>
      <c r="T37" s="430">
        <v>2000</v>
      </c>
      <c r="U37" s="430">
        <v>22880</v>
      </c>
      <c r="V37" s="430">
        <v>0</v>
      </c>
      <c r="W37" s="430">
        <v>0</v>
      </c>
    </row>
    <row r="38" spans="1:23" ht="15" customHeight="1">
      <c r="A38" s="76" t="s">
        <v>65</v>
      </c>
      <c r="B38" s="77">
        <v>6240</v>
      </c>
      <c r="C38" s="77">
        <v>11000</v>
      </c>
      <c r="D38" s="77">
        <v>9000</v>
      </c>
      <c r="E38" s="77">
        <v>6000</v>
      </c>
      <c r="F38" s="77">
        <v>7120</v>
      </c>
      <c r="G38" s="77">
        <v>6200</v>
      </c>
      <c r="H38" s="77">
        <v>5000</v>
      </c>
      <c r="I38" s="77">
        <v>13620</v>
      </c>
      <c r="J38" s="77">
        <v>16380</v>
      </c>
      <c r="K38" s="77">
        <v>15360</v>
      </c>
      <c r="L38" s="430">
        <v>25400</v>
      </c>
      <c r="M38" s="430">
        <v>21220</v>
      </c>
      <c r="N38" s="430">
        <v>42640</v>
      </c>
      <c r="O38" s="430">
        <v>19640</v>
      </c>
      <c r="P38" s="430">
        <v>6240</v>
      </c>
      <c r="Q38" s="430">
        <v>17600</v>
      </c>
      <c r="R38" s="430">
        <v>8840</v>
      </c>
      <c r="S38" s="430">
        <v>47101</v>
      </c>
      <c r="T38" s="430">
        <v>56163</v>
      </c>
      <c r="U38" s="430">
        <v>23440</v>
      </c>
      <c r="V38" s="430">
        <v>0</v>
      </c>
      <c r="W38" s="430">
        <v>0</v>
      </c>
    </row>
    <row r="39" spans="1:23" ht="15" customHeight="1" thickBot="1">
      <c r="A39" s="79" t="s">
        <v>66</v>
      </c>
      <c r="B39" s="100">
        <v>9494</v>
      </c>
      <c r="C39" s="100">
        <v>6469</v>
      </c>
      <c r="D39" s="100">
        <v>13500</v>
      </c>
      <c r="E39" s="100">
        <v>2500</v>
      </c>
      <c r="F39" s="100">
        <v>19820</v>
      </c>
      <c r="G39" s="100">
        <v>37500</v>
      </c>
      <c r="H39" s="100">
        <v>24480</v>
      </c>
      <c r="I39" s="100">
        <v>34700</v>
      </c>
      <c r="J39" s="100">
        <v>11000</v>
      </c>
      <c r="K39" s="100">
        <v>26760</v>
      </c>
      <c r="L39" s="431">
        <v>39664</v>
      </c>
      <c r="M39" s="431">
        <v>23840</v>
      </c>
      <c r="N39" s="431">
        <v>7280</v>
      </c>
      <c r="O39" s="431">
        <v>28440</v>
      </c>
      <c r="P39" s="431">
        <v>37640</v>
      </c>
      <c r="Q39" s="431">
        <v>6240</v>
      </c>
      <c r="R39" s="431">
        <v>42600</v>
      </c>
      <c r="S39" s="431">
        <v>11760</v>
      </c>
      <c r="T39" s="431">
        <v>15720</v>
      </c>
      <c r="U39" s="431">
        <v>6240</v>
      </c>
      <c r="V39" s="431">
        <v>0</v>
      </c>
      <c r="W39" s="431">
        <v>0</v>
      </c>
    </row>
    <row r="40" spans="1:23" ht="9" customHeight="1">
      <c r="A40" s="778" t="s">
        <v>402</v>
      </c>
      <c r="B40" s="794"/>
      <c r="C40" s="794"/>
      <c r="D40" s="794"/>
      <c r="E40" s="794"/>
      <c r="F40" s="794"/>
      <c r="G40" s="794"/>
      <c r="H40" s="794"/>
      <c r="I40" s="794"/>
      <c r="J40" s="794"/>
      <c r="K40" s="794"/>
      <c r="L40" s="794"/>
      <c r="M40" s="794"/>
      <c r="N40" s="794"/>
      <c r="O40" s="794"/>
      <c r="P40" s="794"/>
      <c r="Q40" s="794"/>
      <c r="R40" s="188"/>
      <c r="S40" s="77"/>
      <c r="T40" s="77"/>
      <c r="U40" s="77"/>
      <c r="V40" s="77"/>
      <c r="W40" s="77"/>
    </row>
    <row r="41" spans="1:23" ht="9" customHeight="1">
      <c r="A41" s="871" t="s">
        <v>377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  <c r="P41" s="796"/>
      <c r="Q41" s="796"/>
      <c r="R41" s="190"/>
    </row>
    <row r="42" spans="1:23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  <c r="P42" s="796"/>
      <c r="Q42" s="796"/>
      <c r="R42" s="190"/>
    </row>
    <row r="43" spans="1:23" ht="13.25" customHeight="1">
      <c r="A43" s="796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  <c r="P43" s="796"/>
      <c r="Q43" s="796"/>
    </row>
    <row r="44" spans="1:23" ht="13.25" customHeight="1">
      <c r="A44" s="796"/>
      <c r="B44" s="796"/>
      <c r="C44" s="796"/>
      <c r="D44" s="796"/>
      <c r="E44" s="796"/>
      <c r="F44" s="796"/>
      <c r="G44" s="796"/>
      <c r="H44" s="796"/>
      <c r="I44" s="796"/>
      <c r="J44" s="796"/>
      <c r="K44" s="796"/>
      <c r="L44" s="796"/>
      <c r="M44" s="796"/>
      <c r="N44" s="796"/>
      <c r="O44" s="796"/>
      <c r="P44" s="796"/>
      <c r="Q44" s="796"/>
    </row>
    <row r="45" spans="1:23" ht="13.25" customHeight="1">
      <c r="A45" s="796"/>
      <c r="B45" s="796"/>
      <c r="C45" s="796"/>
      <c r="D45" s="796"/>
      <c r="E45" s="796"/>
      <c r="F45" s="796"/>
      <c r="G45" s="796"/>
      <c r="H45" s="796"/>
      <c r="I45" s="796"/>
      <c r="J45" s="796"/>
      <c r="K45" s="796"/>
      <c r="L45" s="796"/>
      <c r="M45" s="796"/>
      <c r="N45" s="796"/>
      <c r="O45" s="796"/>
      <c r="P45" s="796"/>
      <c r="Q45" s="796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20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Hoja125">
    <tabColor theme="9" tint="0.59999389629810485"/>
  </sheetPr>
  <dimension ref="A1:Y45"/>
  <sheetViews>
    <sheetView showGridLines="0" topLeftCell="A11" zoomScaleNormal="100" workbookViewId="0">
      <selection activeCell="AL18" sqref="AL18"/>
    </sheetView>
  </sheetViews>
  <sheetFormatPr baseColWidth="10" defaultColWidth="7" defaultRowHeight="13.25" customHeight="1"/>
  <cols>
    <col min="1" max="1" width="8" style="73" customWidth="1"/>
    <col min="2" max="9" width="8" style="73" hidden="1" customWidth="1"/>
    <col min="10" max="11" width="0" style="73" hidden="1" customWidth="1"/>
    <col min="12" max="24" width="9" style="73" customWidth="1"/>
    <col min="25" max="16384" width="7" style="73"/>
  </cols>
  <sheetData>
    <row r="1" spans="1:24" ht="13.25" customHeight="1">
      <c r="A1" s="1001"/>
      <c r="B1" s="1001"/>
      <c r="C1" s="1001"/>
      <c r="D1" s="1001"/>
      <c r="E1" s="1001"/>
    </row>
    <row r="2" spans="1:24" ht="13.25" customHeight="1">
      <c r="A2" s="250" t="s">
        <v>591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24" ht="13.25" customHeight="1">
      <c r="A3" s="253" t="s">
        <v>304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24" ht="4.25" customHeight="1" thickBot="1"/>
    <row r="5" spans="1:24" ht="16.25" customHeight="1">
      <c r="A5" s="568" t="s">
        <v>110</v>
      </c>
      <c r="B5" s="565">
        <v>2000</v>
      </c>
      <c r="C5" s="565">
        <v>2001</v>
      </c>
      <c r="D5" s="565">
        <v>2002</v>
      </c>
      <c r="E5" s="565">
        <v>2003</v>
      </c>
      <c r="F5" s="565">
        <v>2004</v>
      </c>
      <c r="G5" s="565">
        <v>2005</v>
      </c>
      <c r="H5" s="565">
        <v>2006</v>
      </c>
      <c r="I5" s="565">
        <v>2007</v>
      </c>
      <c r="J5" s="565">
        <v>2008</v>
      </c>
      <c r="K5" s="565">
        <v>2009</v>
      </c>
      <c r="L5" s="565">
        <v>2010</v>
      </c>
      <c r="M5" s="565">
        <v>2011</v>
      </c>
      <c r="N5" s="565">
        <v>2012</v>
      </c>
      <c r="O5" s="565">
        <v>2013</v>
      </c>
      <c r="P5" s="565">
        <v>2014</v>
      </c>
      <c r="Q5" s="565">
        <v>2015</v>
      </c>
      <c r="R5" s="565">
        <v>2016</v>
      </c>
      <c r="S5" s="542">
        <v>2017</v>
      </c>
      <c r="T5" s="542">
        <v>2018</v>
      </c>
      <c r="U5" s="543">
        <v>2019</v>
      </c>
      <c r="V5" s="543">
        <v>2020</v>
      </c>
      <c r="W5" s="543">
        <v>2021</v>
      </c>
      <c r="X5" s="544" t="s">
        <v>477</v>
      </c>
    </row>
    <row r="6" spans="1:24" ht="16.25" customHeight="1">
      <c r="A6" s="554" t="s">
        <v>54</v>
      </c>
      <c r="B6" s="731">
        <v>10208868</v>
      </c>
      <c r="C6" s="731">
        <v>10342280</v>
      </c>
      <c r="D6" s="731">
        <v>10520830</v>
      </c>
      <c r="E6" s="731">
        <v>10976784</v>
      </c>
      <c r="F6" s="731">
        <v>11171450</v>
      </c>
      <c r="G6" s="731">
        <v>13516950</v>
      </c>
      <c r="H6" s="731">
        <v>14067169</v>
      </c>
      <c r="I6" s="731">
        <v>14624184</v>
      </c>
      <c r="J6" s="731">
        <v>14567003</v>
      </c>
      <c r="K6" s="731">
        <v>15379339</v>
      </c>
      <c r="L6" s="738">
        <v>17802209</v>
      </c>
      <c r="M6" s="738">
        <v>17156640</v>
      </c>
      <c r="N6" s="738">
        <v>19905931</v>
      </c>
      <c r="O6" s="738">
        <v>19902157</v>
      </c>
      <c r="P6" s="738">
        <v>21359319</v>
      </c>
      <c r="Q6" s="738">
        <v>21905233</v>
      </c>
      <c r="R6" s="738">
        <v>23004223</v>
      </c>
      <c r="S6" s="738">
        <v>24632650</v>
      </c>
      <c r="T6" s="738">
        <f>SUM(T7:T18)</f>
        <v>27929872</v>
      </c>
      <c r="U6" s="738">
        <f>SUM(U7:U18)</f>
        <v>26179287</v>
      </c>
      <c r="V6" s="738">
        <f>SUM(V7:V18)</f>
        <v>28790070</v>
      </c>
      <c r="W6" s="738">
        <f>SUM(W7:W18)</f>
        <v>29636130</v>
      </c>
      <c r="X6" s="738">
        <f>SUM(X7:X18)</f>
        <v>25469430</v>
      </c>
    </row>
    <row r="7" spans="1:24" ht="15" customHeight="1">
      <c r="A7" s="76" t="s">
        <v>55</v>
      </c>
      <c r="B7" s="77">
        <v>778525</v>
      </c>
      <c r="C7" s="77">
        <v>894357</v>
      </c>
      <c r="D7" s="77">
        <v>769970</v>
      </c>
      <c r="E7" s="77">
        <v>1015405</v>
      </c>
      <c r="F7" s="77">
        <v>885860</v>
      </c>
      <c r="G7" s="77">
        <v>1025412</v>
      </c>
      <c r="H7" s="77">
        <v>1236334</v>
      </c>
      <c r="I7" s="77">
        <v>1033584</v>
      </c>
      <c r="J7" s="77">
        <v>1228013</v>
      </c>
      <c r="K7" s="77">
        <v>1340009</v>
      </c>
      <c r="L7" s="459">
        <v>1367893</v>
      </c>
      <c r="M7" s="459">
        <v>1492099</v>
      </c>
      <c r="N7" s="459">
        <v>1767596</v>
      </c>
      <c r="O7" s="459">
        <v>1659188</v>
      </c>
      <c r="P7" s="459">
        <v>1801344</v>
      </c>
      <c r="Q7" s="459">
        <v>1769556</v>
      </c>
      <c r="R7" s="459">
        <v>1755389</v>
      </c>
      <c r="S7" s="459">
        <v>1939385</v>
      </c>
      <c r="T7" s="459">
        <v>2181448</v>
      </c>
      <c r="U7" s="459">
        <v>1980049</v>
      </c>
      <c r="V7" s="459">
        <v>2346525</v>
      </c>
      <c r="W7" s="459">
        <v>2600927</v>
      </c>
      <c r="X7" s="459">
        <v>2075180</v>
      </c>
    </row>
    <row r="8" spans="1:24" ht="15" customHeight="1">
      <c r="A8" s="76" t="s">
        <v>56</v>
      </c>
      <c r="B8" s="77">
        <v>775802</v>
      </c>
      <c r="C8" s="77">
        <v>785005</v>
      </c>
      <c r="D8" s="77">
        <v>667732</v>
      </c>
      <c r="E8" s="77">
        <v>942206</v>
      </c>
      <c r="F8" s="77">
        <v>806862</v>
      </c>
      <c r="G8" s="77">
        <v>899339</v>
      </c>
      <c r="H8" s="77">
        <v>1030921</v>
      </c>
      <c r="I8" s="77">
        <v>984129</v>
      </c>
      <c r="J8" s="77">
        <v>1007597</v>
      </c>
      <c r="K8" s="77">
        <v>1195336</v>
      </c>
      <c r="L8" s="459">
        <v>1332447</v>
      </c>
      <c r="M8" s="459">
        <v>1393364</v>
      </c>
      <c r="N8" s="459">
        <v>1410301</v>
      </c>
      <c r="O8" s="459">
        <v>1473374</v>
      </c>
      <c r="P8" s="459">
        <v>1536559</v>
      </c>
      <c r="Q8" s="459">
        <v>1689361</v>
      </c>
      <c r="R8" s="459">
        <v>1971615</v>
      </c>
      <c r="S8" s="459">
        <v>1661443</v>
      </c>
      <c r="T8" s="459">
        <v>2098791</v>
      </c>
      <c r="U8" s="459">
        <v>1978628</v>
      </c>
      <c r="V8" s="459">
        <v>2065459</v>
      </c>
      <c r="W8" s="459">
        <v>2445161</v>
      </c>
      <c r="X8" s="459">
        <v>1877521</v>
      </c>
    </row>
    <row r="9" spans="1:24" ht="15" customHeight="1">
      <c r="A9" s="76" t="s">
        <v>57</v>
      </c>
      <c r="B9" s="77">
        <v>783774</v>
      </c>
      <c r="C9" s="77">
        <v>778512</v>
      </c>
      <c r="D9" s="77">
        <v>700281</v>
      </c>
      <c r="E9" s="77">
        <v>958826</v>
      </c>
      <c r="F9" s="77">
        <v>900352</v>
      </c>
      <c r="G9" s="77">
        <v>968921</v>
      </c>
      <c r="H9" s="77">
        <v>1233550</v>
      </c>
      <c r="I9" s="77">
        <v>1151763</v>
      </c>
      <c r="J9" s="77">
        <v>1270206</v>
      </c>
      <c r="K9" s="77">
        <v>1302305</v>
      </c>
      <c r="L9" s="459">
        <v>1546938</v>
      </c>
      <c r="M9" s="459">
        <v>1516522</v>
      </c>
      <c r="N9" s="459">
        <v>1540447</v>
      </c>
      <c r="O9" s="459">
        <v>1532715</v>
      </c>
      <c r="P9" s="459">
        <v>1746106</v>
      </c>
      <c r="Q9" s="459">
        <v>1761879</v>
      </c>
      <c r="R9" s="459">
        <v>2036368</v>
      </c>
      <c r="S9" s="459">
        <v>1862425</v>
      </c>
      <c r="T9" s="459">
        <v>2397972</v>
      </c>
      <c r="U9" s="459">
        <v>2063350</v>
      </c>
      <c r="V9" s="459">
        <v>2386328</v>
      </c>
      <c r="W9" s="459">
        <v>2578416</v>
      </c>
      <c r="X9" s="459">
        <v>2267031</v>
      </c>
    </row>
    <row r="10" spans="1:24" ht="15" customHeight="1">
      <c r="A10" s="76" t="s">
        <v>58</v>
      </c>
      <c r="B10" s="77">
        <v>765270</v>
      </c>
      <c r="C10" s="77">
        <v>931868</v>
      </c>
      <c r="D10" s="77">
        <v>881580</v>
      </c>
      <c r="E10" s="77">
        <v>990608</v>
      </c>
      <c r="F10" s="77">
        <v>852242</v>
      </c>
      <c r="G10" s="77">
        <v>1049642</v>
      </c>
      <c r="H10" s="77">
        <v>1133030</v>
      </c>
      <c r="I10" s="77">
        <v>1210335</v>
      </c>
      <c r="J10" s="77">
        <v>1203627</v>
      </c>
      <c r="K10" s="77">
        <v>1279009</v>
      </c>
      <c r="L10" s="459">
        <v>1458269</v>
      </c>
      <c r="M10" s="459">
        <v>1421026</v>
      </c>
      <c r="N10" s="459">
        <v>1584490</v>
      </c>
      <c r="O10" s="459">
        <v>1638430</v>
      </c>
      <c r="P10" s="459">
        <v>1803205</v>
      </c>
      <c r="Q10" s="459">
        <v>1749933</v>
      </c>
      <c r="R10" s="459">
        <v>1900261</v>
      </c>
      <c r="S10" s="459">
        <v>2073694</v>
      </c>
      <c r="T10" s="459">
        <v>2193319</v>
      </c>
      <c r="U10" s="459">
        <v>2103284</v>
      </c>
      <c r="V10" s="459">
        <v>1916995</v>
      </c>
      <c r="W10" s="459">
        <v>2704931</v>
      </c>
      <c r="X10" s="459">
        <v>2195041</v>
      </c>
    </row>
    <row r="11" spans="1:24" ht="15" customHeight="1">
      <c r="A11" s="76" t="s">
        <v>59</v>
      </c>
      <c r="B11" s="77">
        <v>919196</v>
      </c>
      <c r="C11" s="77">
        <v>899095</v>
      </c>
      <c r="D11" s="77">
        <v>934623</v>
      </c>
      <c r="E11" s="77">
        <v>876577</v>
      </c>
      <c r="F11" s="77">
        <v>826823</v>
      </c>
      <c r="G11" s="77">
        <v>969565</v>
      </c>
      <c r="H11" s="77">
        <v>1227949</v>
      </c>
      <c r="I11" s="77">
        <v>1265295</v>
      </c>
      <c r="J11" s="77">
        <v>1253563</v>
      </c>
      <c r="K11" s="77">
        <v>1305140</v>
      </c>
      <c r="L11" s="459">
        <v>1362438</v>
      </c>
      <c r="M11" s="459">
        <v>1457793</v>
      </c>
      <c r="N11" s="459">
        <v>1696857</v>
      </c>
      <c r="O11" s="459">
        <v>1707593</v>
      </c>
      <c r="P11" s="459">
        <v>1771934</v>
      </c>
      <c r="Q11" s="459">
        <v>1820381</v>
      </c>
      <c r="R11" s="459">
        <v>1841026</v>
      </c>
      <c r="S11" s="459">
        <v>2026771</v>
      </c>
      <c r="T11" s="459">
        <v>2639342</v>
      </c>
      <c r="U11" s="459">
        <v>1904276</v>
      </c>
      <c r="V11" s="459">
        <v>2219284</v>
      </c>
      <c r="W11" s="459">
        <v>2663562</v>
      </c>
      <c r="X11" s="459">
        <v>1971598</v>
      </c>
    </row>
    <row r="12" spans="1:24" ht="15" customHeight="1">
      <c r="A12" s="76" t="s">
        <v>60</v>
      </c>
      <c r="B12" s="77">
        <v>851017</v>
      </c>
      <c r="C12" s="77">
        <v>841104</v>
      </c>
      <c r="D12" s="77">
        <v>894577</v>
      </c>
      <c r="E12" s="77">
        <v>848588</v>
      </c>
      <c r="F12" s="77">
        <v>986192</v>
      </c>
      <c r="G12" s="77">
        <v>1027275</v>
      </c>
      <c r="H12" s="77">
        <v>1150717</v>
      </c>
      <c r="I12" s="77">
        <v>1290385</v>
      </c>
      <c r="J12" s="77">
        <v>1117451</v>
      </c>
      <c r="K12" s="77">
        <v>1110746</v>
      </c>
      <c r="L12" s="459">
        <v>1479423</v>
      </c>
      <c r="M12" s="459">
        <v>1140804</v>
      </c>
      <c r="N12" s="459">
        <v>1643104</v>
      </c>
      <c r="O12" s="459">
        <v>1423787</v>
      </c>
      <c r="P12" s="459">
        <v>1762458</v>
      </c>
      <c r="Q12" s="459">
        <v>1703713</v>
      </c>
      <c r="R12" s="459">
        <v>1873443</v>
      </c>
      <c r="S12" s="459">
        <v>1892288</v>
      </c>
      <c r="T12" s="459">
        <v>2314905</v>
      </c>
      <c r="U12" s="459">
        <v>1965667</v>
      </c>
      <c r="V12" s="459">
        <v>2298037</v>
      </c>
      <c r="W12" s="459">
        <v>2596663</v>
      </c>
      <c r="X12" s="459">
        <v>1697084</v>
      </c>
    </row>
    <row r="13" spans="1:24" ht="15" customHeight="1">
      <c r="A13" s="76" t="s">
        <v>61</v>
      </c>
      <c r="B13" s="77">
        <v>910825</v>
      </c>
      <c r="C13" s="77">
        <v>945067</v>
      </c>
      <c r="D13" s="77">
        <v>896351</v>
      </c>
      <c r="E13" s="77">
        <v>862790</v>
      </c>
      <c r="F13" s="77">
        <v>848472</v>
      </c>
      <c r="G13" s="77">
        <v>1112924</v>
      </c>
      <c r="H13" s="77">
        <v>1089630</v>
      </c>
      <c r="I13" s="77">
        <v>1296857</v>
      </c>
      <c r="J13" s="77">
        <v>1154324</v>
      </c>
      <c r="K13" s="77">
        <v>1374183</v>
      </c>
      <c r="L13" s="459">
        <v>1512173</v>
      </c>
      <c r="M13" s="459">
        <v>1271094</v>
      </c>
      <c r="N13" s="459">
        <v>1811222</v>
      </c>
      <c r="O13" s="459">
        <v>1514912</v>
      </c>
      <c r="P13" s="459">
        <v>1665873</v>
      </c>
      <c r="Q13" s="459">
        <v>1866769</v>
      </c>
      <c r="R13" s="459">
        <v>2148830</v>
      </c>
      <c r="S13" s="459">
        <v>1956948</v>
      </c>
      <c r="T13" s="459">
        <v>2314960</v>
      </c>
      <c r="U13" s="459">
        <v>2253191</v>
      </c>
      <c r="V13" s="459">
        <v>2173700</v>
      </c>
      <c r="W13" s="459">
        <v>2616794</v>
      </c>
      <c r="X13" s="459">
        <v>2027681</v>
      </c>
    </row>
    <row r="14" spans="1:24" ht="15" customHeight="1">
      <c r="A14" s="76" t="s">
        <v>62</v>
      </c>
      <c r="B14" s="77">
        <v>888807</v>
      </c>
      <c r="C14" s="77">
        <v>991769</v>
      </c>
      <c r="D14" s="77">
        <v>911229</v>
      </c>
      <c r="E14" s="77">
        <v>881306</v>
      </c>
      <c r="F14" s="77">
        <v>903673</v>
      </c>
      <c r="G14" s="77">
        <v>1258369</v>
      </c>
      <c r="H14" s="77">
        <v>1202203</v>
      </c>
      <c r="I14" s="77">
        <v>1296173</v>
      </c>
      <c r="J14" s="77">
        <v>1129979</v>
      </c>
      <c r="K14" s="77">
        <v>1186014</v>
      </c>
      <c r="L14" s="459">
        <v>1523885</v>
      </c>
      <c r="M14" s="459">
        <v>1442645</v>
      </c>
      <c r="N14" s="459">
        <v>1696940</v>
      </c>
      <c r="O14" s="459">
        <v>1796746</v>
      </c>
      <c r="P14" s="459">
        <v>1797841</v>
      </c>
      <c r="Q14" s="459">
        <v>1913158</v>
      </c>
      <c r="R14" s="459">
        <v>1959765</v>
      </c>
      <c r="S14" s="459">
        <v>2115552</v>
      </c>
      <c r="T14" s="459">
        <v>2362451</v>
      </c>
      <c r="U14" s="459">
        <v>2358577</v>
      </c>
      <c r="V14" s="459">
        <v>2423381</v>
      </c>
      <c r="W14" s="459">
        <v>2596272</v>
      </c>
      <c r="X14" s="459">
        <v>2136241</v>
      </c>
    </row>
    <row r="15" spans="1:24" ht="15" customHeight="1">
      <c r="A15" s="76" t="s">
        <v>63</v>
      </c>
      <c r="B15" s="77">
        <v>861678</v>
      </c>
      <c r="C15" s="77">
        <v>833660</v>
      </c>
      <c r="D15" s="77">
        <v>928960</v>
      </c>
      <c r="E15" s="77">
        <v>858384</v>
      </c>
      <c r="F15" s="77">
        <v>1029704</v>
      </c>
      <c r="G15" s="77">
        <v>1314867</v>
      </c>
      <c r="H15" s="77">
        <v>1257384</v>
      </c>
      <c r="I15" s="77">
        <v>1129395</v>
      </c>
      <c r="J15" s="77">
        <v>1138594</v>
      </c>
      <c r="K15" s="77">
        <v>1351428</v>
      </c>
      <c r="L15" s="459">
        <v>1520969</v>
      </c>
      <c r="M15" s="459">
        <v>1468797</v>
      </c>
      <c r="N15" s="459">
        <v>1557391</v>
      </c>
      <c r="O15" s="459">
        <v>1734318</v>
      </c>
      <c r="P15" s="459">
        <v>1906694</v>
      </c>
      <c r="Q15" s="459">
        <v>1901937</v>
      </c>
      <c r="R15" s="459">
        <v>1889768</v>
      </c>
      <c r="S15" s="459">
        <v>2185816</v>
      </c>
      <c r="T15" s="459">
        <v>2475970</v>
      </c>
      <c r="U15" s="459">
        <v>2359478</v>
      </c>
      <c r="V15" s="459">
        <v>2749624</v>
      </c>
      <c r="W15" s="459">
        <v>2473318</v>
      </c>
      <c r="X15" s="459">
        <v>2297780</v>
      </c>
    </row>
    <row r="16" spans="1:24" ht="15" customHeight="1">
      <c r="A16" s="76" t="s">
        <v>64</v>
      </c>
      <c r="B16" s="77">
        <v>856494</v>
      </c>
      <c r="C16" s="77">
        <v>818475</v>
      </c>
      <c r="D16" s="77">
        <v>965411</v>
      </c>
      <c r="E16" s="77">
        <v>921904</v>
      </c>
      <c r="F16" s="77">
        <v>1031394</v>
      </c>
      <c r="G16" s="77">
        <v>1235154</v>
      </c>
      <c r="H16" s="77">
        <v>1276421</v>
      </c>
      <c r="I16" s="77">
        <v>1296954</v>
      </c>
      <c r="J16" s="77">
        <v>1271850</v>
      </c>
      <c r="K16" s="77">
        <v>1312318</v>
      </c>
      <c r="L16" s="459">
        <v>1598668</v>
      </c>
      <c r="M16" s="459">
        <v>1455818</v>
      </c>
      <c r="N16" s="459">
        <v>1846192</v>
      </c>
      <c r="O16" s="459">
        <v>1878517</v>
      </c>
      <c r="P16" s="459">
        <v>2005502</v>
      </c>
      <c r="Q16" s="459">
        <v>2035995</v>
      </c>
      <c r="R16" s="459">
        <v>1929638</v>
      </c>
      <c r="S16" s="459">
        <v>2370227</v>
      </c>
      <c r="T16" s="459">
        <v>2543178</v>
      </c>
      <c r="U16" s="459">
        <v>2519026</v>
      </c>
      <c r="V16" s="459">
        <v>2869209</v>
      </c>
      <c r="W16" s="459">
        <v>2421574</v>
      </c>
      <c r="X16" s="459">
        <v>2308075</v>
      </c>
    </row>
    <row r="17" spans="1:25" ht="15" customHeight="1">
      <c r="A17" s="76" t="s">
        <v>65</v>
      </c>
      <c r="B17" s="77">
        <v>917278</v>
      </c>
      <c r="C17" s="77">
        <v>811598</v>
      </c>
      <c r="D17" s="77">
        <v>992630</v>
      </c>
      <c r="E17" s="77">
        <v>874105</v>
      </c>
      <c r="F17" s="77">
        <v>1049108</v>
      </c>
      <c r="G17" s="77">
        <v>1317612</v>
      </c>
      <c r="H17" s="77">
        <v>1170486</v>
      </c>
      <c r="I17" s="77">
        <v>1342764</v>
      </c>
      <c r="J17" s="77">
        <v>1321349</v>
      </c>
      <c r="K17" s="77">
        <v>1219701</v>
      </c>
      <c r="L17" s="459">
        <v>1492380</v>
      </c>
      <c r="M17" s="459">
        <v>1571726</v>
      </c>
      <c r="N17" s="459">
        <v>1740008</v>
      </c>
      <c r="O17" s="459">
        <v>1802465</v>
      </c>
      <c r="P17" s="459">
        <v>1943473</v>
      </c>
      <c r="Q17" s="459">
        <v>1821917</v>
      </c>
      <c r="R17" s="459">
        <v>1800852</v>
      </c>
      <c r="S17" s="459">
        <v>2269296</v>
      </c>
      <c r="T17" s="459">
        <v>2173332</v>
      </c>
      <c r="U17" s="459">
        <v>2472526</v>
      </c>
      <c r="V17" s="459">
        <v>2704997</v>
      </c>
      <c r="W17" s="459">
        <v>1959519</v>
      </c>
      <c r="X17" s="459">
        <v>2253583</v>
      </c>
    </row>
    <row r="18" spans="1:25" ht="15" customHeight="1" thickBot="1">
      <c r="A18" s="79" t="s">
        <v>66</v>
      </c>
      <c r="B18" s="100">
        <v>900202</v>
      </c>
      <c r="C18" s="100">
        <v>811770</v>
      </c>
      <c r="D18" s="100">
        <v>977486</v>
      </c>
      <c r="E18" s="100">
        <v>946085</v>
      </c>
      <c r="F18" s="100">
        <v>1050768</v>
      </c>
      <c r="G18" s="100">
        <v>1337870</v>
      </c>
      <c r="H18" s="100">
        <v>1058644</v>
      </c>
      <c r="I18" s="100">
        <v>1326550</v>
      </c>
      <c r="J18" s="100">
        <v>1470450</v>
      </c>
      <c r="K18" s="100">
        <v>1403150</v>
      </c>
      <c r="L18" s="460">
        <v>1606726</v>
      </c>
      <c r="M18" s="460">
        <v>1524952</v>
      </c>
      <c r="N18" s="460">
        <v>1611383</v>
      </c>
      <c r="O18" s="460">
        <v>1740112</v>
      </c>
      <c r="P18" s="460">
        <v>1618330</v>
      </c>
      <c r="Q18" s="460">
        <v>1870634</v>
      </c>
      <c r="R18" s="460">
        <v>1897268</v>
      </c>
      <c r="S18" s="460">
        <v>2278805</v>
      </c>
      <c r="T18" s="460">
        <v>2234204</v>
      </c>
      <c r="U18" s="460">
        <v>2221235</v>
      </c>
      <c r="V18" s="460">
        <v>2636531</v>
      </c>
      <c r="W18" s="460">
        <v>1978993</v>
      </c>
      <c r="X18" s="460">
        <v>2362615</v>
      </c>
    </row>
    <row r="19" spans="1:25" ht="9" customHeight="1">
      <c r="A19" s="778" t="s">
        <v>402</v>
      </c>
      <c r="B19" s="796"/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</row>
    <row r="20" spans="1:25" ht="9" customHeight="1">
      <c r="A20" s="871" t="s">
        <v>378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</row>
    <row r="21" spans="1:25" ht="9" customHeight="1">
      <c r="A21" s="780" t="s">
        <v>358</v>
      </c>
      <c r="B21" s="796"/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</row>
    <row r="23" spans="1:25" ht="13.25" customHeight="1">
      <c r="A23" s="250" t="s">
        <v>592</v>
      </c>
    </row>
    <row r="24" spans="1:25" ht="13.25" customHeight="1">
      <c r="A24" s="253" t="s">
        <v>304</v>
      </c>
    </row>
    <row r="25" spans="1:25" ht="4.25" customHeight="1" thickBot="1"/>
    <row r="26" spans="1:25" ht="16.25" customHeight="1">
      <c r="A26" s="568" t="s">
        <v>110</v>
      </c>
      <c r="B26" s="565">
        <v>2000</v>
      </c>
      <c r="C26" s="565">
        <v>2001</v>
      </c>
      <c r="D26" s="565">
        <v>2002</v>
      </c>
      <c r="E26" s="565">
        <v>2003</v>
      </c>
      <c r="F26" s="565">
        <v>2004</v>
      </c>
      <c r="G26" s="565">
        <v>2005</v>
      </c>
      <c r="H26" s="565">
        <v>2006</v>
      </c>
      <c r="I26" s="565">
        <v>2007</v>
      </c>
      <c r="J26" s="565">
        <v>2008</v>
      </c>
      <c r="K26" s="565">
        <v>2009</v>
      </c>
      <c r="L26" s="565">
        <v>2010</v>
      </c>
      <c r="M26" s="565">
        <v>2011</v>
      </c>
      <c r="N26" s="565">
        <v>2012</v>
      </c>
      <c r="O26" s="565">
        <v>2013</v>
      </c>
      <c r="P26" s="565">
        <v>2014</v>
      </c>
      <c r="Q26" s="565">
        <v>2015</v>
      </c>
      <c r="R26" s="565">
        <v>2016</v>
      </c>
      <c r="S26" s="542">
        <v>2017</v>
      </c>
      <c r="T26" s="542">
        <v>2018</v>
      </c>
      <c r="U26" s="543">
        <v>2019</v>
      </c>
      <c r="V26" s="543">
        <v>2020</v>
      </c>
      <c r="W26" s="543">
        <v>2021</v>
      </c>
      <c r="X26" s="544" t="s">
        <v>477</v>
      </c>
    </row>
    <row r="27" spans="1:25" ht="16.25" customHeight="1">
      <c r="A27" s="554" t="s">
        <v>54</v>
      </c>
      <c r="B27" s="731">
        <v>10208868</v>
      </c>
      <c r="C27" s="731">
        <v>10342280</v>
      </c>
      <c r="D27" s="731">
        <v>10520830</v>
      </c>
      <c r="E27" s="731">
        <v>10976784</v>
      </c>
      <c r="F27" s="731">
        <v>11171450</v>
      </c>
      <c r="G27" s="731">
        <v>13516950</v>
      </c>
      <c r="H27" s="731">
        <v>14067169</v>
      </c>
      <c r="I27" s="731">
        <v>14622238</v>
      </c>
      <c r="J27" s="731">
        <v>14559640</v>
      </c>
      <c r="K27" s="731">
        <v>15372155</v>
      </c>
      <c r="L27" s="731">
        <v>17802209</v>
      </c>
      <c r="M27" s="731">
        <v>16970540</v>
      </c>
      <c r="N27" s="731">
        <v>19624651</v>
      </c>
      <c r="O27" s="731">
        <v>19793997</v>
      </c>
      <c r="P27" s="731">
        <v>21131996</v>
      </c>
      <c r="Q27" s="731">
        <v>21795793</v>
      </c>
      <c r="R27" s="731">
        <v>22977223</v>
      </c>
      <c r="S27" s="731">
        <v>24632650</v>
      </c>
      <c r="T27" s="731">
        <f>SUM(T28:T39)</f>
        <v>27929872</v>
      </c>
      <c r="U27" s="731">
        <f>SUM(U28:U39)</f>
        <v>26179287</v>
      </c>
      <c r="V27" s="731">
        <f>SUM(V28:V39)</f>
        <v>28790070</v>
      </c>
      <c r="W27" s="731">
        <f>SUM(W28:W39)</f>
        <v>29636130</v>
      </c>
      <c r="X27" s="731">
        <f>SUM(X28:X39)</f>
        <v>25469429</v>
      </c>
    </row>
    <row r="28" spans="1:25" ht="15" customHeight="1">
      <c r="A28" s="76" t="s">
        <v>55</v>
      </c>
      <c r="B28" s="77">
        <v>778525</v>
      </c>
      <c r="C28" s="77">
        <v>894357</v>
      </c>
      <c r="D28" s="77">
        <v>769970</v>
      </c>
      <c r="E28" s="77">
        <v>1015405</v>
      </c>
      <c r="F28" s="77">
        <v>885860</v>
      </c>
      <c r="G28" s="77">
        <v>1025412</v>
      </c>
      <c r="H28" s="77">
        <v>1236334</v>
      </c>
      <c r="I28" s="77">
        <v>1033584</v>
      </c>
      <c r="J28" s="77">
        <v>1227159</v>
      </c>
      <c r="K28" s="77">
        <v>1339234</v>
      </c>
      <c r="L28" s="77">
        <v>1367893</v>
      </c>
      <c r="M28" s="77">
        <v>1492099</v>
      </c>
      <c r="N28" s="77">
        <v>1740596</v>
      </c>
      <c r="O28" s="77">
        <v>1659188</v>
      </c>
      <c r="P28" s="77">
        <v>1801344</v>
      </c>
      <c r="Q28" s="77">
        <v>1740585</v>
      </c>
      <c r="R28" s="77">
        <v>1755389</v>
      </c>
      <c r="S28" s="77">
        <v>1939385</v>
      </c>
      <c r="T28" s="77">
        <v>2181448</v>
      </c>
      <c r="U28" s="77">
        <v>1980049</v>
      </c>
      <c r="V28" s="77">
        <v>2346525</v>
      </c>
      <c r="W28" s="77">
        <v>2600927</v>
      </c>
      <c r="X28" s="77">
        <v>2235249</v>
      </c>
      <c r="Y28" s="77"/>
    </row>
    <row r="29" spans="1:25" ht="15" customHeight="1">
      <c r="A29" s="76" t="s">
        <v>56</v>
      </c>
      <c r="B29" s="77">
        <v>775802</v>
      </c>
      <c r="C29" s="77">
        <v>785005</v>
      </c>
      <c r="D29" s="77">
        <v>667732</v>
      </c>
      <c r="E29" s="77">
        <v>942206</v>
      </c>
      <c r="F29" s="77">
        <v>806862</v>
      </c>
      <c r="G29" s="77">
        <v>899339</v>
      </c>
      <c r="H29" s="77">
        <v>1030921</v>
      </c>
      <c r="I29" s="77">
        <v>983434</v>
      </c>
      <c r="J29" s="77">
        <v>1006454</v>
      </c>
      <c r="K29" s="77">
        <v>1194814</v>
      </c>
      <c r="L29" s="77">
        <v>1332447</v>
      </c>
      <c r="M29" s="77">
        <v>1388264</v>
      </c>
      <c r="N29" s="77">
        <v>1401301</v>
      </c>
      <c r="O29" s="77">
        <v>1473374</v>
      </c>
      <c r="P29" s="77">
        <v>1536559</v>
      </c>
      <c r="Q29" s="77">
        <v>1687132</v>
      </c>
      <c r="R29" s="77">
        <v>1971615</v>
      </c>
      <c r="S29" s="77">
        <v>1661443</v>
      </c>
      <c r="T29" s="77">
        <v>2098791</v>
      </c>
      <c r="U29" s="77">
        <v>1978628</v>
      </c>
      <c r="V29" s="77">
        <v>2065459</v>
      </c>
      <c r="W29" s="77">
        <v>2445161</v>
      </c>
      <c r="X29" s="77">
        <v>2101383</v>
      </c>
      <c r="Y29" s="77"/>
    </row>
    <row r="30" spans="1:25" ht="15" customHeight="1">
      <c r="A30" s="76" t="s">
        <v>57</v>
      </c>
      <c r="B30" s="77">
        <v>783774</v>
      </c>
      <c r="C30" s="77">
        <v>778512</v>
      </c>
      <c r="D30" s="77">
        <v>700281</v>
      </c>
      <c r="E30" s="77">
        <v>958826</v>
      </c>
      <c r="F30" s="77">
        <v>900352</v>
      </c>
      <c r="G30" s="77">
        <v>968921</v>
      </c>
      <c r="H30" s="77">
        <v>1233550</v>
      </c>
      <c r="I30" s="77">
        <v>1151763</v>
      </c>
      <c r="J30" s="77">
        <v>1269418</v>
      </c>
      <c r="K30" s="77">
        <v>1301899</v>
      </c>
      <c r="L30" s="77">
        <v>1546938</v>
      </c>
      <c r="M30" s="77">
        <v>1516522</v>
      </c>
      <c r="N30" s="77">
        <v>1531447</v>
      </c>
      <c r="O30" s="77">
        <v>1532715</v>
      </c>
      <c r="P30" s="77">
        <v>1656042</v>
      </c>
      <c r="Q30" s="77">
        <v>1756839</v>
      </c>
      <c r="R30" s="77">
        <v>2036368</v>
      </c>
      <c r="S30" s="77">
        <v>1862425</v>
      </c>
      <c r="T30" s="77">
        <v>2397972</v>
      </c>
      <c r="U30" s="77">
        <v>2063350</v>
      </c>
      <c r="V30" s="77">
        <v>2386328</v>
      </c>
      <c r="W30" s="77">
        <v>2578416</v>
      </c>
      <c r="X30" s="77">
        <v>2215903</v>
      </c>
      <c r="Y30" s="77"/>
    </row>
    <row r="31" spans="1:25" ht="15" customHeight="1">
      <c r="A31" s="76" t="s">
        <v>58</v>
      </c>
      <c r="B31" s="77">
        <v>765270</v>
      </c>
      <c r="C31" s="77">
        <v>931868</v>
      </c>
      <c r="D31" s="77">
        <v>881580</v>
      </c>
      <c r="E31" s="77">
        <v>990608</v>
      </c>
      <c r="F31" s="77">
        <v>852242</v>
      </c>
      <c r="G31" s="77">
        <v>1049642</v>
      </c>
      <c r="H31" s="77">
        <v>1133030</v>
      </c>
      <c r="I31" s="77">
        <v>1210133</v>
      </c>
      <c r="J31" s="77">
        <v>1203330</v>
      </c>
      <c r="K31" s="77">
        <v>1278144</v>
      </c>
      <c r="L31" s="77">
        <v>1458269</v>
      </c>
      <c r="M31" s="77">
        <v>1421026</v>
      </c>
      <c r="N31" s="77">
        <v>1566490</v>
      </c>
      <c r="O31" s="77">
        <v>1638430</v>
      </c>
      <c r="P31" s="77">
        <v>1772005</v>
      </c>
      <c r="Q31" s="77">
        <v>1721733</v>
      </c>
      <c r="R31" s="77">
        <v>1900261</v>
      </c>
      <c r="S31" s="77">
        <v>2073694</v>
      </c>
      <c r="T31" s="77">
        <v>2193319</v>
      </c>
      <c r="U31" s="77">
        <v>2103284</v>
      </c>
      <c r="V31" s="77">
        <v>1916995</v>
      </c>
      <c r="W31" s="77">
        <v>2704931</v>
      </c>
      <c r="X31" s="77">
        <v>2324630</v>
      </c>
      <c r="Y31" s="77"/>
    </row>
    <row r="32" spans="1:25" ht="15" customHeight="1">
      <c r="A32" s="76" t="s">
        <v>59</v>
      </c>
      <c r="B32" s="77">
        <v>919196</v>
      </c>
      <c r="C32" s="77">
        <v>899095</v>
      </c>
      <c r="D32" s="77">
        <v>934623</v>
      </c>
      <c r="E32" s="77">
        <v>876577</v>
      </c>
      <c r="F32" s="77">
        <v>826823</v>
      </c>
      <c r="G32" s="77">
        <v>969565</v>
      </c>
      <c r="H32" s="77">
        <v>1227949</v>
      </c>
      <c r="I32" s="77">
        <v>1265295</v>
      </c>
      <c r="J32" s="77">
        <v>1253157</v>
      </c>
      <c r="K32" s="77">
        <v>1304586</v>
      </c>
      <c r="L32" s="77">
        <v>1362438</v>
      </c>
      <c r="M32" s="77">
        <v>1457793</v>
      </c>
      <c r="N32" s="77">
        <v>1647857</v>
      </c>
      <c r="O32" s="77">
        <v>1696153</v>
      </c>
      <c r="P32" s="77">
        <v>1740734</v>
      </c>
      <c r="Q32" s="77">
        <v>1820381</v>
      </c>
      <c r="R32" s="77">
        <v>1814026</v>
      </c>
      <c r="S32" s="77">
        <v>2026771</v>
      </c>
      <c r="T32" s="77">
        <v>2639342</v>
      </c>
      <c r="U32" s="77">
        <v>1904276</v>
      </c>
      <c r="V32" s="77">
        <v>2219284</v>
      </c>
      <c r="W32" s="77">
        <v>2663562</v>
      </c>
      <c r="X32" s="77">
        <v>2289078</v>
      </c>
      <c r="Y32" s="77"/>
    </row>
    <row r="33" spans="1:25" ht="15" customHeight="1">
      <c r="A33" s="76" t="s">
        <v>60</v>
      </c>
      <c r="B33" s="77">
        <v>851017</v>
      </c>
      <c r="C33" s="77">
        <v>841104</v>
      </c>
      <c r="D33" s="77">
        <v>894577</v>
      </c>
      <c r="E33" s="77">
        <v>848588</v>
      </c>
      <c r="F33" s="77">
        <v>986192</v>
      </c>
      <c r="G33" s="77">
        <v>1027275</v>
      </c>
      <c r="H33" s="77">
        <v>1150717</v>
      </c>
      <c r="I33" s="77">
        <v>1290385</v>
      </c>
      <c r="J33" s="77">
        <v>1117451</v>
      </c>
      <c r="K33" s="77">
        <v>1110192</v>
      </c>
      <c r="L33" s="77">
        <v>1479423</v>
      </c>
      <c r="M33" s="77">
        <v>1140804</v>
      </c>
      <c r="N33" s="77">
        <v>1625104</v>
      </c>
      <c r="O33" s="77">
        <v>1423787</v>
      </c>
      <c r="P33" s="77">
        <v>1762458</v>
      </c>
      <c r="Q33" s="77">
        <v>1683142</v>
      </c>
      <c r="R33" s="77">
        <v>1873443</v>
      </c>
      <c r="S33" s="77">
        <v>1892288</v>
      </c>
      <c r="T33" s="77">
        <v>2314905</v>
      </c>
      <c r="U33" s="77">
        <v>1965667</v>
      </c>
      <c r="V33" s="77">
        <v>2298037</v>
      </c>
      <c r="W33" s="77">
        <v>2596663</v>
      </c>
      <c r="X33" s="77">
        <v>2231584</v>
      </c>
      <c r="Y33" s="77"/>
    </row>
    <row r="34" spans="1:25" ht="15" customHeight="1">
      <c r="A34" s="76" t="s">
        <v>61</v>
      </c>
      <c r="B34" s="77">
        <v>910825</v>
      </c>
      <c r="C34" s="77">
        <v>945067</v>
      </c>
      <c r="D34" s="77">
        <v>896351</v>
      </c>
      <c r="E34" s="77">
        <v>862790</v>
      </c>
      <c r="F34" s="77">
        <v>848472</v>
      </c>
      <c r="G34" s="77">
        <v>1112924</v>
      </c>
      <c r="H34" s="77">
        <v>1089630</v>
      </c>
      <c r="I34" s="77">
        <v>1296524</v>
      </c>
      <c r="J34" s="77">
        <v>1153814</v>
      </c>
      <c r="K34" s="77">
        <v>1373625</v>
      </c>
      <c r="L34" s="77">
        <v>1512173</v>
      </c>
      <c r="M34" s="77">
        <v>1202094</v>
      </c>
      <c r="N34" s="77">
        <v>1811222</v>
      </c>
      <c r="O34" s="77">
        <v>1483712</v>
      </c>
      <c r="P34" s="77">
        <v>1665873</v>
      </c>
      <c r="Q34" s="77">
        <v>1842340</v>
      </c>
      <c r="R34" s="77">
        <v>2148830</v>
      </c>
      <c r="S34" s="77">
        <v>1956948</v>
      </c>
      <c r="T34" s="77">
        <v>2314960</v>
      </c>
      <c r="U34" s="77">
        <v>2253191</v>
      </c>
      <c r="V34" s="77">
        <v>2173700</v>
      </c>
      <c r="W34" s="77">
        <v>2616794</v>
      </c>
      <c r="X34" s="77">
        <v>2248885</v>
      </c>
      <c r="Y34" s="77"/>
    </row>
    <row r="35" spans="1:25" ht="15" customHeight="1">
      <c r="A35" s="76" t="s">
        <v>62</v>
      </c>
      <c r="B35" s="77">
        <v>888807</v>
      </c>
      <c r="C35" s="77">
        <v>991769</v>
      </c>
      <c r="D35" s="77">
        <v>911229</v>
      </c>
      <c r="E35" s="77">
        <v>881306</v>
      </c>
      <c r="F35" s="77">
        <v>903673</v>
      </c>
      <c r="G35" s="77">
        <v>1258369</v>
      </c>
      <c r="H35" s="77">
        <v>1202203</v>
      </c>
      <c r="I35" s="77">
        <v>1295457</v>
      </c>
      <c r="J35" s="77">
        <v>1127866</v>
      </c>
      <c r="K35" s="77">
        <v>1185698</v>
      </c>
      <c r="L35" s="77">
        <v>1523885</v>
      </c>
      <c r="M35" s="77">
        <v>1372645</v>
      </c>
      <c r="N35" s="77">
        <v>1648580</v>
      </c>
      <c r="O35" s="77">
        <v>1796746</v>
      </c>
      <c r="P35" s="77">
        <v>1771321</v>
      </c>
      <c r="Q35" s="77">
        <v>1913158</v>
      </c>
      <c r="R35" s="77">
        <v>1959765</v>
      </c>
      <c r="S35" s="77">
        <v>2115552</v>
      </c>
      <c r="T35" s="77">
        <v>2362451</v>
      </c>
      <c r="U35" s="77">
        <v>2358577</v>
      </c>
      <c r="V35" s="77">
        <v>2423381</v>
      </c>
      <c r="W35" s="77">
        <v>2596272</v>
      </c>
      <c r="X35" s="77">
        <v>2231248</v>
      </c>
      <c r="Y35" s="77"/>
    </row>
    <row r="36" spans="1:25" ht="15" customHeight="1">
      <c r="A36" s="76" t="s">
        <v>63</v>
      </c>
      <c r="B36" s="77">
        <v>861678</v>
      </c>
      <c r="C36" s="77">
        <v>833660</v>
      </c>
      <c r="D36" s="77">
        <v>928960</v>
      </c>
      <c r="E36" s="77">
        <v>858384</v>
      </c>
      <c r="F36" s="77">
        <v>1029704</v>
      </c>
      <c r="G36" s="77">
        <v>1314867</v>
      </c>
      <c r="H36" s="77">
        <v>1257384</v>
      </c>
      <c r="I36" s="77">
        <v>1129395</v>
      </c>
      <c r="J36" s="77">
        <v>1138594</v>
      </c>
      <c r="K36" s="77">
        <v>1350468</v>
      </c>
      <c r="L36" s="77">
        <v>1520969</v>
      </c>
      <c r="M36" s="77">
        <v>1426797</v>
      </c>
      <c r="N36" s="77">
        <v>1522391</v>
      </c>
      <c r="O36" s="77">
        <v>1703118</v>
      </c>
      <c r="P36" s="77">
        <v>1889555</v>
      </c>
      <c r="Q36" s="77">
        <v>1901937</v>
      </c>
      <c r="R36" s="77">
        <v>1889768</v>
      </c>
      <c r="S36" s="77">
        <v>2185816</v>
      </c>
      <c r="T36" s="77">
        <v>2475970</v>
      </c>
      <c r="U36" s="77">
        <v>2359478</v>
      </c>
      <c r="V36" s="77">
        <v>2749624</v>
      </c>
      <c r="W36" s="77">
        <v>2473318</v>
      </c>
      <c r="X36" s="77">
        <v>2125581</v>
      </c>
      <c r="Y36" s="77"/>
    </row>
    <row r="37" spans="1:25" ht="15" customHeight="1">
      <c r="A37" s="76" t="s">
        <v>64</v>
      </c>
      <c r="B37" s="77">
        <v>856494</v>
      </c>
      <c r="C37" s="77">
        <v>818475</v>
      </c>
      <c r="D37" s="77">
        <v>965411</v>
      </c>
      <c r="E37" s="77">
        <v>921904</v>
      </c>
      <c r="F37" s="77">
        <v>1031394</v>
      </c>
      <c r="G37" s="77">
        <v>1235154</v>
      </c>
      <c r="H37" s="77">
        <v>1276421</v>
      </c>
      <c r="I37" s="77">
        <v>1296954</v>
      </c>
      <c r="J37" s="77">
        <v>1271585</v>
      </c>
      <c r="K37" s="77">
        <v>1312318</v>
      </c>
      <c r="L37" s="77">
        <v>1598668</v>
      </c>
      <c r="M37" s="77">
        <v>1455818</v>
      </c>
      <c r="N37" s="77">
        <v>1809472</v>
      </c>
      <c r="O37" s="77">
        <v>1844197</v>
      </c>
      <c r="P37" s="77">
        <v>2005502</v>
      </c>
      <c r="Q37" s="77">
        <v>2035995</v>
      </c>
      <c r="R37" s="77">
        <v>1929638</v>
      </c>
      <c r="S37" s="77">
        <v>2370227</v>
      </c>
      <c r="T37" s="77">
        <v>2543178</v>
      </c>
      <c r="U37" s="77">
        <v>2519026</v>
      </c>
      <c r="V37" s="77">
        <v>2869209</v>
      </c>
      <c r="W37" s="77">
        <v>2421574</v>
      </c>
      <c r="X37" s="77">
        <v>2081112</v>
      </c>
      <c r="Y37" s="77"/>
    </row>
    <row r="38" spans="1:25" ht="15" customHeight="1">
      <c r="A38" s="76" t="s">
        <v>65</v>
      </c>
      <c r="B38" s="77">
        <v>917278</v>
      </c>
      <c r="C38" s="77">
        <v>811598</v>
      </c>
      <c r="D38" s="77">
        <v>992630</v>
      </c>
      <c r="E38" s="77">
        <v>874105</v>
      </c>
      <c r="F38" s="77">
        <v>1049108</v>
      </c>
      <c r="G38" s="77">
        <v>1317612</v>
      </c>
      <c r="H38" s="77">
        <v>1170486</v>
      </c>
      <c r="I38" s="77">
        <v>1342764</v>
      </c>
      <c r="J38" s="77">
        <v>1320898</v>
      </c>
      <c r="K38" s="77">
        <v>1218744</v>
      </c>
      <c r="L38" s="77">
        <v>1492380</v>
      </c>
      <c r="M38" s="77">
        <v>1571726</v>
      </c>
      <c r="N38" s="77">
        <v>1708808</v>
      </c>
      <c r="O38" s="77">
        <v>1802465</v>
      </c>
      <c r="P38" s="77">
        <v>1912273</v>
      </c>
      <c r="Q38" s="77">
        <v>1821917</v>
      </c>
      <c r="R38" s="77">
        <v>1800852</v>
      </c>
      <c r="S38" s="77">
        <v>2269296</v>
      </c>
      <c r="T38" s="77">
        <v>2173332</v>
      </c>
      <c r="U38" s="77">
        <v>2472526</v>
      </c>
      <c r="V38" s="77">
        <v>2704997</v>
      </c>
      <c r="W38" s="77">
        <v>1959519</v>
      </c>
      <c r="X38" s="77">
        <v>1684020</v>
      </c>
      <c r="Y38" s="77"/>
    </row>
    <row r="39" spans="1:25" ht="15" customHeight="1" thickBot="1">
      <c r="A39" s="79" t="s">
        <v>66</v>
      </c>
      <c r="B39" s="100">
        <v>900202</v>
      </c>
      <c r="C39" s="100">
        <v>811770</v>
      </c>
      <c r="D39" s="100">
        <v>977486</v>
      </c>
      <c r="E39" s="100">
        <v>946085</v>
      </c>
      <c r="F39" s="100">
        <v>1050768</v>
      </c>
      <c r="G39" s="100">
        <v>1337870</v>
      </c>
      <c r="H39" s="100">
        <v>1058644</v>
      </c>
      <c r="I39" s="100">
        <v>1326550</v>
      </c>
      <c r="J39" s="100">
        <v>1469914</v>
      </c>
      <c r="K39" s="100">
        <v>1402433</v>
      </c>
      <c r="L39" s="100">
        <v>1606726</v>
      </c>
      <c r="M39" s="100">
        <v>1524952</v>
      </c>
      <c r="N39" s="100">
        <v>1611383</v>
      </c>
      <c r="O39" s="100">
        <v>1740112</v>
      </c>
      <c r="P39" s="100">
        <v>1618330</v>
      </c>
      <c r="Q39" s="100">
        <v>1870634</v>
      </c>
      <c r="R39" s="100">
        <v>1897268</v>
      </c>
      <c r="S39" s="100">
        <v>2278805</v>
      </c>
      <c r="T39" s="100">
        <v>2234204</v>
      </c>
      <c r="U39" s="100">
        <v>2221235</v>
      </c>
      <c r="V39" s="100">
        <v>2636531</v>
      </c>
      <c r="W39" s="100">
        <v>1978993</v>
      </c>
      <c r="X39" s="100">
        <v>1700756</v>
      </c>
      <c r="Y39" s="77"/>
    </row>
    <row r="40" spans="1:25" ht="9" customHeight="1">
      <c r="A40" s="778" t="s">
        <v>402</v>
      </c>
      <c r="B40" s="796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190"/>
    </row>
    <row r="41" spans="1:25" ht="9" customHeight="1">
      <c r="A41" s="871" t="s">
        <v>378</v>
      </c>
      <c r="B41" s="796"/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  <c r="P41" s="796"/>
      <c r="Q41" s="796"/>
      <c r="R41" s="190"/>
    </row>
    <row r="42" spans="1:25" ht="9" customHeight="1">
      <c r="A42" s="780" t="s">
        <v>358</v>
      </c>
      <c r="B42" s="796"/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  <c r="P42" s="796"/>
      <c r="Q42" s="796"/>
      <c r="R42" s="190"/>
    </row>
    <row r="43" spans="1:25" ht="13.25" customHeight="1">
      <c r="A43" s="796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  <c r="P43" s="796"/>
      <c r="Q43" s="796"/>
    </row>
    <row r="44" spans="1:25" ht="13.25" customHeight="1">
      <c r="A44" s="796"/>
      <c r="B44" s="796"/>
      <c r="C44" s="796"/>
      <c r="D44" s="796"/>
      <c r="E44" s="796"/>
      <c r="F44" s="796"/>
      <c r="G44" s="796"/>
      <c r="H44" s="796"/>
      <c r="I44" s="796"/>
      <c r="J44" s="796"/>
      <c r="K44" s="796"/>
      <c r="L44" s="796"/>
      <c r="M44" s="796"/>
      <c r="N44" s="796"/>
      <c r="O44" s="796"/>
      <c r="P44" s="796"/>
      <c r="Q44" s="796"/>
    </row>
    <row r="45" spans="1:25" ht="13.25" customHeight="1">
      <c r="A45" s="796"/>
      <c r="B45" s="796"/>
      <c r="C45" s="796"/>
      <c r="D45" s="796"/>
      <c r="E45" s="796"/>
      <c r="F45" s="796"/>
      <c r="G45" s="796"/>
      <c r="H45" s="796"/>
      <c r="I45" s="796"/>
      <c r="J45" s="796"/>
      <c r="K45" s="796"/>
      <c r="L45" s="796"/>
      <c r="M45" s="796"/>
      <c r="N45" s="796"/>
      <c r="O45" s="796"/>
      <c r="P45" s="796"/>
      <c r="Q45" s="796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Hoja126">
    <tabColor theme="9" tint="0.59999389629810485"/>
  </sheetPr>
  <dimension ref="A1:O43"/>
  <sheetViews>
    <sheetView showGridLines="0" zoomScaleNormal="100" workbookViewId="0">
      <selection activeCell="A33" sqref="A33"/>
    </sheetView>
  </sheetViews>
  <sheetFormatPr baseColWidth="10" defaultColWidth="7" defaultRowHeight="13.25" customHeight="1"/>
  <cols>
    <col min="1" max="1" width="13.3984375" style="97" customWidth="1"/>
    <col min="2" max="2" width="10.3984375" style="97" customWidth="1"/>
    <col min="3" max="14" width="9" style="97" customWidth="1"/>
    <col min="15" max="16384" width="7" style="97"/>
  </cols>
  <sheetData>
    <row r="1" spans="1:14" ht="13.25" customHeight="1">
      <c r="A1" s="40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ht="19.25" customHeight="1">
      <c r="A2" s="436" t="s">
        <v>593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</row>
    <row r="3" spans="1:14" ht="13.25" customHeight="1">
      <c r="A3" s="433" t="s">
        <v>304</v>
      </c>
      <c r="B3" s="438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1:14" ht="4.25" customHeight="1" thickBo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</row>
    <row r="5" spans="1:14" ht="15" customHeight="1">
      <c r="A5" s="750" t="s">
        <v>18</v>
      </c>
      <c r="B5" s="750" t="s">
        <v>106</v>
      </c>
      <c r="C5" s="750" t="s">
        <v>55</v>
      </c>
      <c r="D5" s="750" t="s">
        <v>56</v>
      </c>
      <c r="E5" s="750" t="s">
        <v>57</v>
      </c>
      <c r="F5" s="750" t="s">
        <v>58</v>
      </c>
      <c r="G5" s="750" t="s">
        <v>59</v>
      </c>
      <c r="H5" s="750" t="s">
        <v>60</v>
      </c>
      <c r="I5" s="750" t="s">
        <v>61</v>
      </c>
      <c r="J5" s="750" t="s">
        <v>62</v>
      </c>
      <c r="K5" s="750" t="s">
        <v>63</v>
      </c>
      <c r="L5" s="750" t="s">
        <v>64</v>
      </c>
      <c r="M5" s="750" t="s">
        <v>65</v>
      </c>
      <c r="N5" s="750" t="s">
        <v>66</v>
      </c>
    </row>
    <row r="6" spans="1:14" ht="15" customHeight="1">
      <c r="A6" s="739" t="s">
        <v>90</v>
      </c>
      <c r="B6" s="740">
        <f>SUM(C6:N6)</f>
        <v>6745726</v>
      </c>
      <c r="C6" s="740">
        <f t="shared" ref="C6:N6" si="0">+C8+C16+C25+C34</f>
        <v>610901</v>
      </c>
      <c r="D6" s="740">
        <f t="shared" si="0"/>
        <v>552232</v>
      </c>
      <c r="E6" s="740">
        <f t="shared" si="0"/>
        <v>608882</v>
      </c>
      <c r="F6" s="740">
        <f t="shared" si="0"/>
        <v>471980</v>
      </c>
      <c r="G6" s="740">
        <f t="shared" si="0"/>
        <v>531611</v>
      </c>
      <c r="H6" s="740">
        <f t="shared" si="0"/>
        <v>470030</v>
      </c>
      <c r="I6" s="740">
        <f t="shared" si="0"/>
        <v>546918</v>
      </c>
      <c r="J6" s="740">
        <f t="shared" si="0"/>
        <v>574201</v>
      </c>
      <c r="K6" s="740">
        <f t="shared" si="0"/>
        <v>682913</v>
      </c>
      <c r="L6" s="740">
        <f t="shared" si="0"/>
        <v>538950</v>
      </c>
      <c r="M6" s="740">
        <f t="shared" si="0"/>
        <v>623246</v>
      </c>
      <c r="N6" s="740">
        <f t="shared" si="0"/>
        <v>533862</v>
      </c>
    </row>
    <row r="7" spans="1:14" ht="1.25" hidden="1" customHeight="1">
      <c r="A7" s="741"/>
      <c r="B7" s="742"/>
      <c r="C7" s="742"/>
      <c r="D7" s="742"/>
      <c r="E7" s="742"/>
      <c r="F7" s="742"/>
      <c r="G7" s="742"/>
      <c r="H7" s="742"/>
      <c r="I7" s="742"/>
      <c r="J7" s="742"/>
      <c r="K7" s="742"/>
      <c r="L7" s="742"/>
      <c r="M7" s="742"/>
      <c r="N7" s="742"/>
    </row>
    <row r="8" spans="1:14" ht="13.25" customHeight="1">
      <c r="A8" s="743" t="s">
        <v>144</v>
      </c>
      <c r="B8" s="744">
        <f>SUM(C8:N8)</f>
        <v>1939530</v>
      </c>
      <c r="C8" s="744">
        <f t="shared" ref="C8:N8" si="1">SUM(C9:C14)</f>
        <v>204079</v>
      </c>
      <c r="D8" s="744">
        <f t="shared" si="1"/>
        <v>118229</v>
      </c>
      <c r="E8" s="744">
        <f t="shared" si="1"/>
        <v>207955</v>
      </c>
      <c r="F8" s="744">
        <f t="shared" si="1"/>
        <v>78445</v>
      </c>
      <c r="G8" s="744">
        <f t="shared" si="1"/>
        <v>160138</v>
      </c>
      <c r="H8" s="744">
        <f t="shared" si="1"/>
        <v>175743</v>
      </c>
      <c r="I8" s="744">
        <f t="shared" si="1"/>
        <v>207767</v>
      </c>
      <c r="J8" s="744">
        <f t="shared" si="1"/>
        <v>136483</v>
      </c>
      <c r="K8" s="744">
        <f t="shared" si="1"/>
        <v>168234</v>
      </c>
      <c r="L8" s="744">
        <f t="shared" si="1"/>
        <v>159110</v>
      </c>
      <c r="M8" s="744">
        <f t="shared" si="1"/>
        <v>175956</v>
      </c>
      <c r="N8" s="744">
        <f t="shared" si="1"/>
        <v>147391</v>
      </c>
    </row>
    <row r="9" spans="1:14" ht="12" customHeight="1">
      <c r="A9" s="97" t="s">
        <v>21</v>
      </c>
      <c r="B9" s="745">
        <f t="shared" ref="B9:B14" si="2">SUM(C9:N9)</f>
        <v>0</v>
      </c>
      <c r="C9" s="497">
        <v>0</v>
      </c>
      <c r="D9" s="497">
        <v>0</v>
      </c>
      <c r="E9" s="497">
        <v>0</v>
      </c>
      <c r="F9" s="497">
        <v>0</v>
      </c>
      <c r="G9" s="497">
        <v>0</v>
      </c>
      <c r="H9" s="497">
        <v>0</v>
      </c>
      <c r="I9" s="497">
        <v>0</v>
      </c>
      <c r="J9" s="497">
        <v>0</v>
      </c>
      <c r="K9" s="497">
        <v>0</v>
      </c>
      <c r="L9" s="497">
        <v>0</v>
      </c>
      <c r="M9" s="497">
        <v>0</v>
      </c>
      <c r="N9" s="497">
        <v>0</v>
      </c>
    </row>
    <row r="10" spans="1:14" ht="12" customHeight="1">
      <c r="A10" s="97" t="s">
        <v>22</v>
      </c>
      <c r="B10" s="745">
        <f t="shared" si="2"/>
        <v>0</v>
      </c>
      <c r="C10" s="497">
        <v>0</v>
      </c>
      <c r="D10" s="497">
        <v>0</v>
      </c>
      <c r="E10" s="497">
        <v>0</v>
      </c>
      <c r="F10" s="497">
        <v>0</v>
      </c>
      <c r="G10" s="497">
        <v>0</v>
      </c>
      <c r="H10" s="497">
        <v>0</v>
      </c>
      <c r="I10" s="497">
        <v>0</v>
      </c>
      <c r="J10" s="497">
        <v>0</v>
      </c>
      <c r="K10" s="497">
        <v>0</v>
      </c>
      <c r="L10" s="497">
        <v>0</v>
      </c>
      <c r="M10" s="497">
        <v>0</v>
      </c>
      <c r="N10" s="497">
        <v>0</v>
      </c>
    </row>
    <row r="11" spans="1:14" ht="12" customHeight="1">
      <c r="A11" s="97" t="s">
        <v>23</v>
      </c>
      <c r="B11" s="745">
        <f t="shared" si="2"/>
        <v>0</v>
      </c>
      <c r="C11" s="497">
        <v>0</v>
      </c>
      <c r="D11" s="497">
        <v>0</v>
      </c>
      <c r="E11" s="497">
        <v>0</v>
      </c>
      <c r="F11" s="497">
        <v>0</v>
      </c>
      <c r="G11" s="497">
        <v>0</v>
      </c>
      <c r="H11" s="497">
        <v>0</v>
      </c>
      <c r="I11" s="497">
        <v>0</v>
      </c>
      <c r="J11" s="497">
        <v>0</v>
      </c>
      <c r="K11" s="497">
        <v>0</v>
      </c>
      <c r="L11" s="497">
        <v>0</v>
      </c>
      <c r="M11" s="497">
        <v>0</v>
      </c>
      <c r="N11" s="497">
        <v>0</v>
      </c>
    </row>
    <row r="12" spans="1:14" ht="12" customHeight="1">
      <c r="A12" s="97" t="s">
        <v>24</v>
      </c>
      <c r="B12" s="745">
        <f t="shared" si="2"/>
        <v>1933926</v>
      </c>
      <c r="C12" s="497">
        <v>202817</v>
      </c>
      <c r="D12" s="497">
        <v>118229</v>
      </c>
      <c r="E12" s="497">
        <v>207955</v>
      </c>
      <c r="F12" s="497">
        <v>78445</v>
      </c>
      <c r="G12" s="497">
        <v>160138</v>
      </c>
      <c r="H12" s="497">
        <v>173193</v>
      </c>
      <c r="I12" s="497">
        <v>207767</v>
      </c>
      <c r="J12" s="497">
        <v>136483</v>
      </c>
      <c r="K12" s="497">
        <v>168234</v>
      </c>
      <c r="L12" s="497">
        <v>159110</v>
      </c>
      <c r="M12" s="497">
        <v>175388</v>
      </c>
      <c r="N12" s="497">
        <v>146167</v>
      </c>
    </row>
    <row r="13" spans="1:14" ht="12" customHeight="1">
      <c r="A13" s="97" t="s">
        <v>25</v>
      </c>
      <c r="B13" s="745">
        <f t="shared" si="2"/>
        <v>1894</v>
      </c>
      <c r="C13" s="497">
        <v>0</v>
      </c>
      <c r="D13" s="497">
        <v>0</v>
      </c>
      <c r="E13" s="497">
        <v>0</v>
      </c>
      <c r="F13" s="497">
        <v>0</v>
      </c>
      <c r="G13" s="497">
        <v>0</v>
      </c>
      <c r="H13" s="497">
        <v>1326</v>
      </c>
      <c r="I13" s="497">
        <v>0</v>
      </c>
      <c r="J13" s="497">
        <v>0</v>
      </c>
      <c r="K13" s="497">
        <v>0</v>
      </c>
      <c r="L13" s="497">
        <v>0</v>
      </c>
      <c r="M13" s="497">
        <v>568</v>
      </c>
      <c r="N13" s="497">
        <v>0</v>
      </c>
    </row>
    <row r="14" spans="1:14" ht="12" customHeight="1">
      <c r="A14" s="97" t="s">
        <v>29</v>
      </c>
      <c r="B14" s="745">
        <f t="shared" si="2"/>
        <v>3710</v>
      </c>
      <c r="C14" s="497">
        <v>1262</v>
      </c>
      <c r="D14" s="497">
        <v>0</v>
      </c>
      <c r="E14" s="497">
        <v>0</v>
      </c>
      <c r="F14" s="497">
        <v>0</v>
      </c>
      <c r="G14" s="497">
        <v>0</v>
      </c>
      <c r="H14" s="497">
        <v>1224</v>
      </c>
      <c r="I14" s="497">
        <v>0</v>
      </c>
      <c r="J14" s="497">
        <v>0</v>
      </c>
      <c r="K14" s="497">
        <v>0</v>
      </c>
      <c r="L14" s="497">
        <v>0</v>
      </c>
      <c r="M14" s="497">
        <v>0</v>
      </c>
      <c r="N14" s="497">
        <v>1224</v>
      </c>
    </row>
    <row r="15" spans="1:14" ht="5" customHeight="1">
      <c r="B15" s="745"/>
      <c r="C15" s="497"/>
      <c r="D15" s="497"/>
      <c r="E15" s="497"/>
      <c r="F15" s="497"/>
      <c r="G15" s="497"/>
      <c r="H15" s="497"/>
      <c r="I15" s="497"/>
      <c r="J15" s="497"/>
      <c r="K15" s="497"/>
      <c r="L15" s="497"/>
      <c r="M15" s="497"/>
      <c r="N15" s="497"/>
    </row>
    <row r="16" spans="1:14" ht="12" customHeight="1">
      <c r="A16" s="748" t="s">
        <v>150</v>
      </c>
      <c r="B16" s="745">
        <f>SUM(C16:N16)</f>
        <v>4220794</v>
      </c>
      <c r="C16" s="745">
        <f>SUM(C17:C23)</f>
        <v>366881</v>
      </c>
      <c r="D16" s="745">
        <f t="shared" ref="D16:N16" si="3">SUM(D17:D23)</f>
        <v>389374</v>
      </c>
      <c r="E16" s="745">
        <f t="shared" si="3"/>
        <v>397867</v>
      </c>
      <c r="F16" s="745">
        <f t="shared" si="3"/>
        <v>337564</v>
      </c>
      <c r="G16" s="745">
        <f t="shared" si="3"/>
        <v>322513</v>
      </c>
      <c r="H16" s="745">
        <f t="shared" si="3"/>
        <v>285368</v>
      </c>
      <c r="I16" s="745">
        <f t="shared" si="3"/>
        <v>205897</v>
      </c>
      <c r="J16" s="745">
        <f t="shared" si="3"/>
        <v>416298</v>
      </c>
      <c r="K16" s="745">
        <f t="shared" si="3"/>
        <v>408146</v>
      </c>
      <c r="L16" s="745">
        <f t="shared" si="3"/>
        <v>361160</v>
      </c>
      <c r="M16" s="745">
        <f t="shared" si="3"/>
        <v>391765</v>
      </c>
      <c r="N16" s="745">
        <f t="shared" si="3"/>
        <v>337961</v>
      </c>
    </row>
    <row r="17" spans="1:14" ht="12" customHeight="1">
      <c r="A17" s="97" t="s">
        <v>30</v>
      </c>
      <c r="B17" s="745">
        <f t="shared" ref="B17:B23" si="4">SUM(C17:N17)</f>
        <v>1287446</v>
      </c>
      <c r="C17" s="497">
        <v>56565</v>
      </c>
      <c r="D17" s="497">
        <v>153842</v>
      </c>
      <c r="E17" s="497">
        <v>116116</v>
      </c>
      <c r="F17" s="497">
        <v>118348</v>
      </c>
      <c r="G17" s="497">
        <v>95173</v>
      </c>
      <c r="H17" s="497">
        <v>49395</v>
      </c>
      <c r="I17" s="497">
        <v>33660</v>
      </c>
      <c r="J17" s="497">
        <v>84757</v>
      </c>
      <c r="K17" s="497">
        <v>187562</v>
      </c>
      <c r="L17" s="497">
        <v>108147</v>
      </c>
      <c r="M17" s="497">
        <v>154030</v>
      </c>
      <c r="N17" s="497">
        <v>129851</v>
      </c>
    </row>
    <row r="18" spans="1:14" ht="12" customHeight="1">
      <c r="A18" s="97" t="s">
        <v>31</v>
      </c>
      <c r="B18" s="745">
        <f t="shared" si="4"/>
        <v>2171452</v>
      </c>
      <c r="C18" s="497">
        <v>213258</v>
      </c>
      <c r="D18" s="497">
        <v>161816</v>
      </c>
      <c r="E18" s="497">
        <v>229426</v>
      </c>
      <c r="F18" s="497">
        <v>136611</v>
      </c>
      <c r="G18" s="497">
        <v>161655</v>
      </c>
      <c r="H18" s="497">
        <v>235973</v>
      </c>
      <c r="I18" s="497">
        <v>172237</v>
      </c>
      <c r="J18" s="497">
        <v>275191</v>
      </c>
      <c r="K18" s="497">
        <v>186563</v>
      </c>
      <c r="L18" s="497">
        <v>92440</v>
      </c>
      <c r="M18" s="497">
        <v>120582</v>
      </c>
      <c r="N18" s="497">
        <v>185700</v>
      </c>
    </row>
    <row r="19" spans="1:14" ht="12" customHeight="1">
      <c r="A19" s="97" t="s">
        <v>32</v>
      </c>
      <c r="B19" s="745">
        <f t="shared" si="4"/>
        <v>761896</v>
      </c>
      <c r="C19" s="497">
        <v>97058</v>
      </c>
      <c r="D19" s="497">
        <v>73716</v>
      </c>
      <c r="E19" s="497">
        <v>52325</v>
      </c>
      <c r="F19" s="497">
        <v>82605</v>
      </c>
      <c r="G19" s="497">
        <v>65685</v>
      </c>
      <c r="H19" s="497">
        <v>0</v>
      </c>
      <c r="I19" s="497">
        <v>0</v>
      </c>
      <c r="J19" s="497">
        <v>56350</v>
      </c>
      <c r="K19" s="497">
        <v>34021</v>
      </c>
      <c r="L19" s="497">
        <v>160573</v>
      </c>
      <c r="M19" s="497">
        <v>117153</v>
      </c>
      <c r="N19" s="497">
        <v>22410</v>
      </c>
    </row>
    <row r="20" spans="1:14" ht="12" customHeight="1">
      <c r="A20" s="97" t="s">
        <v>33</v>
      </c>
      <c r="B20" s="745">
        <f t="shared" si="4"/>
        <v>0</v>
      </c>
      <c r="C20" s="497">
        <v>0</v>
      </c>
      <c r="D20" s="497">
        <v>0</v>
      </c>
      <c r="E20" s="497">
        <v>0</v>
      </c>
      <c r="F20" s="497">
        <v>0</v>
      </c>
      <c r="G20" s="497">
        <v>0</v>
      </c>
      <c r="H20" s="497">
        <v>0</v>
      </c>
      <c r="I20" s="497">
        <v>0</v>
      </c>
      <c r="J20" s="497">
        <v>0</v>
      </c>
      <c r="K20" s="497">
        <v>0</v>
      </c>
      <c r="L20" s="497">
        <v>0</v>
      </c>
      <c r="M20" s="497">
        <v>0</v>
      </c>
      <c r="N20" s="497">
        <v>0</v>
      </c>
    </row>
    <row r="21" spans="1:14" ht="12" customHeight="1">
      <c r="A21" s="97" t="s">
        <v>36</v>
      </c>
      <c r="B21" s="745">
        <f t="shared" si="4"/>
        <v>0</v>
      </c>
      <c r="C21" s="497">
        <v>0</v>
      </c>
      <c r="D21" s="497">
        <v>0</v>
      </c>
      <c r="E21" s="497">
        <v>0</v>
      </c>
      <c r="F21" s="497">
        <v>0</v>
      </c>
      <c r="G21" s="497">
        <v>0</v>
      </c>
      <c r="H21" s="497">
        <v>0</v>
      </c>
      <c r="I21" s="497">
        <v>0</v>
      </c>
      <c r="J21" s="497">
        <v>0</v>
      </c>
      <c r="K21" s="497">
        <v>0</v>
      </c>
      <c r="L21" s="497">
        <v>0</v>
      </c>
      <c r="M21" s="497">
        <v>0</v>
      </c>
      <c r="N21" s="497">
        <v>0</v>
      </c>
    </row>
    <row r="22" spans="1:14" ht="12" customHeight="1">
      <c r="A22" s="97" t="s">
        <v>35</v>
      </c>
      <c r="B22" s="745">
        <f t="shared" si="4"/>
        <v>0</v>
      </c>
      <c r="C22" s="497">
        <v>0</v>
      </c>
      <c r="D22" s="497">
        <v>0</v>
      </c>
      <c r="E22" s="497">
        <v>0</v>
      </c>
      <c r="F22" s="497">
        <v>0</v>
      </c>
      <c r="G22" s="497">
        <v>0</v>
      </c>
      <c r="H22" s="497">
        <v>0</v>
      </c>
      <c r="I22" s="497">
        <v>0</v>
      </c>
      <c r="J22" s="497">
        <v>0</v>
      </c>
      <c r="K22" s="497">
        <v>0</v>
      </c>
      <c r="L22" s="497">
        <v>0</v>
      </c>
      <c r="M22" s="497">
        <v>0</v>
      </c>
      <c r="N22" s="497">
        <v>0</v>
      </c>
    </row>
    <row r="23" spans="1:14" ht="12" customHeight="1">
      <c r="A23" s="97" t="s">
        <v>34</v>
      </c>
      <c r="B23" s="745">
        <f t="shared" si="4"/>
        <v>0</v>
      </c>
      <c r="C23" s="497">
        <v>0</v>
      </c>
      <c r="D23" s="497">
        <v>0</v>
      </c>
      <c r="E23" s="497">
        <v>0</v>
      </c>
      <c r="F23" s="497">
        <v>0</v>
      </c>
      <c r="G23" s="497">
        <v>0</v>
      </c>
      <c r="H23" s="497">
        <v>0</v>
      </c>
      <c r="I23" s="497">
        <v>0</v>
      </c>
      <c r="J23" s="497">
        <v>0</v>
      </c>
      <c r="K23" s="497">
        <v>0</v>
      </c>
      <c r="L23" s="497">
        <v>0</v>
      </c>
      <c r="M23" s="497">
        <v>0</v>
      </c>
      <c r="N23" s="497">
        <v>0</v>
      </c>
    </row>
    <row r="24" spans="1:14" ht="5" customHeight="1">
      <c r="B24" s="745"/>
      <c r="C24" s="497"/>
      <c r="D24" s="497"/>
      <c r="E24" s="497"/>
      <c r="F24" s="497"/>
      <c r="G24" s="497"/>
      <c r="H24" s="497"/>
      <c r="I24" s="497"/>
      <c r="J24" s="497"/>
      <c r="K24" s="497"/>
      <c r="L24" s="497"/>
      <c r="M24" s="497"/>
      <c r="N24" s="497"/>
    </row>
    <row r="25" spans="1:14" ht="12" customHeight="1">
      <c r="A25" s="748" t="s">
        <v>151</v>
      </c>
      <c r="B25" s="745">
        <f>SUM(C25:N25)</f>
        <v>497277</v>
      </c>
      <c r="C25" s="745">
        <f>SUM(C26:C32)</f>
        <v>26500</v>
      </c>
      <c r="D25" s="745">
        <f t="shared" ref="D25:N25" si="5">SUM(D26:D32)</f>
        <v>39820</v>
      </c>
      <c r="E25" s="745">
        <f t="shared" si="5"/>
        <v>3060</v>
      </c>
      <c r="F25" s="745">
        <f t="shared" si="5"/>
        <v>38760</v>
      </c>
      <c r="G25" s="745">
        <f t="shared" si="5"/>
        <v>48960</v>
      </c>
      <c r="H25" s="745">
        <f t="shared" si="5"/>
        <v>3060</v>
      </c>
      <c r="I25" s="745">
        <f t="shared" si="5"/>
        <v>115264</v>
      </c>
      <c r="J25" s="745">
        <f t="shared" si="5"/>
        <v>21420</v>
      </c>
      <c r="K25" s="745">
        <f t="shared" si="5"/>
        <v>83328</v>
      </c>
      <c r="L25" s="745">
        <f t="shared" si="5"/>
        <v>18680</v>
      </c>
      <c r="M25" s="745">
        <f t="shared" si="5"/>
        <v>49915</v>
      </c>
      <c r="N25" s="745">
        <f t="shared" si="5"/>
        <v>48510</v>
      </c>
    </row>
    <row r="26" spans="1:14" ht="12" customHeight="1">
      <c r="A26" s="97" t="s">
        <v>318</v>
      </c>
      <c r="B26" s="745">
        <f t="shared" ref="B26:B32" si="6">SUM(C26:N26)</f>
        <v>469431</v>
      </c>
      <c r="C26" s="497">
        <v>26500</v>
      </c>
      <c r="D26" s="497">
        <v>33700</v>
      </c>
      <c r="E26" s="497">
        <v>0</v>
      </c>
      <c r="F26" s="497">
        <v>38760</v>
      </c>
      <c r="G26" s="497">
        <v>48960</v>
      </c>
      <c r="H26" s="497">
        <v>0</v>
      </c>
      <c r="I26" s="497">
        <v>115264</v>
      </c>
      <c r="J26" s="497">
        <v>15300</v>
      </c>
      <c r="K26" s="497">
        <v>80268</v>
      </c>
      <c r="L26" s="497">
        <v>12254</v>
      </c>
      <c r="M26" s="497">
        <v>49915</v>
      </c>
      <c r="N26" s="497">
        <v>48510</v>
      </c>
    </row>
    <row r="27" spans="1:14" ht="12" customHeight="1">
      <c r="A27" s="97" t="s">
        <v>38</v>
      </c>
      <c r="B27" s="746">
        <v>0</v>
      </c>
      <c r="C27" s="497">
        <v>0</v>
      </c>
      <c r="D27" s="497">
        <v>0</v>
      </c>
      <c r="E27" s="497">
        <v>0</v>
      </c>
      <c r="F27" s="497">
        <v>0</v>
      </c>
      <c r="G27" s="497">
        <v>0</v>
      </c>
      <c r="H27" s="497">
        <v>0</v>
      </c>
      <c r="I27" s="497">
        <v>0</v>
      </c>
      <c r="J27" s="497">
        <v>0</v>
      </c>
      <c r="K27" s="497">
        <v>0</v>
      </c>
      <c r="L27" s="497">
        <v>0</v>
      </c>
      <c r="M27" s="497">
        <v>0</v>
      </c>
      <c r="N27" s="497">
        <v>0</v>
      </c>
    </row>
    <row r="28" spans="1:14" ht="12" customHeight="1">
      <c r="A28" s="97" t="s">
        <v>39</v>
      </c>
      <c r="B28" s="745">
        <f t="shared" si="6"/>
        <v>27846</v>
      </c>
      <c r="C28" s="497">
        <v>0</v>
      </c>
      <c r="D28" s="497">
        <v>6120</v>
      </c>
      <c r="E28" s="497">
        <v>3060</v>
      </c>
      <c r="F28" s="497">
        <v>0</v>
      </c>
      <c r="G28" s="497">
        <v>0</v>
      </c>
      <c r="H28" s="497">
        <v>3060</v>
      </c>
      <c r="I28" s="497">
        <v>0</v>
      </c>
      <c r="J28" s="497">
        <v>6120</v>
      </c>
      <c r="K28" s="497">
        <v>3060</v>
      </c>
      <c r="L28" s="497">
        <v>6426</v>
      </c>
      <c r="M28" s="497">
        <v>0</v>
      </c>
      <c r="N28" s="497">
        <v>0</v>
      </c>
    </row>
    <row r="29" spans="1:14" ht="12" customHeight="1">
      <c r="A29" s="97" t="s">
        <v>40</v>
      </c>
      <c r="B29" s="745">
        <f t="shared" si="6"/>
        <v>0</v>
      </c>
      <c r="C29" s="497">
        <v>0</v>
      </c>
      <c r="D29" s="497">
        <v>0</v>
      </c>
      <c r="E29" s="497">
        <v>0</v>
      </c>
      <c r="F29" s="497">
        <v>0</v>
      </c>
      <c r="G29" s="497">
        <v>0</v>
      </c>
      <c r="H29" s="497">
        <v>0</v>
      </c>
      <c r="I29" s="497">
        <v>0</v>
      </c>
      <c r="J29" s="497">
        <v>0</v>
      </c>
      <c r="K29" s="497">
        <v>0</v>
      </c>
      <c r="L29" s="497">
        <v>0</v>
      </c>
      <c r="M29" s="497">
        <v>0</v>
      </c>
      <c r="N29" s="497">
        <v>0</v>
      </c>
    </row>
    <row r="30" spans="1:14" ht="12" customHeight="1">
      <c r="A30" s="97" t="s">
        <v>41</v>
      </c>
      <c r="B30" s="745">
        <f t="shared" si="6"/>
        <v>0</v>
      </c>
      <c r="C30" s="497">
        <v>0</v>
      </c>
      <c r="D30" s="497">
        <v>0</v>
      </c>
      <c r="E30" s="497">
        <v>0</v>
      </c>
      <c r="F30" s="497">
        <v>0</v>
      </c>
      <c r="G30" s="497">
        <v>0</v>
      </c>
      <c r="H30" s="497">
        <v>0</v>
      </c>
      <c r="I30" s="497">
        <v>0</v>
      </c>
      <c r="J30" s="497">
        <v>0</v>
      </c>
      <c r="K30" s="497">
        <v>0</v>
      </c>
      <c r="L30" s="497">
        <v>0</v>
      </c>
      <c r="M30" s="497">
        <v>0</v>
      </c>
      <c r="N30" s="497">
        <v>0</v>
      </c>
    </row>
    <row r="31" spans="1:14" ht="12" customHeight="1">
      <c r="A31" s="97" t="s">
        <v>44</v>
      </c>
      <c r="B31" s="745">
        <f t="shared" si="6"/>
        <v>0</v>
      </c>
      <c r="C31" s="497">
        <v>0</v>
      </c>
      <c r="D31" s="497">
        <v>0</v>
      </c>
      <c r="E31" s="497">
        <v>0</v>
      </c>
      <c r="F31" s="497">
        <v>0</v>
      </c>
      <c r="G31" s="497">
        <v>0</v>
      </c>
      <c r="H31" s="497">
        <v>0</v>
      </c>
      <c r="I31" s="497">
        <v>0</v>
      </c>
      <c r="J31" s="497">
        <v>0</v>
      </c>
      <c r="K31" s="497">
        <v>0</v>
      </c>
      <c r="L31" s="497">
        <v>0</v>
      </c>
      <c r="M31" s="497">
        <v>0</v>
      </c>
      <c r="N31" s="497">
        <v>0</v>
      </c>
    </row>
    <row r="32" spans="1:14" ht="12" customHeight="1">
      <c r="A32" s="97" t="s">
        <v>45</v>
      </c>
      <c r="B32" s="745">
        <f t="shared" si="6"/>
        <v>0</v>
      </c>
      <c r="C32" s="497">
        <v>0</v>
      </c>
      <c r="D32" s="497">
        <v>0</v>
      </c>
      <c r="E32" s="497">
        <v>0</v>
      </c>
      <c r="F32" s="497">
        <v>0</v>
      </c>
      <c r="G32" s="497">
        <v>0</v>
      </c>
      <c r="H32" s="497">
        <v>0</v>
      </c>
      <c r="I32" s="497">
        <v>0</v>
      </c>
      <c r="J32" s="497">
        <v>0</v>
      </c>
      <c r="K32" s="497">
        <v>0</v>
      </c>
      <c r="L32" s="497">
        <v>0</v>
      </c>
      <c r="M32" s="497">
        <v>0</v>
      </c>
      <c r="N32" s="497">
        <v>0</v>
      </c>
    </row>
    <row r="33" spans="1:15" ht="5" customHeight="1">
      <c r="B33" s="745"/>
      <c r="C33" s="497"/>
      <c r="D33" s="497"/>
      <c r="E33" s="497"/>
      <c r="F33" s="497"/>
      <c r="G33" s="497"/>
      <c r="H33" s="497"/>
      <c r="I33" s="497"/>
      <c r="J33" s="497"/>
      <c r="K33" s="497"/>
      <c r="L33" s="497"/>
      <c r="M33" s="497"/>
      <c r="N33" s="497"/>
    </row>
    <row r="34" spans="1:15" ht="12" customHeight="1">
      <c r="A34" s="748" t="s">
        <v>157</v>
      </c>
      <c r="B34" s="745">
        <f>SUM(C34:N34)</f>
        <v>88125</v>
      </c>
      <c r="C34" s="745">
        <f>SUM(C35:C38)</f>
        <v>13441</v>
      </c>
      <c r="D34" s="745">
        <f t="shared" ref="D34:N34" si="7">SUM(D35:D38)</f>
        <v>4809</v>
      </c>
      <c r="E34" s="745">
        <f t="shared" si="7"/>
        <v>0</v>
      </c>
      <c r="F34" s="745">
        <f t="shared" si="7"/>
        <v>17211</v>
      </c>
      <c r="G34" s="745">
        <f t="shared" si="7"/>
        <v>0</v>
      </c>
      <c r="H34" s="745">
        <f t="shared" si="7"/>
        <v>5859</v>
      </c>
      <c r="I34" s="745">
        <f t="shared" si="7"/>
        <v>17990</v>
      </c>
      <c r="J34" s="745">
        <f t="shared" si="7"/>
        <v>0</v>
      </c>
      <c r="K34" s="745">
        <f t="shared" si="7"/>
        <v>23205</v>
      </c>
      <c r="L34" s="745">
        <f t="shared" si="7"/>
        <v>0</v>
      </c>
      <c r="M34" s="745">
        <f t="shared" si="7"/>
        <v>5610</v>
      </c>
      <c r="N34" s="745">
        <f t="shared" si="7"/>
        <v>0</v>
      </c>
    </row>
    <row r="35" spans="1:15" ht="12" customHeight="1">
      <c r="A35" s="97" t="s">
        <v>46</v>
      </c>
      <c r="B35" s="745">
        <f>SUM(C35:N35)</f>
        <v>54615</v>
      </c>
      <c r="C35" s="497">
        <v>12640</v>
      </c>
      <c r="D35" s="497">
        <v>0</v>
      </c>
      <c r="E35" s="497">
        <v>0</v>
      </c>
      <c r="F35" s="497">
        <v>12240</v>
      </c>
      <c r="G35" s="497">
        <v>0</v>
      </c>
      <c r="H35" s="497">
        <v>0</v>
      </c>
      <c r="I35" s="497">
        <v>12140</v>
      </c>
      <c r="J35" s="497">
        <v>0</v>
      </c>
      <c r="K35" s="497">
        <v>17595</v>
      </c>
      <c r="L35" s="497">
        <v>0</v>
      </c>
      <c r="M35" s="497">
        <v>0</v>
      </c>
      <c r="N35" s="497">
        <v>0</v>
      </c>
    </row>
    <row r="36" spans="1:15" ht="12" customHeight="1">
      <c r="A36" s="97" t="s">
        <v>47</v>
      </c>
      <c r="B36" s="745">
        <f>SUM(C36:N36)</f>
        <v>0</v>
      </c>
      <c r="C36" s="497">
        <v>0</v>
      </c>
      <c r="D36" s="497">
        <v>0</v>
      </c>
      <c r="E36" s="497">
        <v>0</v>
      </c>
      <c r="F36" s="497">
        <v>0</v>
      </c>
      <c r="G36" s="497">
        <v>0</v>
      </c>
      <c r="H36" s="497">
        <v>0</v>
      </c>
      <c r="I36" s="497">
        <v>0</v>
      </c>
      <c r="J36" s="497">
        <v>0</v>
      </c>
      <c r="K36" s="497">
        <v>0</v>
      </c>
      <c r="L36" s="497">
        <v>0</v>
      </c>
      <c r="M36" s="497">
        <v>0</v>
      </c>
      <c r="N36" s="497">
        <v>0</v>
      </c>
    </row>
    <row r="37" spans="1:15" ht="12" customHeight="1">
      <c r="A37" s="97" t="s">
        <v>48</v>
      </c>
      <c r="B37" s="745">
        <f>SUM(C37:N37)</f>
        <v>0</v>
      </c>
      <c r="C37" s="497">
        <v>0</v>
      </c>
      <c r="D37" s="497">
        <v>0</v>
      </c>
      <c r="E37" s="497">
        <v>0</v>
      </c>
      <c r="F37" s="497">
        <v>0</v>
      </c>
      <c r="G37" s="497">
        <v>0</v>
      </c>
      <c r="H37" s="497">
        <v>0</v>
      </c>
      <c r="I37" s="497">
        <v>0</v>
      </c>
      <c r="J37" s="497">
        <v>0</v>
      </c>
      <c r="K37" s="497">
        <v>0</v>
      </c>
      <c r="L37" s="497">
        <v>0</v>
      </c>
      <c r="M37" s="497">
        <v>0</v>
      </c>
      <c r="N37" s="497">
        <v>0</v>
      </c>
    </row>
    <row r="38" spans="1:15" ht="12" customHeight="1">
      <c r="A38" s="97" t="s">
        <v>49</v>
      </c>
      <c r="B38" s="745">
        <f>SUM(C38:N38)</f>
        <v>33510</v>
      </c>
      <c r="C38" s="497">
        <v>801</v>
      </c>
      <c r="D38" s="497">
        <v>4809</v>
      </c>
      <c r="E38" s="497">
        <v>0</v>
      </c>
      <c r="F38" s="497">
        <v>4971</v>
      </c>
      <c r="G38" s="497">
        <v>0</v>
      </c>
      <c r="H38" s="497">
        <v>5859</v>
      </c>
      <c r="I38" s="497">
        <v>5850</v>
      </c>
      <c r="J38" s="497">
        <v>0</v>
      </c>
      <c r="K38" s="497">
        <v>5610</v>
      </c>
      <c r="L38" s="497">
        <v>0</v>
      </c>
      <c r="M38" s="497">
        <v>5610</v>
      </c>
      <c r="N38" s="497">
        <v>0</v>
      </c>
    </row>
    <row r="39" spans="1:15" ht="4.25" customHeight="1" thickBot="1">
      <c r="A39" s="99"/>
      <c r="B39" s="747"/>
      <c r="C39" s="441"/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</row>
    <row r="40" spans="1:15" ht="9" customHeight="1">
      <c r="A40" s="778" t="s">
        <v>402</v>
      </c>
      <c r="B40" s="868"/>
      <c r="C40" s="868"/>
      <c r="D40" s="868"/>
      <c r="E40" s="425"/>
      <c r="F40" s="425"/>
      <c r="G40" s="425"/>
      <c r="H40" s="425"/>
      <c r="I40" s="425"/>
      <c r="J40" s="425"/>
      <c r="K40" s="425"/>
      <c r="L40" s="425"/>
      <c r="M40" s="425"/>
      <c r="N40" s="425"/>
      <c r="O40" s="425"/>
    </row>
    <row r="41" spans="1:15" ht="9" customHeight="1">
      <c r="A41" s="871" t="s">
        <v>378</v>
      </c>
      <c r="B41" s="868"/>
      <c r="C41" s="868"/>
      <c r="D41" s="868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</row>
    <row r="42" spans="1:15" ht="9" customHeight="1">
      <c r="A42" s="780" t="s">
        <v>358</v>
      </c>
      <c r="B42" s="868"/>
      <c r="C42" s="868"/>
      <c r="D42" s="868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</row>
    <row r="43" spans="1:15" ht="13.25" customHeight="1">
      <c r="A43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Hoja127">
    <tabColor theme="9" tint="0.59999389629810485"/>
  </sheetPr>
  <dimension ref="A2:O43"/>
  <sheetViews>
    <sheetView showGridLines="0" zoomScaleNormal="100" workbookViewId="0">
      <selection activeCell="A33" sqref="A33"/>
    </sheetView>
  </sheetViews>
  <sheetFormatPr baseColWidth="10" defaultColWidth="7" defaultRowHeight="13.25" customHeight="1"/>
  <cols>
    <col min="1" max="1" width="13.3984375" style="97" customWidth="1"/>
    <col min="2" max="2" width="10.3984375" style="97" customWidth="1"/>
    <col min="3" max="14" width="9" style="97" customWidth="1"/>
    <col min="15" max="16384" width="7" style="97"/>
  </cols>
  <sheetData>
    <row r="2" spans="1:14" ht="19.25" customHeight="1">
      <c r="A2" s="439" t="s">
        <v>594</v>
      </c>
      <c r="B2" s="439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</row>
    <row r="3" spans="1:14" ht="13.25" customHeight="1">
      <c r="A3" s="433" t="s">
        <v>304</v>
      </c>
      <c r="B3" s="440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1:14" ht="4.25" customHeight="1" thickBo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</row>
    <row r="5" spans="1:14" ht="15" customHeight="1">
      <c r="A5" s="749" t="s">
        <v>18</v>
      </c>
      <c r="B5" s="749" t="s">
        <v>106</v>
      </c>
      <c r="C5" s="749" t="s">
        <v>55</v>
      </c>
      <c r="D5" s="749" t="s">
        <v>56</v>
      </c>
      <c r="E5" s="749" t="s">
        <v>57</v>
      </c>
      <c r="F5" s="749" t="s">
        <v>58</v>
      </c>
      <c r="G5" s="749" t="s">
        <v>59</v>
      </c>
      <c r="H5" s="749" t="s">
        <v>60</v>
      </c>
      <c r="I5" s="749" t="s">
        <v>61</v>
      </c>
      <c r="J5" s="749" t="s">
        <v>62</v>
      </c>
      <c r="K5" s="749" t="s">
        <v>63</v>
      </c>
      <c r="L5" s="749" t="s">
        <v>64</v>
      </c>
      <c r="M5" s="749" t="s">
        <v>65</v>
      </c>
      <c r="N5" s="749" t="s">
        <v>66</v>
      </c>
    </row>
    <row r="6" spans="1:14" ht="15" customHeight="1">
      <c r="A6" s="751" t="s">
        <v>90</v>
      </c>
      <c r="B6" s="757">
        <f>SUM(C6:N6)</f>
        <v>793502705</v>
      </c>
      <c r="C6" s="752">
        <f t="shared" ref="C6:N6" si="0">+C8+C16+C25+C34</f>
        <v>66857871</v>
      </c>
      <c r="D6" s="752">
        <f t="shared" si="0"/>
        <v>61212819</v>
      </c>
      <c r="E6" s="752">
        <f t="shared" si="0"/>
        <v>66495803</v>
      </c>
      <c r="F6" s="752">
        <f t="shared" si="0"/>
        <v>65648731</v>
      </c>
      <c r="G6" s="752">
        <f t="shared" si="0"/>
        <v>66415819</v>
      </c>
      <c r="H6" s="752">
        <f t="shared" si="0"/>
        <v>64912224</v>
      </c>
      <c r="I6" s="752">
        <f t="shared" si="0"/>
        <v>66786808</v>
      </c>
      <c r="J6" s="752">
        <f t="shared" si="0"/>
        <v>67600527</v>
      </c>
      <c r="K6" s="752">
        <f t="shared" si="0"/>
        <v>66511860</v>
      </c>
      <c r="L6" s="752">
        <f t="shared" si="0"/>
        <v>67472485</v>
      </c>
      <c r="M6" s="752">
        <f t="shared" si="0"/>
        <v>67877738</v>
      </c>
      <c r="N6" s="752">
        <f t="shared" si="0"/>
        <v>65710020</v>
      </c>
    </row>
    <row r="7" spans="1:14" ht="1.25" hidden="1" customHeight="1">
      <c r="A7" s="741"/>
      <c r="B7" s="741"/>
      <c r="C7" s="753"/>
      <c r="D7" s="753"/>
      <c r="E7" s="753"/>
      <c r="F7" s="753"/>
      <c r="G7" s="753"/>
      <c r="H7" s="753"/>
      <c r="I7" s="753"/>
      <c r="J7" s="753"/>
      <c r="K7" s="753"/>
      <c r="L7" s="753"/>
      <c r="M7" s="753"/>
      <c r="N7" s="753"/>
    </row>
    <row r="8" spans="1:14" ht="13.25" customHeight="1">
      <c r="A8" s="754" t="s">
        <v>144</v>
      </c>
      <c r="B8" s="758">
        <f>SUM(B9:B14)</f>
        <v>178932643</v>
      </c>
      <c r="C8" s="756">
        <f>SUM(C9:C14)</f>
        <v>16466232</v>
      </c>
      <c r="D8" s="756">
        <f t="shared" ref="D8:N8" si="1">SUM(D9:D14)</f>
        <v>13886218</v>
      </c>
      <c r="E8" s="756">
        <f t="shared" si="1"/>
        <v>16351871</v>
      </c>
      <c r="F8" s="756">
        <f t="shared" si="1"/>
        <v>5625139</v>
      </c>
      <c r="G8" s="756">
        <f t="shared" si="1"/>
        <v>16042391</v>
      </c>
      <c r="H8" s="756">
        <f t="shared" si="1"/>
        <v>15334140</v>
      </c>
      <c r="I8" s="756">
        <f t="shared" si="1"/>
        <v>16451938</v>
      </c>
      <c r="J8" s="756">
        <f t="shared" si="1"/>
        <v>15632010</v>
      </c>
      <c r="K8" s="756">
        <f t="shared" si="1"/>
        <v>15453109</v>
      </c>
      <c r="L8" s="756">
        <f t="shared" si="1"/>
        <v>15735495</v>
      </c>
      <c r="M8" s="756">
        <f t="shared" si="1"/>
        <v>16257358</v>
      </c>
      <c r="N8" s="756">
        <f t="shared" si="1"/>
        <v>15696742</v>
      </c>
    </row>
    <row r="9" spans="1:14" ht="12" customHeight="1">
      <c r="A9" s="95" t="s">
        <v>145</v>
      </c>
      <c r="B9" s="760">
        <f t="shared" ref="B9:B14" si="2">SUM(C9:N9)</f>
        <v>4229</v>
      </c>
      <c r="C9" s="461">
        <v>558</v>
      </c>
      <c r="D9" s="461">
        <v>0</v>
      </c>
      <c r="E9" s="461">
        <v>471</v>
      </c>
      <c r="F9" s="461">
        <v>0</v>
      </c>
      <c r="G9" s="461">
        <v>0</v>
      </c>
      <c r="H9" s="461">
        <v>500</v>
      </c>
      <c r="I9" s="461">
        <v>0</v>
      </c>
      <c r="J9" s="461">
        <v>300</v>
      </c>
      <c r="K9" s="461">
        <v>286</v>
      </c>
      <c r="L9" s="461">
        <v>1714</v>
      </c>
      <c r="M9" s="461">
        <v>100</v>
      </c>
      <c r="N9" s="461">
        <v>300</v>
      </c>
    </row>
    <row r="10" spans="1:14" ht="12" customHeight="1">
      <c r="A10" s="95" t="s">
        <v>146</v>
      </c>
      <c r="B10" s="760">
        <f t="shared" si="2"/>
        <v>17226474</v>
      </c>
      <c r="C10" s="461">
        <v>1937311</v>
      </c>
      <c r="D10" s="461">
        <v>385868</v>
      </c>
      <c r="E10" s="461">
        <v>2382299</v>
      </c>
      <c r="F10" s="461">
        <v>317487</v>
      </c>
      <c r="G10" s="461">
        <v>2601579</v>
      </c>
      <c r="H10" s="461">
        <v>385864</v>
      </c>
      <c r="I10" s="461">
        <v>2600003</v>
      </c>
      <c r="J10" s="461">
        <v>205457</v>
      </c>
      <c r="K10" s="461">
        <v>2113370</v>
      </c>
      <c r="L10" s="461">
        <v>693255</v>
      </c>
      <c r="M10" s="461">
        <v>2048695</v>
      </c>
      <c r="N10" s="461">
        <v>1555286</v>
      </c>
    </row>
    <row r="11" spans="1:14" ht="12" customHeight="1">
      <c r="A11" s="95" t="s">
        <v>147</v>
      </c>
      <c r="B11" s="760">
        <f t="shared" si="2"/>
        <v>12864900</v>
      </c>
      <c r="C11" s="461">
        <v>833652</v>
      </c>
      <c r="D11" s="461">
        <v>1548740</v>
      </c>
      <c r="E11" s="461">
        <v>169563</v>
      </c>
      <c r="F11" s="461">
        <v>2178855</v>
      </c>
      <c r="G11" s="461">
        <v>177347</v>
      </c>
      <c r="H11" s="461">
        <v>2238639</v>
      </c>
      <c r="I11" s="461">
        <v>105729</v>
      </c>
      <c r="J11" s="461">
        <v>2355857</v>
      </c>
      <c r="K11" s="461">
        <v>95172</v>
      </c>
      <c r="L11" s="461">
        <v>1665967</v>
      </c>
      <c r="M11" s="461">
        <v>1050782</v>
      </c>
      <c r="N11" s="461">
        <v>444597</v>
      </c>
    </row>
    <row r="12" spans="1:14" ht="12" customHeight="1">
      <c r="A12" s="95" t="s">
        <v>148</v>
      </c>
      <c r="B12" s="760">
        <f t="shared" si="2"/>
        <v>148542282</v>
      </c>
      <c r="C12" s="461">
        <v>13662402</v>
      </c>
      <c r="D12" s="461">
        <v>11921711</v>
      </c>
      <c r="E12" s="461">
        <v>13771251</v>
      </c>
      <c r="F12" s="461">
        <v>3110768</v>
      </c>
      <c r="G12" s="461">
        <v>13244641</v>
      </c>
      <c r="H12" s="461">
        <v>12679920</v>
      </c>
      <c r="I12" s="461">
        <v>13739678</v>
      </c>
      <c r="J12" s="461">
        <v>13038840</v>
      </c>
      <c r="K12" s="461">
        <v>13211603</v>
      </c>
      <c r="L12" s="461">
        <v>13356374</v>
      </c>
      <c r="M12" s="461">
        <v>13125492</v>
      </c>
      <c r="N12" s="461">
        <v>13679602</v>
      </c>
    </row>
    <row r="13" spans="1:14" ht="12" customHeight="1">
      <c r="A13" s="95" t="s">
        <v>91</v>
      </c>
      <c r="B13" s="760">
        <f t="shared" si="2"/>
        <v>294758</v>
      </c>
      <c r="C13" s="461">
        <v>32309</v>
      </c>
      <c r="D13" s="461">
        <v>29899</v>
      </c>
      <c r="E13" s="461">
        <v>28287</v>
      </c>
      <c r="F13" s="461">
        <v>18029</v>
      </c>
      <c r="G13" s="461">
        <v>18824</v>
      </c>
      <c r="H13" s="461">
        <v>29217</v>
      </c>
      <c r="I13" s="461">
        <v>6528</v>
      </c>
      <c r="J13" s="461">
        <v>31556</v>
      </c>
      <c r="K13" s="461">
        <v>32678</v>
      </c>
      <c r="L13" s="461">
        <v>18185</v>
      </c>
      <c r="M13" s="461">
        <v>32289</v>
      </c>
      <c r="N13" s="461">
        <v>16957</v>
      </c>
    </row>
    <row r="14" spans="1:14" ht="12" customHeight="1">
      <c r="A14" s="95" t="s">
        <v>149</v>
      </c>
      <c r="B14" s="760">
        <f t="shared" si="2"/>
        <v>0</v>
      </c>
      <c r="C14" s="461">
        <v>0</v>
      </c>
      <c r="D14" s="461">
        <v>0</v>
      </c>
      <c r="E14" s="461">
        <v>0</v>
      </c>
      <c r="F14" s="461">
        <v>0</v>
      </c>
      <c r="G14" s="461">
        <v>0</v>
      </c>
      <c r="H14" s="461">
        <v>0</v>
      </c>
      <c r="I14" s="461">
        <v>0</v>
      </c>
      <c r="J14" s="461">
        <v>0</v>
      </c>
      <c r="K14" s="461">
        <v>0</v>
      </c>
      <c r="L14" s="461">
        <v>0</v>
      </c>
      <c r="M14" s="461">
        <v>0</v>
      </c>
      <c r="N14" s="461">
        <v>0</v>
      </c>
    </row>
    <row r="15" spans="1:14" ht="5" customHeight="1">
      <c r="A15" s="95"/>
      <c r="B15" s="760"/>
      <c r="C15" s="461"/>
      <c r="D15" s="461"/>
      <c r="E15" s="461"/>
      <c r="F15" s="461"/>
      <c r="G15" s="461"/>
      <c r="H15" s="461"/>
      <c r="I15" s="461"/>
      <c r="J15" s="461"/>
      <c r="K15" s="461"/>
      <c r="L15" s="461"/>
      <c r="M15" s="461"/>
      <c r="N15" s="461"/>
    </row>
    <row r="16" spans="1:14" ht="12" customHeight="1">
      <c r="A16" s="761" t="s">
        <v>150</v>
      </c>
      <c r="B16" s="760">
        <f>SUM(B17:B23)</f>
        <v>492610877</v>
      </c>
      <c r="C16" s="762">
        <f t="shared" ref="C16:N16" si="3">SUM(C17:C23)</f>
        <v>40131268</v>
      </c>
      <c r="D16" s="762">
        <f t="shared" si="3"/>
        <v>38019295</v>
      </c>
      <c r="E16" s="762">
        <f t="shared" si="3"/>
        <v>40111363</v>
      </c>
      <c r="F16" s="762">
        <f t="shared" si="3"/>
        <v>49529114</v>
      </c>
      <c r="G16" s="762">
        <f t="shared" si="3"/>
        <v>39840551</v>
      </c>
      <c r="H16" s="762">
        <f t="shared" si="3"/>
        <v>39560036</v>
      </c>
      <c r="I16" s="762">
        <f t="shared" si="3"/>
        <v>40192886</v>
      </c>
      <c r="J16" s="762">
        <f t="shared" si="3"/>
        <v>41216642</v>
      </c>
      <c r="K16" s="762">
        <f t="shared" si="3"/>
        <v>40831898</v>
      </c>
      <c r="L16" s="762">
        <f t="shared" si="3"/>
        <v>41216286</v>
      </c>
      <c r="M16" s="762">
        <f t="shared" si="3"/>
        <v>41164245</v>
      </c>
      <c r="N16" s="762">
        <f t="shared" si="3"/>
        <v>40797293</v>
      </c>
    </row>
    <row r="17" spans="1:14" ht="12" customHeight="1">
      <c r="A17" s="95" t="s">
        <v>161</v>
      </c>
      <c r="B17" s="760">
        <f t="shared" ref="B17:B23" si="4">SUM(C17:N17)</f>
        <v>22971965</v>
      </c>
      <c r="C17" s="461">
        <v>661714</v>
      </c>
      <c r="D17" s="461">
        <v>1821725</v>
      </c>
      <c r="E17" s="461">
        <v>514904</v>
      </c>
      <c r="F17" s="461">
        <v>10924197</v>
      </c>
      <c r="G17" s="461">
        <v>404653</v>
      </c>
      <c r="H17" s="461">
        <v>1414029</v>
      </c>
      <c r="I17" s="461">
        <v>1236400</v>
      </c>
      <c r="J17" s="461">
        <v>1491397</v>
      </c>
      <c r="K17" s="461">
        <v>1513404</v>
      </c>
      <c r="L17" s="461">
        <v>1441528</v>
      </c>
      <c r="M17" s="461">
        <v>627221</v>
      </c>
      <c r="N17" s="461">
        <v>920793</v>
      </c>
    </row>
    <row r="18" spans="1:14" ht="12" customHeight="1">
      <c r="A18" s="95" t="s">
        <v>162</v>
      </c>
      <c r="B18" s="760">
        <f t="shared" si="4"/>
        <v>452506663</v>
      </c>
      <c r="C18" s="461">
        <v>38008054</v>
      </c>
      <c r="D18" s="461">
        <v>34733770</v>
      </c>
      <c r="E18" s="461">
        <v>38072659</v>
      </c>
      <c r="F18" s="461">
        <v>37081017</v>
      </c>
      <c r="G18" s="461">
        <v>37883299</v>
      </c>
      <c r="H18" s="461">
        <v>36675206</v>
      </c>
      <c r="I18" s="461">
        <v>37466286</v>
      </c>
      <c r="J18" s="461">
        <v>38186745</v>
      </c>
      <c r="K18" s="461">
        <v>37777987</v>
      </c>
      <c r="L18" s="461">
        <v>39525773</v>
      </c>
      <c r="M18" s="461">
        <v>39049224</v>
      </c>
      <c r="N18" s="461">
        <v>38046643</v>
      </c>
    </row>
    <row r="19" spans="1:14" ht="12" customHeight="1">
      <c r="A19" s="95" t="s">
        <v>163</v>
      </c>
      <c r="B19" s="760">
        <f t="shared" si="4"/>
        <v>16769449</v>
      </c>
      <c r="C19" s="461">
        <v>1450000</v>
      </c>
      <c r="D19" s="461">
        <v>1450000</v>
      </c>
      <c r="E19" s="461">
        <v>1500000</v>
      </c>
      <c r="F19" s="461">
        <v>1500000</v>
      </c>
      <c r="G19" s="461">
        <v>1499999</v>
      </c>
      <c r="H19" s="461">
        <v>1450001</v>
      </c>
      <c r="I19" s="461">
        <v>1450000</v>
      </c>
      <c r="J19" s="461">
        <v>1500000</v>
      </c>
      <c r="K19" s="461">
        <v>1497707</v>
      </c>
      <c r="L19" s="461">
        <v>203285</v>
      </c>
      <c r="M19" s="461">
        <v>1450000</v>
      </c>
      <c r="N19" s="461">
        <v>1818457</v>
      </c>
    </row>
    <row r="20" spans="1:14" ht="12" customHeight="1">
      <c r="A20" s="95" t="s">
        <v>164</v>
      </c>
      <c r="B20" s="760">
        <f t="shared" si="4"/>
        <v>89800</v>
      </c>
      <c r="C20" s="461">
        <v>500</v>
      </c>
      <c r="D20" s="461">
        <v>3000</v>
      </c>
      <c r="E20" s="461">
        <v>4800</v>
      </c>
      <c r="F20" s="461">
        <v>4500</v>
      </c>
      <c r="G20" s="461">
        <v>7800</v>
      </c>
      <c r="H20" s="461">
        <v>6800</v>
      </c>
      <c r="I20" s="461">
        <v>10300</v>
      </c>
      <c r="J20" s="461">
        <v>16400</v>
      </c>
      <c r="K20" s="461">
        <v>6900</v>
      </c>
      <c r="L20" s="461">
        <v>13500</v>
      </c>
      <c r="M20" s="461">
        <v>8000</v>
      </c>
      <c r="N20" s="461">
        <v>7300</v>
      </c>
    </row>
    <row r="21" spans="1:14" ht="12" customHeight="1">
      <c r="A21" s="95" t="s">
        <v>165</v>
      </c>
      <c r="B21" s="760">
        <f t="shared" si="4"/>
        <v>0</v>
      </c>
      <c r="C21" s="461">
        <v>0</v>
      </c>
      <c r="D21" s="461">
        <v>0</v>
      </c>
      <c r="E21" s="461">
        <v>0</v>
      </c>
      <c r="F21" s="461">
        <v>0</v>
      </c>
      <c r="G21" s="461">
        <v>0</v>
      </c>
      <c r="H21" s="461">
        <v>0</v>
      </c>
      <c r="I21" s="461">
        <v>0</v>
      </c>
      <c r="J21" s="461">
        <v>0</v>
      </c>
      <c r="K21" s="461">
        <v>0</v>
      </c>
      <c r="L21" s="461">
        <v>0</v>
      </c>
      <c r="M21" s="461">
        <v>0</v>
      </c>
      <c r="N21" s="461">
        <v>0</v>
      </c>
    </row>
    <row r="22" spans="1:14" ht="12" customHeight="1">
      <c r="A22" s="95" t="s">
        <v>166</v>
      </c>
      <c r="B22" s="760">
        <f t="shared" si="4"/>
        <v>210100</v>
      </c>
      <c r="C22" s="461">
        <v>10700</v>
      </c>
      <c r="D22" s="461">
        <v>10500</v>
      </c>
      <c r="E22" s="461">
        <v>8700</v>
      </c>
      <c r="F22" s="461">
        <v>19400</v>
      </c>
      <c r="G22" s="461">
        <v>34600</v>
      </c>
      <c r="H22" s="461">
        <v>10700</v>
      </c>
      <c r="I22" s="461">
        <v>19800</v>
      </c>
      <c r="J22" s="461">
        <v>18800</v>
      </c>
      <c r="K22" s="461">
        <v>25600</v>
      </c>
      <c r="L22" s="461">
        <v>28900</v>
      </c>
      <c r="M22" s="461">
        <v>18500</v>
      </c>
      <c r="N22" s="461">
        <v>3900</v>
      </c>
    </row>
    <row r="23" spans="1:14" ht="12" customHeight="1">
      <c r="A23" s="95" t="s">
        <v>167</v>
      </c>
      <c r="B23" s="760">
        <f t="shared" si="4"/>
        <v>62900</v>
      </c>
      <c r="C23" s="461">
        <v>300</v>
      </c>
      <c r="D23" s="461">
        <v>300</v>
      </c>
      <c r="E23" s="461">
        <v>10300</v>
      </c>
      <c r="F23" s="461">
        <v>0</v>
      </c>
      <c r="G23" s="461">
        <v>10200</v>
      </c>
      <c r="H23" s="461">
        <v>3300</v>
      </c>
      <c r="I23" s="461">
        <v>10100</v>
      </c>
      <c r="J23" s="461">
        <v>3300</v>
      </c>
      <c r="K23" s="461">
        <v>10300</v>
      </c>
      <c r="L23" s="461">
        <v>3300</v>
      </c>
      <c r="M23" s="461">
        <v>11300</v>
      </c>
      <c r="N23" s="461">
        <v>200</v>
      </c>
    </row>
    <row r="24" spans="1:14" ht="5" customHeight="1">
      <c r="A24" s="95"/>
      <c r="B24" s="760"/>
      <c r="C24" s="461"/>
      <c r="D24" s="461"/>
      <c r="E24" s="461"/>
      <c r="F24" s="461"/>
      <c r="G24" s="461"/>
      <c r="H24" s="461"/>
      <c r="I24" s="461"/>
      <c r="J24" s="461"/>
      <c r="K24" s="461"/>
      <c r="L24" s="461"/>
      <c r="M24" s="461"/>
      <c r="N24" s="461"/>
    </row>
    <row r="25" spans="1:14" ht="12" customHeight="1">
      <c r="A25" s="761" t="s">
        <v>151</v>
      </c>
      <c r="B25" s="760">
        <f>SUM(B26:B32)</f>
        <v>84208341</v>
      </c>
      <c r="C25" s="762">
        <f t="shared" ref="C25:N25" si="5">SUM(C26:C32)</f>
        <v>7094042</v>
      </c>
      <c r="D25" s="762">
        <f t="shared" si="5"/>
        <v>6542619</v>
      </c>
      <c r="E25" s="762">
        <f t="shared" si="5"/>
        <v>6923357</v>
      </c>
      <c r="F25" s="762">
        <f t="shared" si="5"/>
        <v>7374218</v>
      </c>
      <c r="G25" s="762">
        <f t="shared" si="5"/>
        <v>7331317</v>
      </c>
      <c r="H25" s="762">
        <f t="shared" si="5"/>
        <v>7219325</v>
      </c>
      <c r="I25" s="762">
        <f t="shared" si="5"/>
        <v>7088081</v>
      </c>
      <c r="J25" s="762">
        <f t="shared" si="5"/>
        <v>7266371</v>
      </c>
      <c r="K25" s="762">
        <f t="shared" si="5"/>
        <v>6764662</v>
      </c>
      <c r="L25" s="762">
        <f t="shared" si="5"/>
        <v>7508539</v>
      </c>
      <c r="M25" s="762">
        <f t="shared" si="5"/>
        <v>7162040</v>
      </c>
      <c r="N25" s="762">
        <f t="shared" si="5"/>
        <v>5933770</v>
      </c>
    </row>
    <row r="26" spans="1:14" ht="12" customHeight="1">
      <c r="A26" s="95" t="s">
        <v>168</v>
      </c>
      <c r="B26" s="760">
        <f t="shared" ref="B26:B32" si="6">SUM(C26:N26)</f>
        <v>78837923</v>
      </c>
      <c r="C26" s="461">
        <v>6692729</v>
      </c>
      <c r="D26" s="461">
        <v>6081205</v>
      </c>
      <c r="E26" s="461">
        <v>6489816</v>
      </c>
      <c r="F26" s="461">
        <v>6890453</v>
      </c>
      <c r="G26" s="461">
        <v>6835897</v>
      </c>
      <c r="H26" s="461">
        <v>6760221</v>
      </c>
      <c r="I26" s="461">
        <v>6719953</v>
      </c>
      <c r="J26" s="461">
        <v>6821927</v>
      </c>
      <c r="K26" s="461">
        <v>6286907</v>
      </c>
      <c r="L26" s="461">
        <v>6939920</v>
      </c>
      <c r="M26" s="461">
        <v>6701917</v>
      </c>
      <c r="N26" s="461">
        <v>5616978</v>
      </c>
    </row>
    <row r="27" spans="1:14" ht="12" customHeight="1">
      <c r="A27" s="95" t="s">
        <v>152</v>
      </c>
      <c r="B27" s="760">
        <f t="shared" si="6"/>
        <v>0</v>
      </c>
      <c r="C27" s="461">
        <v>0</v>
      </c>
      <c r="D27" s="461">
        <v>0</v>
      </c>
      <c r="E27" s="461">
        <v>0</v>
      </c>
      <c r="F27" s="461">
        <v>0</v>
      </c>
      <c r="G27" s="461">
        <v>0</v>
      </c>
      <c r="H27" s="461">
        <v>0</v>
      </c>
      <c r="I27" s="461">
        <v>0</v>
      </c>
      <c r="J27" s="461">
        <v>0</v>
      </c>
      <c r="K27" s="461">
        <v>0</v>
      </c>
      <c r="L27" s="461">
        <v>0</v>
      </c>
      <c r="M27" s="461">
        <v>0</v>
      </c>
      <c r="N27" s="461">
        <v>0</v>
      </c>
    </row>
    <row r="28" spans="1:14" ht="12" customHeight="1">
      <c r="A28" s="95" t="s">
        <v>169</v>
      </c>
      <c r="B28" s="760">
        <f t="shared" si="6"/>
        <v>4114977</v>
      </c>
      <c r="C28" s="461">
        <v>361126</v>
      </c>
      <c r="D28" s="461">
        <v>367886</v>
      </c>
      <c r="E28" s="461">
        <v>360127</v>
      </c>
      <c r="F28" s="461">
        <v>361236</v>
      </c>
      <c r="G28" s="461">
        <v>348023</v>
      </c>
      <c r="H28" s="461">
        <v>336604</v>
      </c>
      <c r="I28" s="461">
        <v>282742</v>
      </c>
      <c r="J28" s="461">
        <v>333544</v>
      </c>
      <c r="K28" s="461">
        <v>343169</v>
      </c>
      <c r="L28" s="461">
        <v>409005</v>
      </c>
      <c r="M28" s="461">
        <v>347523</v>
      </c>
      <c r="N28" s="461">
        <v>263992</v>
      </c>
    </row>
    <row r="29" spans="1:14" ht="12" customHeight="1">
      <c r="A29" s="95" t="s">
        <v>153</v>
      </c>
      <c r="B29" s="760">
        <f t="shared" si="6"/>
        <v>33700</v>
      </c>
      <c r="C29" s="461">
        <v>0</v>
      </c>
      <c r="D29" s="461">
        <v>0</v>
      </c>
      <c r="E29" s="461">
        <v>6000</v>
      </c>
      <c r="F29" s="461">
        <v>6200</v>
      </c>
      <c r="G29" s="461">
        <v>11800</v>
      </c>
      <c r="H29" s="461">
        <v>4100</v>
      </c>
      <c r="I29" s="461">
        <v>1600</v>
      </c>
      <c r="J29" s="461">
        <v>2300</v>
      </c>
      <c r="K29" s="461">
        <v>500</v>
      </c>
      <c r="L29" s="461">
        <v>1200</v>
      </c>
      <c r="M29" s="461">
        <v>0</v>
      </c>
      <c r="N29" s="461">
        <v>0</v>
      </c>
    </row>
    <row r="30" spans="1:14" ht="12" customHeight="1">
      <c r="A30" s="95" t="s">
        <v>154</v>
      </c>
      <c r="B30" s="760">
        <f t="shared" si="6"/>
        <v>35000</v>
      </c>
      <c r="C30" s="461">
        <v>2500</v>
      </c>
      <c r="D30" s="461">
        <v>1000</v>
      </c>
      <c r="E30" s="461">
        <v>1700</v>
      </c>
      <c r="F30" s="461">
        <v>0</v>
      </c>
      <c r="G30" s="461">
        <v>600</v>
      </c>
      <c r="H30" s="461">
        <v>7000</v>
      </c>
      <c r="I30" s="461">
        <v>2700</v>
      </c>
      <c r="J30" s="461">
        <v>5000</v>
      </c>
      <c r="K30" s="461">
        <v>7300</v>
      </c>
      <c r="L30" s="461">
        <v>3200</v>
      </c>
      <c r="M30" s="461">
        <v>4000</v>
      </c>
      <c r="N30" s="461">
        <v>0</v>
      </c>
    </row>
    <row r="31" spans="1:14" ht="12" customHeight="1">
      <c r="A31" s="95" t="s">
        <v>155</v>
      </c>
      <c r="B31" s="760">
        <f t="shared" si="6"/>
        <v>1176041</v>
      </c>
      <c r="C31" s="461">
        <v>35987</v>
      </c>
      <c r="D31" s="461">
        <v>91428</v>
      </c>
      <c r="E31" s="461">
        <v>64514</v>
      </c>
      <c r="F31" s="461">
        <v>115729</v>
      </c>
      <c r="G31" s="461">
        <v>134997</v>
      </c>
      <c r="H31" s="461">
        <v>110200</v>
      </c>
      <c r="I31" s="461">
        <v>80486</v>
      </c>
      <c r="J31" s="461">
        <v>103000</v>
      </c>
      <c r="K31" s="461">
        <v>126186</v>
      </c>
      <c r="L31" s="461">
        <v>153914</v>
      </c>
      <c r="M31" s="461">
        <v>107400</v>
      </c>
      <c r="N31" s="461">
        <v>52200</v>
      </c>
    </row>
    <row r="32" spans="1:14" ht="12" customHeight="1">
      <c r="A32" s="95" t="s">
        <v>156</v>
      </c>
      <c r="B32" s="760">
        <f t="shared" si="6"/>
        <v>10700</v>
      </c>
      <c r="C32" s="461">
        <v>1700</v>
      </c>
      <c r="D32" s="461">
        <v>1100</v>
      </c>
      <c r="E32" s="461">
        <v>1200</v>
      </c>
      <c r="F32" s="461">
        <v>600</v>
      </c>
      <c r="G32" s="461">
        <v>0</v>
      </c>
      <c r="H32" s="461">
        <v>1200</v>
      </c>
      <c r="I32" s="461">
        <v>600</v>
      </c>
      <c r="J32" s="461">
        <v>600</v>
      </c>
      <c r="K32" s="461">
        <v>600</v>
      </c>
      <c r="L32" s="461">
        <v>1300</v>
      </c>
      <c r="M32" s="461">
        <v>1200</v>
      </c>
      <c r="N32" s="461">
        <v>600</v>
      </c>
    </row>
    <row r="33" spans="1:15" ht="5" customHeight="1">
      <c r="B33" s="760"/>
      <c r="C33" s="461"/>
      <c r="D33" s="461"/>
      <c r="E33" s="461"/>
      <c r="F33" s="461"/>
      <c r="G33" s="461"/>
      <c r="H33" s="461"/>
      <c r="I33" s="461"/>
      <c r="J33" s="461"/>
      <c r="K33" s="461"/>
      <c r="L33" s="461"/>
      <c r="M33" s="461"/>
      <c r="N33" s="461"/>
    </row>
    <row r="34" spans="1:15" ht="12" customHeight="1">
      <c r="A34" s="761" t="s">
        <v>157</v>
      </c>
      <c r="B34" s="760">
        <f>SUM(B35:B38)</f>
        <v>37750844</v>
      </c>
      <c r="C34" s="762">
        <f t="shared" ref="C34:N34" si="7">SUM(C35:C38)</f>
        <v>3166329</v>
      </c>
      <c r="D34" s="762">
        <f t="shared" si="7"/>
        <v>2764687</v>
      </c>
      <c r="E34" s="762">
        <f t="shared" si="7"/>
        <v>3109212</v>
      </c>
      <c r="F34" s="762">
        <f t="shared" si="7"/>
        <v>3120260</v>
      </c>
      <c r="G34" s="762">
        <f t="shared" si="7"/>
        <v>3201560</v>
      </c>
      <c r="H34" s="762">
        <f t="shared" si="7"/>
        <v>2798723</v>
      </c>
      <c r="I34" s="762">
        <f t="shared" si="7"/>
        <v>3053903</v>
      </c>
      <c r="J34" s="762">
        <f t="shared" si="7"/>
        <v>3485504</v>
      </c>
      <c r="K34" s="762">
        <f t="shared" si="7"/>
        <v>3462191</v>
      </c>
      <c r="L34" s="762">
        <f t="shared" si="7"/>
        <v>3012165</v>
      </c>
      <c r="M34" s="762">
        <f t="shared" si="7"/>
        <v>3294095</v>
      </c>
      <c r="N34" s="762">
        <f t="shared" si="7"/>
        <v>3282215</v>
      </c>
    </row>
    <row r="35" spans="1:15" ht="12" customHeight="1">
      <c r="A35" s="95" t="s">
        <v>170</v>
      </c>
      <c r="B35" s="760">
        <f>SUM(C35:N35)</f>
        <v>16265923</v>
      </c>
      <c r="C35" s="461">
        <v>1413418</v>
      </c>
      <c r="D35" s="461">
        <v>1202742</v>
      </c>
      <c r="E35" s="461">
        <v>1378027</v>
      </c>
      <c r="F35" s="461">
        <v>1339493</v>
      </c>
      <c r="G35" s="461">
        <v>1352904</v>
      </c>
      <c r="H35" s="461">
        <v>1082199</v>
      </c>
      <c r="I35" s="461">
        <v>1160846</v>
      </c>
      <c r="J35" s="461">
        <v>1463053</v>
      </c>
      <c r="K35" s="461">
        <v>1608903</v>
      </c>
      <c r="L35" s="461">
        <v>1291625</v>
      </c>
      <c r="M35" s="461">
        <v>1371329</v>
      </c>
      <c r="N35" s="461">
        <v>1601384</v>
      </c>
    </row>
    <row r="36" spans="1:15" ht="12" customHeight="1">
      <c r="A36" s="95" t="s">
        <v>158</v>
      </c>
      <c r="B36" s="760">
        <f>SUM(C36:N36)</f>
        <v>11323278</v>
      </c>
      <c r="C36" s="461">
        <v>955822</v>
      </c>
      <c r="D36" s="461">
        <v>914483</v>
      </c>
      <c r="E36" s="461">
        <v>978688</v>
      </c>
      <c r="F36" s="461">
        <v>969161</v>
      </c>
      <c r="G36" s="461">
        <v>959970</v>
      </c>
      <c r="H36" s="461">
        <v>935400</v>
      </c>
      <c r="I36" s="461">
        <v>972298</v>
      </c>
      <c r="J36" s="461">
        <v>997067</v>
      </c>
      <c r="K36" s="461">
        <v>958997</v>
      </c>
      <c r="L36" s="461">
        <v>955177</v>
      </c>
      <c r="M36" s="461">
        <v>910207</v>
      </c>
      <c r="N36" s="461">
        <v>816008</v>
      </c>
    </row>
    <row r="37" spans="1:15" ht="12" customHeight="1">
      <c r="A37" s="95" t="s">
        <v>159</v>
      </c>
      <c r="B37" s="760">
        <f>SUM(C37:N37)</f>
        <v>6076169</v>
      </c>
      <c r="C37" s="461">
        <v>464085</v>
      </c>
      <c r="D37" s="461">
        <v>372553</v>
      </c>
      <c r="E37" s="461">
        <v>411472</v>
      </c>
      <c r="F37" s="461">
        <v>480788</v>
      </c>
      <c r="G37" s="461">
        <v>558168</v>
      </c>
      <c r="H37" s="461">
        <v>442931</v>
      </c>
      <c r="I37" s="461">
        <v>568216</v>
      </c>
      <c r="J37" s="461">
        <v>629395</v>
      </c>
      <c r="K37" s="461">
        <v>543123</v>
      </c>
      <c r="L37" s="461">
        <v>428988</v>
      </c>
      <c r="M37" s="461">
        <v>660305</v>
      </c>
      <c r="N37" s="461">
        <v>516145</v>
      </c>
    </row>
    <row r="38" spans="1:15" ht="12" customHeight="1">
      <c r="A38" s="97" t="s">
        <v>171</v>
      </c>
      <c r="B38" s="760">
        <f>SUM(C38:N38)</f>
        <v>4085474</v>
      </c>
      <c r="C38" s="461">
        <v>333004</v>
      </c>
      <c r="D38" s="461">
        <v>274909</v>
      </c>
      <c r="E38" s="461">
        <v>341025</v>
      </c>
      <c r="F38" s="461">
        <v>330818</v>
      </c>
      <c r="G38" s="461">
        <v>330518</v>
      </c>
      <c r="H38" s="461">
        <v>338193</v>
      </c>
      <c r="I38" s="461">
        <v>352543</v>
      </c>
      <c r="J38" s="461">
        <v>395989</v>
      </c>
      <c r="K38" s="461">
        <v>351168</v>
      </c>
      <c r="L38" s="461">
        <v>336375</v>
      </c>
      <c r="M38" s="461">
        <v>352254</v>
      </c>
      <c r="N38" s="461">
        <v>348678</v>
      </c>
    </row>
    <row r="39" spans="1:15" ht="4.25" customHeight="1" thickBot="1">
      <c r="A39" s="99"/>
      <c r="B39" s="474"/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42"/>
      <c r="N39" s="442"/>
    </row>
    <row r="40" spans="1:15" ht="9" customHeight="1">
      <c r="A40" s="778" t="s">
        <v>402</v>
      </c>
      <c r="B40" s="868"/>
      <c r="C40" s="868"/>
      <c r="D40" s="868"/>
      <c r="E40" s="425"/>
      <c r="F40" s="425"/>
      <c r="G40" s="425"/>
      <c r="H40" s="425"/>
      <c r="I40" s="425"/>
      <c r="J40" s="425"/>
      <c r="K40" s="425"/>
      <c r="L40" s="425"/>
      <c r="M40" s="425"/>
      <c r="N40" s="425"/>
      <c r="O40" s="425"/>
    </row>
    <row r="41" spans="1:15" ht="9" customHeight="1">
      <c r="A41" s="871" t="s">
        <v>378</v>
      </c>
      <c r="B41" s="868"/>
      <c r="C41" s="868"/>
      <c r="D41" s="868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</row>
    <row r="42" spans="1:15" ht="9" customHeight="1">
      <c r="A42" s="780" t="s">
        <v>358</v>
      </c>
      <c r="B42" s="868"/>
      <c r="C42" s="868"/>
      <c r="D42" s="868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</row>
    <row r="43" spans="1:15" ht="13.25" customHeight="1">
      <c r="A43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Hoja128">
    <tabColor theme="9" tint="0.59999389629810485"/>
  </sheetPr>
  <dimension ref="A2:P43"/>
  <sheetViews>
    <sheetView showGridLines="0" topLeftCell="A10" zoomScaleNormal="100" workbookViewId="0">
      <selection activeCell="F48" sqref="F48"/>
    </sheetView>
  </sheetViews>
  <sheetFormatPr baseColWidth="10" defaultColWidth="7" defaultRowHeight="13.25" customHeight="1"/>
  <cols>
    <col min="1" max="1" width="13.3984375" style="97" customWidth="1"/>
    <col min="2" max="2" width="10.3984375" style="97" customWidth="1"/>
    <col min="3" max="14" width="9" style="97" customWidth="1"/>
    <col min="15" max="16384" width="7" style="97"/>
  </cols>
  <sheetData>
    <row r="2" spans="1:16" ht="19.25" customHeight="1">
      <c r="A2" s="439" t="s">
        <v>595</v>
      </c>
      <c r="B2" s="439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P2" s="40" t="s">
        <v>160</v>
      </c>
    </row>
    <row r="3" spans="1:16" ht="13.25" customHeight="1">
      <c r="A3" s="433" t="s">
        <v>304</v>
      </c>
      <c r="B3" s="440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1:16" ht="4.25" customHeight="1" thickBo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</row>
    <row r="5" spans="1:16" ht="15" customHeight="1">
      <c r="A5" s="749" t="s">
        <v>18</v>
      </c>
      <c r="B5" s="749" t="s">
        <v>106</v>
      </c>
      <c r="C5" s="749" t="s">
        <v>55</v>
      </c>
      <c r="D5" s="749" t="s">
        <v>56</v>
      </c>
      <c r="E5" s="749" t="s">
        <v>57</v>
      </c>
      <c r="F5" s="749" t="s">
        <v>58</v>
      </c>
      <c r="G5" s="749" t="s">
        <v>59</v>
      </c>
      <c r="H5" s="749" t="s">
        <v>60</v>
      </c>
      <c r="I5" s="749" t="s">
        <v>61</v>
      </c>
      <c r="J5" s="749" t="s">
        <v>62</v>
      </c>
      <c r="K5" s="749" t="s">
        <v>63</v>
      </c>
      <c r="L5" s="749" t="s">
        <v>64</v>
      </c>
      <c r="M5" s="749" t="s">
        <v>65</v>
      </c>
      <c r="N5" s="749" t="s">
        <v>66</v>
      </c>
    </row>
    <row r="6" spans="1:16" ht="15" customHeight="1">
      <c r="A6" s="751" t="s">
        <v>90</v>
      </c>
      <c r="B6" s="752">
        <f>SUM(C6:N6)</f>
        <v>25469430</v>
      </c>
      <c r="C6" s="752">
        <f t="shared" ref="C6:N6" si="0">+C8+C16+C25+C34</f>
        <v>2075180</v>
      </c>
      <c r="D6" s="752">
        <f t="shared" si="0"/>
        <v>1877521</v>
      </c>
      <c r="E6" s="752">
        <f t="shared" si="0"/>
        <v>2267031</v>
      </c>
      <c r="F6" s="752">
        <f t="shared" si="0"/>
        <v>2195041</v>
      </c>
      <c r="G6" s="752">
        <f t="shared" si="0"/>
        <v>1971598</v>
      </c>
      <c r="H6" s="752">
        <f t="shared" si="0"/>
        <v>1697084</v>
      </c>
      <c r="I6" s="752">
        <f t="shared" si="0"/>
        <v>2027681</v>
      </c>
      <c r="J6" s="752">
        <f t="shared" si="0"/>
        <v>2136241</v>
      </c>
      <c r="K6" s="752">
        <f t="shared" si="0"/>
        <v>2297780</v>
      </c>
      <c r="L6" s="752">
        <f t="shared" si="0"/>
        <v>2308075</v>
      </c>
      <c r="M6" s="752">
        <f t="shared" si="0"/>
        <v>2253583</v>
      </c>
      <c r="N6" s="752">
        <f t="shared" si="0"/>
        <v>2362615</v>
      </c>
    </row>
    <row r="7" spans="1:16" ht="1.25" hidden="1" customHeight="1">
      <c r="A7" s="741"/>
      <c r="B7" s="753"/>
      <c r="C7" s="753"/>
      <c r="D7" s="753"/>
      <c r="E7" s="753"/>
      <c r="F7" s="753"/>
      <c r="G7" s="753"/>
      <c r="H7" s="753"/>
      <c r="I7" s="753"/>
      <c r="J7" s="753"/>
      <c r="K7" s="753"/>
      <c r="L7" s="753"/>
      <c r="M7" s="753"/>
      <c r="N7" s="753"/>
    </row>
    <row r="8" spans="1:16" ht="12" customHeight="1">
      <c r="A8" s="754" t="s">
        <v>144</v>
      </c>
      <c r="B8" s="755">
        <f>SUM(B9:B14)</f>
        <v>5193076</v>
      </c>
      <c r="C8" s="756">
        <f t="shared" ref="C8:N8" si="1">SUM(C9:C14)</f>
        <v>411094</v>
      </c>
      <c r="D8" s="756">
        <f t="shared" si="1"/>
        <v>323089</v>
      </c>
      <c r="E8" s="756">
        <f t="shared" si="1"/>
        <v>425603</v>
      </c>
      <c r="F8" s="756">
        <f t="shared" si="1"/>
        <v>471143</v>
      </c>
      <c r="G8" s="756">
        <f t="shared" si="1"/>
        <v>445130</v>
      </c>
      <c r="H8" s="756">
        <f t="shared" si="1"/>
        <v>303409</v>
      </c>
      <c r="I8" s="756">
        <f t="shared" si="1"/>
        <v>461154</v>
      </c>
      <c r="J8" s="756">
        <f t="shared" si="1"/>
        <v>569815</v>
      </c>
      <c r="K8" s="756">
        <f t="shared" si="1"/>
        <v>365150</v>
      </c>
      <c r="L8" s="756">
        <f t="shared" si="1"/>
        <v>495468</v>
      </c>
      <c r="M8" s="756">
        <f t="shared" si="1"/>
        <v>403989</v>
      </c>
      <c r="N8" s="756">
        <f t="shared" si="1"/>
        <v>518032</v>
      </c>
    </row>
    <row r="9" spans="1:16" ht="12" customHeight="1">
      <c r="A9" s="95" t="s">
        <v>145</v>
      </c>
      <c r="B9" s="759">
        <f t="shared" ref="B9:B14" si="2">SUM(C9:N9)</f>
        <v>7752</v>
      </c>
      <c r="C9" s="461">
        <v>0</v>
      </c>
      <c r="D9" s="461">
        <v>0</v>
      </c>
      <c r="E9" s="461">
        <v>0</v>
      </c>
      <c r="F9" s="461">
        <v>1122</v>
      </c>
      <c r="G9" s="461">
        <v>1938</v>
      </c>
      <c r="H9" s="461">
        <v>0</v>
      </c>
      <c r="I9" s="461">
        <v>0</v>
      </c>
      <c r="J9" s="461">
        <v>0</v>
      </c>
      <c r="K9" s="461">
        <v>0</v>
      </c>
      <c r="L9" s="461">
        <v>2652</v>
      </c>
      <c r="M9" s="461">
        <v>1020</v>
      </c>
      <c r="N9" s="461">
        <v>1020</v>
      </c>
    </row>
    <row r="10" spans="1:16" ht="12" customHeight="1">
      <c r="A10" s="95" t="s">
        <v>146</v>
      </c>
      <c r="B10" s="759">
        <f t="shared" si="2"/>
        <v>311779</v>
      </c>
      <c r="C10" s="461">
        <v>30906</v>
      </c>
      <c r="D10" s="461">
        <v>38250</v>
      </c>
      <c r="E10" s="461">
        <v>6120</v>
      </c>
      <c r="F10" s="461">
        <v>32284</v>
      </c>
      <c r="G10" s="461">
        <v>44579</v>
      </c>
      <c r="H10" s="461">
        <v>0</v>
      </c>
      <c r="I10" s="461">
        <v>21930</v>
      </c>
      <c r="J10" s="461">
        <v>43566</v>
      </c>
      <c r="K10" s="461">
        <v>27220</v>
      </c>
      <c r="L10" s="461">
        <v>39996</v>
      </c>
      <c r="M10" s="461">
        <v>20604</v>
      </c>
      <c r="N10" s="461">
        <v>6324</v>
      </c>
    </row>
    <row r="11" spans="1:16" ht="12" customHeight="1">
      <c r="A11" s="95" t="s">
        <v>147</v>
      </c>
      <c r="B11" s="759">
        <f t="shared" si="2"/>
        <v>312580</v>
      </c>
      <c r="C11" s="461">
        <v>13260</v>
      </c>
      <c r="D11" s="461">
        <v>0</v>
      </c>
      <c r="E11" s="461">
        <v>28050</v>
      </c>
      <c r="F11" s="461">
        <v>23460</v>
      </c>
      <c r="G11" s="461">
        <v>37128</v>
      </c>
      <c r="H11" s="461">
        <v>0</v>
      </c>
      <c r="I11" s="461">
        <v>43740</v>
      </c>
      <c r="J11" s="461">
        <v>0</v>
      </c>
      <c r="K11" s="461">
        <v>44676</v>
      </c>
      <c r="L11" s="461">
        <v>56800</v>
      </c>
      <c r="M11" s="461">
        <v>48126</v>
      </c>
      <c r="N11" s="461">
        <v>17340</v>
      </c>
    </row>
    <row r="12" spans="1:16" ht="12" customHeight="1">
      <c r="A12" s="95" t="s">
        <v>148</v>
      </c>
      <c r="B12" s="759">
        <f t="shared" si="2"/>
        <v>4361251</v>
      </c>
      <c r="C12" s="461">
        <v>319068</v>
      </c>
      <c r="D12" s="461">
        <v>284839</v>
      </c>
      <c r="E12" s="461">
        <v>360584</v>
      </c>
      <c r="F12" s="461">
        <v>386836</v>
      </c>
      <c r="G12" s="461">
        <v>342068</v>
      </c>
      <c r="H12" s="461">
        <v>290909</v>
      </c>
      <c r="I12" s="461">
        <v>395484</v>
      </c>
      <c r="J12" s="461">
        <v>519925</v>
      </c>
      <c r="K12" s="461">
        <v>292234</v>
      </c>
      <c r="L12" s="461">
        <v>368747</v>
      </c>
      <c r="M12" s="461">
        <v>334239</v>
      </c>
      <c r="N12" s="461">
        <v>466318</v>
      </c>
    </row>
    <row r="13" spans="1:16" ht="12" customHeight="1">
      <c r="A13" s="95" t="s">
        <v>91</v>
      </c>
      <c r="B13" s="759">
        <f t="shared" si="2"/>
        <v>70094</v>
      </c>
      <c r="C13" s="461">
        <v>12000</v>
      </c>
      <c r="D13" s="461">
        <v>0</v>
      </c>
      <c r="E13" s="461">
        <v>7344</v>
      </c>
      <c r="F13" s="461">
        <v>0</v>
      </c>
      <c r="G13" s="461">
        <v>2244</v>
      </c>
      <c r="H13" s="461">
        <v>12500</v>
      </c>
      <c r="I13" s="461">
        <v>0</v>
      </c>
      <c r="J13" s="461">
        <v>6324</v>
      </c>
      <c r="K13" s="461">
        <v>1020</v>
      </c>
      <c r="L13" s="461">
        <v>1632</v>
      </c>
      <c r="M13" s="461">
        <v>0</v>
      </c>
      <c r="N13" s="461">
        <v>27030</v>
      </c>
    </row>
    <row r="14" spans="1:16" ht="12" customHeight="1">
      <c r="A14" s="95" t="s">
        <v>149</v>
      </c>
      <c r="B14" s="759">
        <f t="shared" si="2"/>
        <v>129620</v>
      </c>
      <c r="C14" s="461">
        <v>35860</v>
      </c>
      <c r="D14" s="461">
        <v>0</v>
      </c>
      <c r="E14" s="461">
        <v>23505</v>
      </c>
      <c r="F14" s="461">
        <v>27441</v>
      </c>
      <c r="G14" s="461">
        <v>17173</v>
      </c>
      <c r="H14" s="461">
        <v>0</v>
      </c>
      <c r="I14" s="461">
        <v>0</v>
      </c>
      <c r="J14" s="461">
        <v>0</v>
      </c>
      <c r="K14" s="461">
        <v>0</v>
      </c>
      <c r="L14" s="461">
        <v>25641</v>
      </c>
      <c r="M14" s="461">
        <v>0</v>
      </c>
      <c r="N14" s="461">
        <v>0</v>
      </c>
    </row>
    <row r="15" spans="1:16" ht="5" customHeight="1">
      <c r="A15" s="95"/>
      <c r="B15" s="759"/>
      <c r="C15" s="461"/>
      <c r="D15" s="461"/>
      <c r="E15" s="461"/>
      <c r="F15" s="461"/>
      <c r="G15" s="461"/>
      <c r="H15" s="461"/>
      <c r="I15" s="461"/>
      <c r="J15" s="461"/>
      <c r="K15" s="461"/>
      <c r="L15" s="461"/>
      <c r="M15" s="461"/>
      <c r="N15" s="461"/>
    </row>
    <row r="16" spans="1:16" ht="12" customHeight="1">
      <c r="A16" s="761" t="s">
        <v>150</v>
      </c>
      <c r="B16" s="759">
        <f>SUM(B17:B23)</f>
        <v>16928201</v>
      </c>
      <c r="C16" s="762">
        <f t="shared" ref="C16:N16" si="3">SUM(C17:C23)</f>
        <v>1500856</v>
      </c>
      <c r="D16" s="762">
        <f t="shared" si="3"/>
        <v>1292674</v>
      </c>
      <c r="E16" s="762">
        <f t="shared" si="3"/>
        <v>1521000</v>
      </c>
      <c r="F16" s="762">
        <f t="shared" si="3"/>
        <v>1461723</v>
      </c>
      <c r="G16" s="762">
        <f t="shared" si="3"/>
        <v>1204063</v>
      </c>
      <c r="H16" s="762">
        <f t="shared" si="3"/>
        <v>1144261</v>
      </c>
      <c r="I16" s="762">
        <f t="shared" si="3"/>
        <v>1332456</v>
      </c>
      <c r="J16" s="762">
        <f t="shared" si="3"/>
        <v>1341810</v>
      </c>
      <c r="K16" s="762">
        <f t="shared" si="3"/>
        <v>1624621</v>
      </c>
      <c r="L16" s="762">
        <f t="shared" si="3"/>
        <v>1478462</v>
      </c>
      <c r="M16" s="762">
        <f t="shared" si="3"/>
        <v>1376981</v>
      </c>
      <c r="N16" s="762">
        <f t="shared" si="3"/>
        <v>1649294</v>
      </c>
    </row>
    <row r="17" spans="1:14" ht="12" customHeight="1">
      <c r="A17" s="95" t="s">
        <v>161</v>
      </c>
      <c r="B17" s="759">
        <f t="shared" ref="B17:B23" si="4">SUM(C17:N17)</f>
        <v>21828</v>
      </c>
      <c r="C17" s="461">
        <v>3060</v>
      </c>
      <c r="D17" s="461">
        <v>2550</v>
      </c>
      <c r="E17" s="461">
        <v>0</v>
      </c>
      <c r="F17" s="461">
        <v>0</v>
      </c>
      <c r="G17" s="461">
        <v>3060</v>
      </c>
      <c r="H17" s="461">
        <v>510</v>
      </c>
      <c r="I17" s="461">
        <v>0</v>
      </c>
      <c r="J17" s="461">
        <v>306</v>
      </c>
      <c r="K17" s="461">
        <v>7446</v>
      </c>
      <c r="L17" s="461">
        <v>4590</v>
      </c>
      <c r="M17" s="461">
        <v>306</v>
      </c>
      <c r="N17" s="461">
        <v>0</v>
      </c>
    </row>
    <row r="18" spans="1:14" ht="12" customHeight="1">
      <c r="A18" s="95" t="s">
        <v>162</v>
      </c>
      <c r="B18" s="759">
        <f t="shared" si="4"/>
        <v>6669814</v>
      </c>
      <c r="C18" s="461">
        <v>535171</v>
      </c>
      <c r="D18" s="461">
        <v>535681</v>
      </c>
      <c r="E18" s="461">
        <v>386483</v>
      </c>
      <c r="F18" s="461">
        <v>581110</v>
      </c>
      <c r="G18" s="461">
        <v>250676</v>
      </c>
      <c r="H18" s="461">
        <v>530878</v>
      </c>
      <c r="I18" s="461">
        <v>604273</v>
      </c>
      <c r="J18" s="461">
        <v>561658</v>
      </c>
      <c r="K18" s="461">
        <v>744507</v>
      </c>
      <c r="L18" s="461">
        <v>643232</v>
      </c>
      <c r="M18" s="461">
        <v>495000</v>
      </c>
      <c r="N18" s="461">
        <v>801145</v>
      </c>
    </row>
    <row r="19" spans="1:14" ht="12" customHeight="1">
      <c r="A19" s="95" t="s">
        <v>163</v>
      </c>
      <c r="B19" s="759">
        <f t="shared" si="4"/>
        <v>10166642</v>
      </c>
      <c r="C19" s="461">
        <v>951000</v>
      </c>
      <c r="D19" s="461">
        <v>751179</v>
      </c>
      <c r="E19" s="461">
        <v>1129213</v>
      </c>
      <c r="F19" s="461">
        <v>874901</v>
      </c>
      <c r="G19" s="461">
        <v>943190</v>
      </c>
      <c r="H19" s="461">
        <v>594411</v>
      </c>
      <c r="I19" s="461">
        <v>725939</v>
      </c>
      <c r="J19" s="461">
        <v>775119</v>
      </c>
      <c r="K19" s="461">
        <v>869404</v>
      </c>
      <c r="L19" s="461">
        <v>827010</v>
      </c>
      <c r="M19" s="461">
        <v>880085</v>
      </c>
      <c r="N19" s="461">
        <v>845191</v>
      </c>
    </row>
    <row r="20" spans="1:14" ht="12" customHeight="1">
      <c r="A20" s="95" t="s">
        <v>164</v>
      </c>
      <c r="B20" s="759">
        <f t="shared" si="4"/>
        <v>19380</v>
      </c>
      <c r="C20" s="461">
        <v>9180</v>
      </c>
      <c r="D20" s="461">
        <v>0</v>
      </c>
      <c r="E20" s="461">
        <v>0</v>
      </c>
      <c r="F20" s="461">
        <v>0</v>
      </c>
      <c r="G20" s="461">
        <v>0</v>
      </c>
      <c r="H20" s="461">
        <v>10200</v>
      </c>
      <c r="I20" s="461">
        <v>0</v>
      </c>
      <c r="J20" s="461">
        <v>0</v>
      </c>
      <c r="K20" s="461">
        <v>0</v>
      </c>
      <c r="L20" s="461">
        <v>0</v>
      </c>
      <c r="M20" s="461">
        <v>0</v>
      </c>
      <c r="N20" s="461">
        <v>0</v>
      </c>
    </row>
    <row r="21" spans="1:14" ht="12" customHeight="1">
      <c r="A21" s="95" t="s">
        <v>165</v>
      </c>
      <c r="B21" s="759">
        <f t="shared" si="4"/>
        <v>0</v>
      </c>
      <c r="C21" s="461">
        <v>0</v>
      </c>
      <c r="D21" s="461">
        <v>0</v>
      </c>
      <c r="E21" s="461">
        <v>0</v>
      </c>
      <c r="F21" s="461">
        <v>0</v>
      </c>
      <c r="G21" s="461">
        <v>0</v>
      </c>
      <c r="H21" s="461">
        <v>0</v>
      </c>
      <c r="I21" s="461">
        <v>0</v>
      </c>
      <c r="J21" s="461">
        <v>0</v>
      </c>
      <c r="K21" s="461">
        <v>0</v>
      </c>
      <c r="L21" s="461">
        <v>0</v>
      </c>
      <c r="M21" s="461">
        <v>0</v>
      </c>
      <c r="N21" s="461">
        <v>0</v>
      </c>
    </row>
    <row r="22" spans="1:14" ht="12" customHeight="1">
      <c r="A22" s="95" t="s">
        <v>166</v>
      </c>
      <c r="B22" s="759">
        <f t="shared" si="4"/>
        <v>50333</v>
      </c>
      <c r="C22" s="461">
        <v>2241</v>
      </c>
      <c r="D22" s="461">
        <v>3264</v>
      </c>
      <c r="E22" s="461">
        <v>5304</v>
      </c>
      <c r="F22" s="461">
        <v>5712</v>
      </c>
      <c r="G22" s="461">
        <v>7137</v>
      </c>
      <c r="H22" s="461">
        <v>8262</v>
      </c>
      <c r="I22" s="461">
        <v>2244</v>
      </c>
      <c r="J22" s="461">
        <v>4727</v>
      </c>
      <c r="K22" s="461">
        <v>3264</v>
      </c>
      <c r="L22" s="461">
        <v>3630</v>
      </c>
      <c r="M22" s="461">
        <v>1590</v>
      </c>
      <c r="N22" s="461">
        <v>2958</v>
      </c>
    </row>
    <row r="23" spans="1:14" ht="12" customHeight="1">
      <c r="A23" s="95" t="s">
        <v>167</v>
      </c>
      <c r="B23" s="759">
        <f t="shared" si="4"/>
        <v>204</v>
      </c>
      <c r="C23" s="461">
        <v>204</v>
      </c>
      <c r="D23" s="461">
        <v>0</v>
      </c>
      <c r="E23" s="461">
        <v>0</v>
      </c>
      <c r="F23" s="461">
        <v>0</v>
      </c>
      <c r="G23" s="461">
        <v>0</v>
      </c>
      <c r="H23" s="461">
        <v>0</v>
      </c>
      <c r="I23" s="461">
        <v>0</v>
      </c>
      <c r="J23" s="461">
        <v>0</v>
      </c>
      <c r="K23" s="461">
        <v>0</v>
      </c>
      <c r="L23" s="461">
        <v>0</v>
      </c>
      <c r="M23" s="461">
        <v>0</v>
      </c>
      <c r="N23" s="461">
        <v>0</v>
      </c>
    </row>
    <row r="24" spans="1:14" ht="5" customHeight="1">
      <c r="A24" s="95"/>
      <c r="B24" s="759"/>
      <c r="C24" s="461"/>
      <c r="D24" s="461"/>
      <c r="E24" s="461"/>
      <c r="F24" s="461"/>
      <c r="G24" s="461"/>
      <c r="H24" s="461"/>
      <c r="I24" s="461"/>
      <c r="J24" s="461"/>
      <c r="K24" s="461"/>
      <c r="L24" s="461"/>
      <c r="M24" s="461"/>
      <c r="N24" s="461"/>
    </row>
    <row r="25" spans="1:14" ht="12" customHeight="1">
      <c r="A25" s="761" t="s">
        <v>151</v>
      </c>
      <c r="B25" s="759">
        <f>SUM(B26:B32)</f>
        <v>1266735</v>
      </c>
      <c r="C25" s="762">
        <f t="shared" ref="C25:N25" si="5">SUM(C26:C32)</f>
        <v>62941</v>
      </c>
      <c r="D25" s="762">
        <f t="shared" si="5"/>
        <v>119170</v>
      </c>
      <c r="E25" s="762">
        <f t="shared" si="5"/>
        <v>126723</v>
      </c>
      <c r="F25" s="762">
        <f t="shared" si="5"/>
        <v>113145</v>
      </c>
      <c r="G25" s="762">
        <f t="shared" si="5"/>
        <v>152385</v>
      </c>
      <c r="H25" s="762">
        <f t="shared" si="5"/>
        <v>49850</v>
      </c>
      <c r="I25" s="762">
        <f t="shared" si="5"/>
        <v>49778</v>
      </c>
      <c r="J25" s="762">
        <f t="shared" si="5"/>
        <v>91178</v>
      </c>
      <c r="K25" s="762">
        <f t="shared" si="5"/>
        <v>117734</v>
      </c>
      <c r="L25" s="762">
        <f t="shared" si="5"/>
        <v>126545</v>
      </c>
      <c r="M25" s="762">
        <f t="shared" si="5"/>
        <v>154890</v>
      </c>
      <c r="N25" s="762">
        <f t="shared" si="5"/>
        <v>102396</v>
      </c>
    </row>
    <row r="26" spans="1:14" ht="12" customHeight="1">
      <c r="A26" s="95" t="s">
        <v>168</v>
      </c>
      <c r="B26" s="759">
        <f t="shared" ref="B26:B32" si="6">SUM(C26:N26)</f>
        <v>997746</v>
      </c>
      <c r="C26" s="461">
        <v>38615</v>
      </c>
      <c r="D26" s="461">
        <v>100810</v>
      </c>
      <c r="E26" s="461">
        <v>104898</v>
      </c>
      <c r="F26" s="461">
        <v>88867</v>
      </c>
      <c r="G26" s="461">
        <v>119439</v>
      </c>
      <c r="H26" s="461">
        <v>40280</v>
      </c>
      <c r="I26" s="461">
        <v>34478</v>
      </c>
      <c r="J26" s="461">
        <v>80448</v>
      </c>
      <c r="K26" s="461">
        <v>93536</v>
      </c>
      <c r="L26" s="461">
        <v>111726</v>
      </c>
      <c r="M26" s="461">
        <v>110653</v>
      </c>
      <c r="N26" s="461">
        <v>73996</v>
      </c>
    </row>
    <row r="27" spans="1:14" ht="12" customHeight="1">
      <c r="A27" s="95" t="s">
        <v>152</v>
      </c>
      <c r="B27" s="759">
        <f t="shared" si="6"/>
        <v>46920</v>
      </c>
      <c r="C27" s="461">
        <v>8160</v>
      </c>
      <c r="D27" s="461">
        <v>0</v>
      </c>
      <c r="E27" s="461">
        <v>8160</v>
      </c>
      <c r="F27" s="461">
        <v>0</v>
      </c>
      <c r="G27" s="461">
        <v>6120</v>
      </c>
      <c r="H27" s="461">
        <v>0</v>
      </c>
      <c r="I27" s="461">
        <v>8160</v>
      </c>
      <c r="J27" s="461">
        <v>0</v>
      </c>
      <c r="K27" s="461">
        <v>8160</v>
      </c>
      <c r="L27" s="461">
        <v>0</v>
      </c>
      <c r="M27" s="461">
        <v>8160</v>
      </c>
      <c r="N27" s="461">
        <v>0</v>
      </c>
    </row>
    <row r="28" spans="1:14" ht="12" customHeight="1">
      <c r="A28" s="95" t="s">
        <v>169</v>
      </c>
      <c r="B28" s="759">
        <f t="shared" si="6"/>
        <v>185250</v>
      </c>
      <c r="C28" s="461">
        <v>11066</v>
      </c>
      <c r="D28" s="461">
        <v>18360</v>
      </c>
      <c r="E28" s="461">
        <v>3468</v>
      </c>
      <c r="F28" s="461">
        <v>23258</v>
      </c>
      <c r="G28" s="461">
        <v>17850</v>
      </c>
      <c r="H28" s="461">
        <v>6000</v>
      </c>
      <c r="I28" s="461">
        <v>6120</v>
      </c>
      <c r="J28" s="461">
        <v>10730</v>
      </c>
      <c r="K28" s="461">
        <v>11448</v>
      </c>
      <c r="L28" s="461">
        <v>12473</v>
      </c>
      <c r="M28" s="461">
        <v>36077</v>
      </c>
      <c r="N28" s="461">
        <v>28400</v>
      </c>
    </row>
    <row r="29" spans="1:14" ht="12" customHeight="1">
      <c r="A29" s="95" t="s">
        <v>153</v>
      </c>
      <c r="B29" s="759">
        <f t="shared" si="6"/>
        <v>14790</v>
      </c>
      <c r="C29" s="461">
        <v>3060</v>
      </c>
      <c r="D29" s="461">
        <v>0</v>
      </c>
      <c r="E29" s="461">
        <v>1020</v>
      </c>
      <c r="F29" s="461">
        <v>0</v>
      </c>
      <c r="G29" s="461">
        <v>2754</v>
      </c>
      <c r="H29" s="461">
        <v>2040</v>
      </c>
      <c r="I29" s="461">
        <v>1020</v>
      </c>
      <c r="J29" s="461">
        <v>0</v>
      </c>
      <c r="K29" s="461">
        <v>2550</v>
      </c>
      <c r="L29" s="461">
        <v>2346</v>
      </c>
      <c r="M29" s="461">
        <v>0</v>
      </c>
      <c r="N29" s="461">
        <v>0</v>
      </c>
    </row>
    <row r="30" spans="1:14" ht="12" customHeight="1">
      <c r="A30" s="95" t="s">
        <v>154</v>
      </c>
      <c r="B30" s="759">
        <f t="shared" si="6"/>
        <v>6630</v>
      </c>
      <c r="C30" s="461">
        <v>2040</v>
      </c>
      <c r="D30" s="461">
        <v>0</v>
      </c>
      <c r="E30" s="461">
        <v>0</v>
      </c>
      <c r="F30" s="461">
        <v>1020</v>
      </c>
      <c r="G30" s="461">
        <v>0</v>
      </c>
      <c r="H30" s="461">
        <v>1530</v>
      </c>
      <c r="I30" s="461">
        <v>0</v>
      </c>
      <c r="J30" s="461">
        <v>0</v>
      </c>
      <c r="K30" s="461">
        <v>2040</v>
      </c>
      <c r="L30" s="461">
        <v>0</v>
      </c>
      <c r="M30" s="461">
        <v>0</v>
      </c>
      <c r="N30" s="461">
        <v>0</v>
      </c>
    </row>
    <row r="31" spans="1:14" ht="12" customHeight="1">
      <c r="A31" s="95" t="s">
        <v>155</v>
      </c>
      <c r="B31" s="759">
        <f t="shared" si="6"/>
        <v>15399</v>
      </c>
      <c r="C31" s="461">
        <v>0</v>
      </c>
      <c r="D31" s="461">
        <v>0</v>
      </c>
      <c r="E31" s="461">
        <v>9177</v>
      </c>
      <c r="F31" s="461">
        <v>0</v>
      </c>
      <c r="G31" s="461">
        <v>6222</v>
      </c>
      <c r="H31" s="461">
        <v>0</v>
      </c>
      <c r="I31" s="461">
        <v>0</v>
      </c>
      <c r="J31" s="461">
        <v>0</v>
      </c>
      <c r="K31" s="461">
        <v>0</v>
      </c>
      <c r="L31" s="461">
        <v>0</v>
      </c>
      <c r="M31" s="461">
        <v>0</v>
      </c>
      <c r="N31" s="461">
        <v>0</v>
      </c>
    </row>
    <row r="32" spans="1:14" ht="12" customHeight="1">
      <c r="A32" s="95" t="s">
        <v>156</v>
      </c>
      <c r="B32" s="759">
        <f t="shared" si="6"/>
        <v>0</v>
      </c>
      <c r="C32" s="461">
        <v>0</v>
      </c>
      <c r="D32" s="461">
        <v>0</v>
      </c>
      <c r="E32" s="461">
        <v>0</v>
      </c>
      <c r="F32" s="461">
        <v>0</v>
      </c>
      <c r="G32" s="461">
        <v>0</v>
      </c>
      <c r="H32" s="461">
        <v>0</v>
      </c>
      <c r="I32" s="461">
        <v>0</v>
      </c>
      <c r="J32" s="461">
        <v>0</v>
      </c>
      <c r="K32" s="461">
        <v>0</v>
      </c>
      <c r="L32" s="461">
        <v>0</v>
      </c>
      <c r="M32" s="461">
        <v>0</v>
      </c>
      <c r="N32" s="461">
        <v>0</v>
      </c>
    </row>
    <row r="33" spans="1:15" ht="5" customHeight="1">
      <c r="B33" s="759"/>
      <c r="C33" s="461"/>
      <c r="D33" s="461"/>
      <c r="E33" s="461"/>
      <c r="F33" s="461"/>
      <c r="G33" s="461"/>
      <c r="H33" s="461"/>
      <c r="I33" s="461"/>
      <c r="J33" s="461"/>
      <c r="K33" s="461"/>
      <c r="L33" s="461"/>
      <c r="M33" s="461"/>
      <c r="N33" s="461"/>
    </row>
    <row r="34" spans="1:15" ht="12" customHeight="1">
      <c r="A34" s="761" t="s">
        <v>157</v>
      </c>
      <c r="B34" s="759">
        <f>SUM(B35:B38)</f>
        <v>2081418</v>
      </c>
      <c r="C34" s="762">
        <f t="shared" ref="C34:N34" si="7">SUM(C35:C38)</f>
        <v>100289</v>
      </c>
      <c r="D34" s="762">
        <f t="shared" si="7"/>
        <v>142588</v>
      </c>
      <c r="E34" s="762">
        <f t="shared" si="7"/>
        <v>193705</v>
      </c>
      <c r="F34" s="762">
        <f t="shared" si="7"/>
        <v>149030</v>
      </c>
      <c r="G34" s="762">
        <f t="shared" si="7"/>
        <v>170020</v>
      </c>
      <c r="H34" s="762">
        <f t="shared" si="7"/>
        <v>199564</v>
      </c>
      <c r="I34" s="762">
        <f t="shared" si="7"/>
        <v>184293</v>
      </c>
      <c r="J34" s="762">
        <f t="shared" si="7"/>
        <v>133438</v>
      </c>
      <c r="K34" s="762">
        <f t="shared" si="7"/>
        <v>190275</v>
      </c>
      <c r="L34" s="762">
        <f t="shared" si="7"/>
        <v>207600</v>
      </c>
      <c r="M34" s="762">
        <f t="shared" si="7"/>
        <v>317723</v>
      </c>
      <c r="N34" s="762">
        <f t="shared" si="7"/>
        <v>92893</v>
      </c>
    </row>
    <row r="35" spans="1:15" ht="12" customHeight="1">
      <c r="A35" s="95" t="s">
        <v>170</v>
      </c>
      <c r="B35" s="759">
        <f>SUM(C35:N35)</f>
        <v>1336160</v>
      </c>
      <c r="C35" s="461">
        <v>61743</v>
      </c>
      <c r="D35" s="461">
        <v>119944</v>
      </c>
      <c r="E35" s="461">
        <v>100363</v>
      </c>
      <c r="F35" s="461">
        <v>103567</v>
      </c>
      <c r="G35" s="461">
        <v>127653</v>
      </c>
      <c r="H35" s="461">
        <v>133049</v>
      </c>
      <c r="I35" s="461">
        <v>65000</v>
      </c>
      <c r="J35" s="461">
        <v>77118</v>
      </c>
      <c r="K35" s="461">
        <v>128689</v>
      </c>
      <c r="L35" s="461">
        <v>163830</v>
      </c>
      <c r="M35" s="461">
        <v>172001</v>
      </c>
      <c r="N35" s="461">
        <v>83203</v>
      </c>
    </row>
    <row r="36" spans="1:15" ht="12" customHeight="1">
      <c r="A36" s="95" t="s">
        <v>158</v>
      </c>
      <c r="B36" s="759">
        <f>SUM(C36:N36)</f>
        <v>366986</v>
      </c>
      <c r="C36" s="461">
        <v>12240</v>
      </c>
      <c r="D36" s="461">
        <v>22644</v>
      </c>
      <c r="E36" s="461">
        <v>45402</v>
      </c>
      <c r="F36" s="461">
        <v>28320</v>
      </c>
      <c r="G36" s="461">
        <v>38388</v>
      </c>
      <c r="H36" s="461">
        <v>4794</v>
      </c>
      <c r="I36" s="461">
        <v>42844</v>
      </c>
      <c r="J36" s="461">
        <v>16320</v>
      </c>
      <c r="K36" s="461">
        <v>26056</v>
      </c>
      <c r="L36" s="461">
        <v>23770</v>
      </c>
      <c r="M36" s="461">
        <v>96518</v>
      </c>
      <c r="N36" s="461">
        <v>9690</v>
      </c>
    </row>
    <row r="37" spans="1:15" ht="12" customHeight="1">
      <c r="A37" s="95" t="s">
        <v>159</v>
      </c>
      <c r="B37" s="759">
        <f>SUM(C37:N37)</f>
        <v>139978</v>
      </c>
      <c r="C37" s="461">
        <v>26306</v>
      </c>
      <c r="D37" s="461">
        <v>0</v>
      </c>
      <c r="E37" s="461">
        <v>0</v>
      </c>
      <c r="F37" s="461">
        <v>17143</v>
      </c>
      <c r="G37" s="461">
        <v>3979</v>
      </c>
      <c r="H37" s="461">
        <v>28571</v>
      </c>
      <c r="I37" s="461">
        <v>42449</v>
      </c>
      <c r="J37" s="461">
        <v>0</v>
      </c>
      <c r="K37" s="461">
        <v>1530</v>
      </c>
      <c r="L37" s="461">
        <v>20000</v>
      </c>
      <c r="M37" s="461">
        <v>0</v>
      </c>
      <c r="N37" s="461">
        <v>0</v>
      </c>
    </row>
    <row r="38" spans="1:15" ht="12" customHeight="1">
      <c r="A38" s="97" t="s">
        <v>171</v>
      </c>
      <c r="B38" s="759">
        <f>SUM(C38:N38)</f>
        <v>238294</v>
      </c>
      <c r="C38" s="461">
        <v>0</v>
      </c>
      <c r="D38" s="461">
        <v>0</v>
      </c>
      <c r="E38" s="461">
        <v>47940</v>
      </c>
      <c r="F38" s="461">
        <v>0</v>
      </c>
      <c r="G38" s="461">
        <v>0</v>
      </c>
      <c r="H38" s="461">
        <v>33150</v>
      </c>
      <c r="I38" s="461">
        <v>34000</v>
      </c>
      <c r="J38" s="461">
        <v>40000</v>
      </c>
      <c r="K38" s="461">
        <v>34000</v>
      </c>
      <c r="L38" s="461">
        <v>0</v>
      </c>
      <c r="M38" s="461">
        <v>49204</v>
      </c>
      <c r="N38" s="461">
        <v>0</v>
      </c>
    </row>
    <row r="39" spans="1:15" ht="5" customHeight="1" thickBot="1">
      <c r="A39" s="99"/>
      <c r="B39" s="954"/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42"/>
      <c r="N39" s="442"/>
    </row>
    <row r="40" spans="1:15" ht="9" customHeight="1">
      <c r="A40" s="778" t="s">
        <v>402</v>
      </c>
      <c r="B40" s="868"/>
      <c r="C40" s="868"/>
      <c r="D40" s="868"/>
      <c r="E40" s="425"/>
      <c r="F40" s="425"/>
      <c r="G40" s="425"/>
      <c r="H40" s="425"/>
      <c r="I40" s="425"/>
      <c r="J40" s="425"/>
      <c r="K40" s="425"/>
      <c r="L40" s="425"/>
      <c r="M40" s="425"/>
      <c r="N40" s="425"/>
      <c r="O40" s="425"/>
    </row>
    <row r="41" spans="1:15" ht="9" customHeight="1">
      <c r="A41" s="871" t="s">
        <v>378</v>
      </c>
      <c r="B41" s="868"/>
      <c r="C41" s="868"/>
      <c r="D41" s="868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</row>
    <row r="42" spans="1:15" ht="9" customHeight="1">
      <c r="A42" s="780" t="s">
        <v>358</v>
      </c>
      <c r="B42" s="868"/>
      <c r="C42" s="868"/>
      <c r="D42" s="868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</row>
    <row r="43" spans="1:15" ht="13.25" customHeight="1">
      <c r="A43" s="73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Hoja129">
    <tabColor theme="9" tint="0.59999389629810485"/>
  </sheetPr>
  <dimension ref="A2:U36"/>
  <sheetViews>
    <sheetView showGridLines="0" zoomScaleNormal="100" workbookViewId="0">
      <selection activeCell="U62" sqref="U62"/>
    </sheetView>
  </sheetViews>
  <sheetFormatPr baseColWidth="10" defaultColWidth="7" defaultRowHeight="13.25" customHeight="1"/>
  <cols>
    <col min="1" max="1" width="1.796875" style="82" customWidth="1"/>
    <col min="2" max="2" width="10.3984375" style="82" customWidth="1"/>
    <col min="3" max="5" width="8" style="82" hidden="1" customWidth="1"/>
    <col min="6" max="20" width="8.3984375" style="82" customWidth="1"/>
    <col min="21" max="21" width="8.796875" style="82" customWidth="1"/>
    <col min="22" max="16384" width="7" style="82"/>
  </cols>
  <sheetData>
    <row r="2" spans="1:21" ht="15" customHeight="1">
      <c r="A2" s="221" t="s">
        <v>596</v>
      </c>
      <c r="B2" s="219"/>
      <c r="C2" s="219"/>
      <c r="D2" s="219"/>
      <c r="E2" s="219"/>
      <c r="F2" s="219"/>
    </row>
    <row r="3" spans="1:21" ht="13.25" customHeight="1">
      <c r="A3" s="443" t="s">
        <v>321</v>
      </c>
      <c r="B3" s="219"/>
      <c r="C3" s="219"/>
      <c r="D3" s="219"/>
      <c r="E3" s="219"/>
      <c r="F3" s="219"/>
    </row>
    <row r="4" spans="1:21" ht="4.2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1" ht="15" customHeight="1">
      <c r="A5" s="962" t="s">
        <v>18</v>
      </c>
      <c r="B5" s="962"/>
      <c r="C5" s="562">
        <v>2005</v>
      </c>
      <c r="D5" s="562">
        <v>2006</v>
      </c>
      <c r="E5" s="562">
        <v>2007</v>
      </c>
      <c r="F5" s="562">
        <v>2008</v>
      </c>
      <c r="G5" s="562">
        <v>2009</v>
      </c>
      <c r="H5" s="562">
        <v>2010</v>
      </c>
      <c r="I5" s="562">
        <v>2011</v>
      </c>
      <c r="J5" s="562">
        <v>2012</v>
      </c>
      <c r="K5" s="562">
        <v>2013</v>
      </c>
      <c r="L5" s="562">
        <v>2014</v>
      </c>
      <c r="M5" s="562">
        <v>2015</v>
      </c>
      <c r="N5" s="562">
        <v>2016</v>
      </c>
      <c r="O5" s="562">
        <v>2017</v>
      </c>
      <c r="P5" s="562" t="s">
        <v>197</v>
      </c>
      <c r="Q5" s="562" t="s">
        <v>348</v>
      </c>
      <c r="R5" s="562">
        <v>2020</v>
      </c>
      <c r="S5" s="562">
        <v>2021</v>
      </c>
      <c r="T5" s="562" t="s">
        <v>477</v>
      </c>
    </row>
    <row r="6" spans="1:21" ht="15" customHeight="1">
      <c r="A6" s="963" t="s">
        <v>96</v>
      </c>
      <c r="B6" s="963"/>
      <c r="C6" s="764">
        <f>(C8+C9+C10+C11+C12+C13+C14+C15+C16+C17+C18+C19+C20+C21+C22+C23+C24+C25+C26+C27+C28+C29+C30+C31)</f>
        <v>5249783</v>
      </c>
      <c r="D6" s="764">
        <f>(D8+D9+D10+D11+D12+D13+D14+D15+D16+D17+D18+D19+D20+D21+D22+D23+D24+D25+D26+D27+D28+D29+D30+D31)</f>
        <v>5241101</v>
      </c>
      <c r="E6" s="765">
        <v>120227.6</v>
      </c>
      <c r="F6" s="768">
        <v>131179.1</v>
      </c>
      <c r="G6" s="768">
        <v>137838</v>
      </c>
      <c r="H6" s="768">
        <v>130779</v>
      </c>
      <c r="I6" s="768">
        <v>128943.5</v>
      </c>
      <c r="J6" s="768">
        <v>138554.1</v>
      </c>
      <c r="K6" s="768">
        <v>138179.79999999999</v>
      </c>
      <c r="L6" s="768">
        <v>144703.70000000001</v>
      </c>
      <c r="M6" s="768">
        <v>151000.9</v>
      </c>
      <c r="N6" s="768">
        <v>158263.20000000001</v>
      </c>
      <c r="O6" s="768">
        <f t="shared" ref="O6:R6" si="0">SUM(O8:O31)</f>
        <v>156637.5</v>
      </c>
      <c r="P6" s="768">
        <f t="shared" si="0"/>
        <v>160959.31899999999</v>
      </c>
      <c r="Q6" s="768">
        <f t="shared" si="0"/>
        <v>168172.63503948963</v>
      </c>
      <c r="R6" s="768">
        <f t="shared" si="0"/>
        <v>178159.63009999995</v>
      </c>
      <c r="S6" s="768">
        <f>SUM(S8:S31)</f>
        <v>189374.75383195284</v>
      </c>
      <c r="T6" s="768">
        <f>SUM(T8:T31)</f>
        <v>190881.87000000005</v>
      </c>
    </row>
    <row r="7" spans="1:21" ht="4.25" customHeight="1">
      <c r="A7" s="83"/>
      <c r="B7" s="84"/>
      <c r="C7" s="91"/>
      <c r="D7" s="91"/>
      <c r="E7" s="91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</row>
    <row r="8" spans="1:21" ht="14" customHeight="1">
      <c r="A8" s="83"/>
      <c r="B8" s="23" t="s">
        <v>21</v>
      </c>
      <c r="C8" s="92">
        <v>13800</v>
      </c>
      <c r="D8" s="92">
        <v>14000</v>
      </c>
      <c r="E8" s="94">
        <v>97.2</v>
      </c>
      <c r="F8" s="499">
        <v>80.900000000000006</v>
      </c>
      <c r="G8" s="499">
        <v>89.5</v>
      </c>
      <c r="H8" s="499">
        <v>90.1</v>
      </c>
      <c r="I8" s="499">
        <v>199.5</v>
      </c>
      <c r="J8" s="499">
        <v>190.5</v>
      </c>
      <c r="K8" s="499">
        <v>199.5</v>
      </c>
      <c r="L8" s="499">
        <v>195.3</v>
      </c>
      <c r="M8" s="499">
        <v>175.4</v>
      </c>
      <c r="N8" s="499">
        <v>159.80000000000001</v>
      </c>
      <c r="O8" s="499">
        <v>154.30000000000001</v>
      </c>
      <c r="P8" s="499">
        <v>160.16999999999999</v>
      </c>
      <c r="Q8" s="499">
        <v>157.22</v>
      </c>
      <c r="R8" s="499">
        <v>183.42</v>
      </c>
      <c r="S8" s="499">
        <v>180.35</v>
      </c>
      <c r="T8" s="499">
        <v>181.89</v>
      </c>
      <c r="U8" s="936"/>
    </row>
    <row r="9" spans="1:21" ht="14" customHeight="1">
      <c r="A9" s="83"/>
      <c r="B9" s="23" t="s">
        <v>22</v>
      </c>
      <c r="C9" s="92">
        <v>234260</v>
      </c>
      <c r="D9" s="92">
        <v>234260</v>
      </c>
      <c r="E9" s="94">
        <v>6494.4</v>
      </c>
      <c r="F9" s="499">
        <v>5800</v>
      </c>
      <c r="G9" s="499">
        <v>5358.8</v>
      </c>
      <c r="H9" s="499">
        <v>4791.5</v>
      </c>
      <c r="I9" s="499">
        <v>5088.6000000000004</v>
      </c>
      <c r="J9" s="499">
        <v>4373.6000000000004</v>
      </c>
      <c r="K9" s="499">
        <v>5581</v>
      </c>
      <c r="L9" s="499">
        <v>6136</v>
      </c>
      <c r="M9" s="499">
        <v>6015.3</v>
      </c>
      <c r="N9" s="499">
        <v>6049.9</v>
      </c>
      <c r="O9" s="499">
        <v>6138.3</v>
      </c>
      <c r="P9" s="499">
        <v>5987.0730000000003</v>
      </c>
      <c r="Q9" s="499">
        <v>5858.23</v>
      </c>
      <c r="R9" s="499">
        <v>5987.0479999999998</v>
      </c>
      <c r="S9" s="499">
        <v>3905.7738319528735</v>
      </c>
      <c r="T9" s="499">
        <v>4946.41</v>
      </c>
      <c r="U9" s="936"/>
    </row>
    <row r="10" spans="1:21" ht="14" customHeight="1">
      <c r="A10" s="83"/>
      <c r="B10" s="23" t="s">
        <v>23</v>
      </c>
      <c r="C10" s="92">
        <v>86000</v>
      </c>
      <c r="D10" s="92">
        <v>87500</v>
      </c>
      <c r="E10" s="94">
        <v>2084.6999999999998</v>
      </c>
      <c r="F10" s="499">
        <v>2138.8000000000002</v>
      </c>
      <c r="G10" s="499">
        <v>2480.5</v>
      </c>
      <c r="H10" s="499">
        <v>2215.5</v>
      </c>
      <c r="I10" s="499">
        <v>2502.1999999999998</v>
      </c>
      <c r="J10" s="499">
        <v>1865.2</v>
      </c>
      <c r="K10" s="499">
        <v>2295.8000000000002</v>
      </c>
      <c r="L10" s="499">
        <v>2387.6999999999998</v>
      </c>
      <c r="M10" s="499">
        <v>2410.4</v>
      </c>
      <c r="N10" s="499">
        <v>1865.2</v>
      </c>
      <c r="O10" s="499">
        <v>1868.5</v>
      </c>
      <c r="P10" s="499">
        <v>2048.0300000000002</v>
      </c>
      <c r="Q10" s="499">
        <v>2489.462</v>
      </c>
      <c r="R10" s="499">
        <v>2626.0329999999999</v>
      </c>
      <c r="S10" s="499">
        <v>2557.7399999999998</v>
      </c>
      <c r="T10" s="499">
        <v>2267.9499999999998</v>
      </c>
      <c r="U10" s="936"/>
    </row>
    <row r="11" spans="1:21" ht="14" customHeight="1">
      <c r="A11" s="83"/>
      <c r="B11" s="23" t="s">
        <v>24</v>
      </c>
      <c r="C11" s="92">
        <v>253482</v>
      </c>
      <c r="D11" s="92">
        <v>253925</v>
      </c>
      <c r="E11" s="94">
        <v>13000.9</v>
      </c>
      <c r="F11" s="499">
        <v>13581.5</v>
      </c>
      <c r="G11" s="499">
        <v>14270.2</v>
      </c>
      <c r="H11" s="499">
        <v>15837.4</v>
      </c>
      <c r="I11" s="499">
        <v>17116.900000000001</v>
      </c>
      <c r="J11" s="499">
        <v>20057.5</v>
      </c>
      <c r="K11" s="499">
        <v>20270.599999999999</v>
      </c>
      <c r="L11" s="499">
        <v>24038.6</v>
      </c>
      <c r="M11" s="499">
        <v>24045</v>
      </c>
      <c r="N11" s="499">
        <v>26281.5</v>
      </c>
      <c r="O11" s="499">
        <v>25241.200000000001</v>
      </c>
      <c r="P11" s="499">
        <v>24685.343000000001</v>
      </c>
      <c r="Q11" s="499">
        <v>24963.293000000001</v>
      </c>
      <c r="R11" s="499">
        <v>24980.325000000001</v>
      </c>
      <c r="S11" s="499">
        <v>25462.692999999999</v>
      </c>
      <c r="T11" s="499">
        <v>25462.69</v>
      </c>
      <c r="U11" s="936"/>
    </row>
    <row r="12" spans="1:21" ht="14" customHeight="1">
      <c r="A12" s="83"/>
      <c r="B12" s="23" t="s">
        <v>25</v>
      </c>
      <c r="C12" s="92">
        <v>567252</v>
      </c>
      <c r="D12" s="92">
        <v>585191</v>
      </c>
      <c r="E12" s="94">
        <v>1268.3</v>
      </c>
      <c r="F12" s="499">
        <v>1101.2</v>
      </c>
      <c r="G12" s="499">
        <v>1140.5999999999999</v>
      </c>
      <c r="H12" s="499">
        <v>1119.5</v>
      </c>
      <c r="I12" s="499">
        <v>1332</v>
      </c>
      <c r="J12" s="499">
        <v>1105.2</v>
      </c>
      <c r="K12" s="499">
        <v>1046.3</v>
      </c>
      <c r="L12" s="499">
        <v>1056.4000000000001</v>
      </c>
      <c r="M12" s="499">
        <v>1052.4000000000001</v>
      </c>
      <c r="N12" s="499">
        <v>899.9</v>
      </c>
      <c r="O12" s="499">
        <v>839.4</v>
      </c>
      <c r="P12" s="499">
        <v>901.6</v>
      </c>
      <c r="Q12" s="499">
        <v>870.49435550894657</v>
      </c>
      <c r="R12" s="499">
        <v>887.06700000000001</v>
      </c>
      <c r="S12" s="499">
        <v>890.39700000000005</v>
      </c>
      <c r="T12" s="499">
        <v>887.31</v>
      </c>
      <c r="U12" s="936"/>
    </row>
    <row r="13" spans="1:21" ht="14" customHeight="1">
      <c r="A13" s="83"/>
      <c r="B13" s="23" t="s">
        <v>29</v>
      </c>
      <c r="C13" s="92">
        <v>201868</v>
      </c>
      <c r="D13" s="92">
        <v>203000</v>
      </c>
      <c r="E13" s="94">
        <v>953.6</v>
      </c>
      <c r="F13" s="499">
        <v>1008.2</v>
      </c>
      <c r="G13" s="499">
        <v>1200</v>
      </c>
      <c r="H13" s="499">
        <v>1106.3</v>
      </c>
      <c r="I13" s="499">
        <v>1374</v>
      </c>
      <c r="J13" s="499">
        <v>1137.4000000000001</v>
      </c>
      <c r="K13" s="499">
        <v>1379.9</v>
      </c>
      <c r="L13" s="499">
        <v>1389.7</v>
      </c>
      <c r="M13" s="499">
        <v>1423.3</v>
      </c>
      <c r="N13" s="499">
        <v>1471.6</v>
      </c>
      <c r="O13" s="499">
        <v>1521.5</v>
      </c>
      <c r="P13" s="499">
        <v>1530.41</v>
      </c>
      <c r="Q13" s="499">
        <v>1525.9685241560742</v>
      </c>
      <c r="R13" s="499">
        <v>1528.4110000000001</v>
      </c>
      <c r="S13" s="499">
        <v>1530.1890000000001</v>
      </c>
      <c r="T13" s="499">
        <v>1529.3</v>
      </c>
      <c r="U13" s="936"/>
    </row>
    <row r="14" spans="1:21" ht="14" customHeight="1">
      <c r="A14" s="83"/>
      <c r="B14" s="23" t="s">
        <v>30</v>
      </c>
      <c r="C14" s="92">
        <v>342051</v>
      </c>
      <c r="D14" s="92">
        <v>301166</v>
      </c>
      <c r="E14" s="94">
        <v>1705.7</v>
      </c>
      <c r="F14" s="499">
        <v>1714</v>
      </c>
      <c r="G14" s="499">
        <v>3250.5</v>
      </c>
      <c r="H14" s="499">
        <v>3013.8</v>
      </c>
      <c r="I14" s="499">
        <v>1713.1</v>
      </c>
      <c r="J14" s="499">
        <v>2863.5</v>
      </c>
      <c r="K14" s="499">
        <v>2620.6</v>
      </c>
      <c r="L14" s="499">
        <v>2619.9</v>
      </c>
      <c r="M14" s="499">
        <v>2620.1999999999998</v>
      </c>
      <c r="N14" s="499">
        <v>2630.2</v>
      </c>
      <c r="O14" s="499">
        <v>2640.3</v>
      </c>
      <c r="P14" s="499">
        <v>2625.38</v>
      </c>
      <c r="Q14" s="499">
        <v>2632.8578200685606</v>
      </c>
      <c r="R14" s="499">
        <v>2629.0329999999999</v>
      </c>
      <c r="S14" s="499">
        <v>2640.982</v>
      </c>
      <c r="T14" s="499">
        <v>2635.01</v>
      </c>
      <c r="U14" s="936"/>
    </row>
    <row r="15" spans="1:21" ht="14" customHeight="1">
      <c r="A15" s="83"/>
      <c r="B15" s="23" t="s">
        <v>31</v>
      </c>
      <c r="C15" s="92">
        <v>263480</v>
      </c>
      <c r="D15" s="92">
        <v>258000</v>
      </c>
      <c r="E15" s="94">
        <v>36554</v>
      </c>
      <c r="F15" s="499">
        <v>42522.6</v>
      </c>
      <c r="G15" s="499">
        <v>43800.5</v>
      </c>
      <c r="H15" s="499">
        <v>41334.300000000003</v>
      </c>
      <c r="I15" s="499">
        <v>40320.1</v>
      </c>
      <c r="J15" s="499">
        <v>52827.199999999997</v>
      </c>
      <c r="K15" s="499">
        <v>50450.7</v>
      </c>
      <c r="L15" s="499">
        <v>51973.3</v>
      </c>
      <c r="M15" s="499">
        <v>56920.3</v>
      </c>
      <c r="N15" s="499">
        <v>60602.3</v>
      </c>
      <c r="O15" s="499">
        <v>58064.4</v>
      </c>
      <c r="P15" s="499">
        <v>60834.269</v>
      </c>
      <c r="Q15" s="499">
        <v>68879.429999999993</v>
      </c>
      <c r="R15" s="499">
        <v>78917.84</v>
      </c>
      <c r="S15" s="499">
        <v>90509.067999999999</v>
      </c>
      <c r="T15" s="499">
        <v>91713.45</v>
      </c>
      <c r="U15" s="936"/>
    </row>
    <row r="16" spans="1:21" ht="14" customHeight="1">
      <c r="A16" s="83"/>
      <c r="B16" s="23" t="s">
        <v>32</v>
      </c>
      <c r="C16" s="92">
        <v>36448</v>
      </c>
      <c r="D16" s="93">
        <v>36595</v>
      </c>
      <c r="E16" s="94">
        <v>7140.3</v>
      </c>
      <c r="F16" s="499">
        <v>8131</v>
      </c>
      <c r="G16" s="499">
        <v>10300</v>
      </c>
      <c r="H16" s="499">
        <v>10725.3</v>
      </c>
      <c r="I16" s="499">
        <v>11340.6</v>
      </c>
      <c r="J16" s="499">
        <v>9340.6</v>
      </c>
      <c r="K16" s="499">
        <v>10450.700000000001</v>
      </c>
      <c r="L16" s="499">
        <v>10901.9</v>
      </c>
      <c r="M16" s="499">
        <v>12536.8</v>
      </c>
      <c r="N16" s="499">
        <v>13527.8</v>
      </c>
      <c r="O16" s="499">
        <v>14767.1</v>
      </c>
      <c r="P16" s="499">
        <v>16492.388999999999</v>
      </c>
      <c r="Q16" s="499">
        <v>17467.343000000001</v>
      </c>
      <c r="R16" s="499">
        <v>16978.544999999998</v>
      </c>
      <c r="S16" s="499">
        <v>17230.945</v>
      </c>
      <c r="T16" s="499">
        <v>17612.89</v>
      </c>
      <c r="U16" s="936"/>
    </row>
    <row r="17" spans="1:21" ht="14" customHeight="1">
      <c r="A17" s="83"/>
      <c r="B17" s="23" t="s">
        <v>33</v>
      </c>
      <c r="C17" s="92">
        <v>269149</v>
      </c>
      <c r="D17" s="92">
        <v>293273</v>
      </c>
      <c r="E17" s="94">
        <v>1684</v>
      </c>
      <c r="F17" s="499">
        <v>1714.3</v>
      </c>
      <c r="G17" s="499">
        <v>1860</v>
      </c>
      <c r="H17" s="499">
        <v>1677.7</v>
      </c>
      <c r="I17" s="499">
        <v>1720.4</v>
      </c>
      <c r="J17" s="499">
        <v>1530.4</v>
      </c>
      <c r="K17" s="499">
        <v>1670.9</v>
      </c>
      <c r="L17" s="499">
        <v>1729.4</v>
      </c>
      <c r="M17" s="499">
        <v>1750.4</v>
      </c>
      <c r="N17" s="499">
        <v>1756.9</v>
      </c>
      <c r="O17" s="499">
        <v>1763.4</v>
      </c>
      <c r="P17" s="499">
        <v>1759.47</v>
      </c>
      <c r="Q17" s="499">
        <v>1761.4323791994834</v>
      </c>
      <c r="R17" s="499">
        <v>1750.45</v>
      </c>
      <c r="S17" s="499">
        <v>1758.941</v>
      </c>
      <c r="T17" s="499">
        <v>1754.7</v>
      </c>
      <c r="U17" s="936"/>
    </row>
    <row r="18" spans="1:21" ht="14" customHeight="1">
      <c r="A18" s="83"/>
      <c r="B18" s="23" t="s">
        <v>34</v>
      </c>
      <c r="C18" s="92">
        <v>101588</v>
      </c>
      <c r="D18" s="92">
        <v>124095</v>
      </c>
      <c r="E18" s="94">
        <v>105.4</v>
      </c>
      <c r="F18" s="499">
        <v>105.8</v>
      </c>
      <c r="G18" s="499">
        <v>106.8</v>
      </c>
      <c r="H18" s="499">
        <v>109.7</v>
      </c>
      <c r="I18" s="499">
        <v>110.8</v>
      </c>
      <c r="J18" s="499">
        <v>120.1</v>
      </c>
      <c r="K18" s="499">
        <v>130.5</v>
      </c>
      <c r="L18" s="499">
        <v>135</v>
      </c>
      <c r="M18" s="499">
        <v>136.5</v>
      </c>
      <c r="N18" s="499">
        <v>139</v>
      </c>
      <c r="O18" s="499">
        <v>141.5</v>
      </c>
      <c r="P18" s="499">
        <v>138.26</v>
      </c>
      <c r="Q18" s="499">
        <v>139.89484891683898</v>
      </c>
      <c r="R18" s="499">
        <v>140.55799999999999</v>
      </c>
      <c r="S18" s="499">
        <v>139.084</v>
      </c>
      <c r="T18" s="499">
        <v>139.82</v>
      </c>
      <c r="U18" s="936"/>
    </row>
    <row r="19" spans="1:21" ht="14" customHeight="1">
      <c r="A19" s="83"/>
      <c r="B19" s="23" t="s">
        <v>35</v>
      </c>
      <c r="C19" s="92">
        <v>222660</v>
      </c>
      <c r="D19" s="92">
        <v>221770</v>
      </c>
      <c r="E19" s="94">
        <v>4850.1000000000004</v>
      </c>
      <c r="F19" s="499">
        <v>3311.1</v>
      </c>
      <c r="G19" s="499">
        <v>3600</v>
      </c>
      <c r="H19" s="499">
        <v>3198.5</v>
      </c>
      <c r="I19" s="499">
        <v>3510.8</v>
      </c>
      <c r="J19" s="499">
        <v>2939.4</v>
      </c>
      <c r="K19" s="499">
        <v>3450.3</v>
      </c>
      <c r="L19" s="499">
        <v>3588.3</v>
      </c>
      <c r="M19" s="499">
        <v>3650.4</v>
      </c>
      <c r="N19" s="499">
        <v>3563</v>
      </c>
      <c r="O19" s="499">
        <v>3554.4</v>
      </c>
      <c r="P19" s="499">
        <v>3570.42</v>
      </c>
      <c r="Q19" s="499">
        <v>3562.4228048760174</v>
      </c>
      <c r="R19" s="499">
        <v>2567.4549999999999</v>
      </c>
      <c r="S19" s="499">
        <v>2568.9430000000002</v>
      </c>
      <c r="T19" s="499">
        <v>2568.1999999999998</v>
      </c>
      <c r="U19" s="936"/>
    </row>
    <row r="20" spans="1:21" ht="14" customHeight="1">
      <c r="A20" s="83"/>
      <c r="B20" s="23" t="s">
        <v>36</v>
      </c>
      <c r="C20" s="92">
        <v>190580</v>
      </c>
      <c r="D20" s="92">
        <v>192967</v>
      </c>
      <c r="E20" s="94">
        <v>416.7</v>
      </c>
      <c r="F20" s="499">
        <v>409.9</v>
      </c>
      <c r="G20" s="499">
        <v>422.5</v>
      </c>
      <c r="H20" s="499">
        <v>421.2</v>
      </c>
      <c r="I20" s="499">
        <v>401.2</v>
      </c>
      <c r="J20" s="499">
        <v>390.2</v>
      </c>
      <c r="K20" s="499">
        <v>392.1</v>
      </c>
      <c r="L20" s="499">
        <v>405.8</v>
      </c>
      <c r="M20" s="499">
        <v>355.3</v>
      </c>
      <c r="N20" s="499">
        <v>384.4</v>
      </c>
      <c r="O20" s="499">
        <v>392.9</v>
      </c>
      <c r="P20" s="499">
        <v>385.19</v>
      </c>
      <c r="Q20" s="499">
        <v>389.03308315432128</v>
      </c>
      <c r="R20" s="499">
        <v>387.42500000000001</v>
      </c>
      <c r="S20" s="499">
        <v>388.64699999999999</v>
      </c>
      <c r="T20" s="499">
        <v>388.04</v>
      </c>
      <c r="U20" s="936"/>
    </row>
    <row r="21" spans="1:21" ht="14" customHeight="1">
      <c r="A21" s="83"/>
      <c r="B21" s="23" t="s">
        <v>37</v>
      </c>
      <c r="C21" s="92">
        <v>268845</v>
      </c>
      <c r="D21" s="92">
        <v>263905</v>
      </c>
      <c r="E21" s="94">
        <v>31940.400000000001</v>
      </c>
      <c r="F21" s="499">
        <v>33050.300000000003</v>
      </c>
      <c r="G21" s="499">
        <v>32220.400000000001</v>
      </c>
      <c r="H21" s="499">
        <v>27076.7</v>
      </c>
      <c r="I21" s="499">
        <v>23026.5</v>
      </c>
      <c r="J21" s="499">
        <v>20835.8</v>
      </c>
      <c r="K21" s="499">
        <v>19743.400000000001</v>
      </c>
      <c r="L21" s="499">
        <v>19475.900000000001</v>
      </c>
      <c r="M21" s="499">
        <v>18079.400000000001</v>
      </c>
      <c r="N21" s="499">
        <v>18854.599999999999</v>
      </c>
      <c r="O21" s="499">
        <v>19046.599999999999</v>
      </c>
      <c r="P21" s="499">
        <v>19470.309000000001</v>
      </c>
      <c r="Q21" s="499">
        <v>17146.598000000002</v>
      </c>
      <c r="R21" s="499">
        <v>18305.432000000001</v>
      </c>
      <c r="S21" s="499">
        <v>19026.567999999999</v>
      </c>
      <c r="T21" s="499">
        <v>18320</v>
      </c>
      <c r="U21" s="936"/>
    </row>
    <row r="22" spans="1:21" ht="14" customHeight="1">
      <c r="A22" s="83"/>
      <c r="B22" s="23" t="s">
        <v>38</v>
      </c>
      <c r="C22" s="92">
        <v>31022</v>
      </c>
      <c r="D22" s="92">
        <v>30221</v>
      </c>
      <c r="E22" s="94">
        <v>103.1</v>
      </c>
      <c r="F22" s="499">
        <v>110.2</v>
      </c>
      <c r="G22" s="499">
        <v>120.3</v>
      </c>
      <c r="H22" s="499">
        <v>112.6</v>
      </c>
      <c r="I22" s="499">
        <v>105.9</v>
      </c>
      <c r="J22" s="499">
        <v>104.2</v>
      </c>
      <c r="K22" s="499">
        <v>110.5</v>
      </c>
      <c r="L22" s="499">
        <v>34.4</v>
      </c>
      <c r="M22" s="499">
        <v>50.1</v>
      </c>
      <c r="N22" s="499">
        <v>55</v>
      </c>
      <c r="O22" s="499">
        <v>60.3</v>
      </c>
      <c r="P22" s="499">
        <v>59.765000000000001</v>
      </c>
      <c r="Q22" s="499">
        <v>60.03384961813795</v>
      </c>
      <c r="R22" s="499">
        <v>59.84</v>
      </c>
      <c r="S22" s="499">
        <v>60.646999999999998</v>
      </c>
      <c r="T22" s="499">
        <v>60.24</v>
      </c>
      <c r="U22" s="936"/>
    </row>
    <row r="23" spans="1:21" ht="14" customHeight="1">
      <c r="A23" s="83"/>
      <c r="B23" s="23" t="s">
        <v>39</v>
      </c>
      <c r="C23" s="92">
        <v>29706</v>
      </c>
      <c r="D23" s="92">
        <v>29250</v>
      </c>
      <c r="E23" s="94">
        <v>607</v>
      </c>
      <c r="F23" s="499">
        <v>665.7</v>
      </c>
      <c r="G23" s="499">
        <v>690</v>
      </c>
      <c r="H23" s="499">
        <v>730</v>
      </c>
      <c r="I23" s="499">
        <v>822</v>
      </c>
      <c r="J23" s="499">
        <v>905</v>
      </c>
      <c r="K23" s="499">
        <v>851</v>
      </c>
      <c r="L23" s="499">
        <v>883.5</v>
      </c>
      <c r="M23" s="499">
        <v>1118</v>
      </c>
      <c r="N23" s="499">
        <v>1150.8</v>
      </c>
      <c r="O23" s="499">
        <v>1184.5999999999999</v>
      </c>
      <c r="P23" s="499">
        <v>1185.4449999999999</v>
      </c>
      <c r="Q23" s="499">
        <v>1185.0379566686506</v>
      </c>
      <c r="R23" s="499">
        <v>1184.8979999999999</v>
      </c>
      <c r="S23" s="499">
        <v>1190.6780000000001</v>
      </c>
      <c r="T23" s="499">
        <v>1187.79</v>
      </c>
      <c r="U23" s="936"/>
    </row>
    <row r="24" spans="1:21" ht="14" customHeight="1">
      <c r="A24" s="83"/>
      <c r="B24" s="23" t="s">
        <v>40</v>
      </c>
      <c r="C24" s="92">
        <v>445510</v>
      </c>
      <c r="D24" s="92">
        <v>402448</v>
      </c>
      <c r="E24" s="94">
        <v>596.1</v>
      </c>
      <c r="F24" s="499">
        <v>553.4</v>
      </c>
      <c r="G24" s="499">
        <v>650.20000000000005</v>
      </c>
      <c r="H24" s="499">
        <v>509.1</v>
      </c>
      <c r="I24" s="499">
        <v>610.1</v>
      </c>
      <c r="J24" s="499">
        <v>720.1</v>
      </c>
      <c r="K24" s="499">
        <v>750.5</v>
      </c>
      <c r="L24" s="499">
        <v>820.4</v>
      </c>
      <c r="M24" s="499">
        <v>850.1</v>
      </c>
      <c r="N24" s="499">
        <v>847</v>
      </c>
      <c r="O24" s="499">
        <v>843.9</v>
      </c>
      <c r="P24" s="499">
        <v>485.12</v>
      </c>
      <c r="Q24" s="499">
        <v>664.51068873439908</v>
      </c>
      <c r="R24" s="499">
        <v>570.44100000000003</v>
      </c>
      <c r="S24" s="499">
        <v>580.69100000000003</v>
      </c>
      <c r="T24" s="499">
        <v>575.57000000000005</v>
      </c>
      <c r="U24" s="936"/>
    </row>
    <row r="25" spans="1:21" ht="14" customHeight="1">
      <c r="A25" s="83"/>
      <c r="B25" s="23" t="s">
        <v>41</v>
      </c>
      <c r="C25" s="92">
        <v>323150</v>
      </c>
      <c r="D25" s="92">
        <v>324950</v>
      </c>
      <c r="E25" s="94">
        <v>578.1</v>
      </c>
      <c r="F25" s="499">
        <v>580.6</v>
      </c>
      <c r="G25" s="499">
        <v>599.29999999999995</v>
      </c>
      <c r="H25" s="499">
        <v>559.6</v>
      </c>
      <c r="I25" s="499">
        <v>531.4</v>
      </c>
      <c r="J25" s="499">
        <v>546.5</v>
      </c>
      <c r="K25" s="499">
        <v>302.7</v>
      </c>
      <c r="L25" s="499">
        <v>311.8</v>
      </c>
      <c r="M25" s="499">
        <v>319.8</v>
      </c>
      <c r="N25" s="499">
        <v>311.39999999999998</v>
      </c>
      <c r="O25" s="499">
        <v>307.60000000000002</v>
      </c>
      <c r="P25" s="499">
        <v>311.85000000000002</v>
      </c>
      <c r="Q25" s="499">
        <v>309.73932239590681</v>
      </c>
      <c r="R25" s="499">
        <v>305.02</v>
      </c>
      <c r="S25" s="499">
        <v>307.09899999999999</v>
      </c>
      <c r="T25" s="499">
        <v>306.06</v>
      </c>
      <c r="U25" s="936"/>
    </row>
    <row r="26" spans="1:21" ht="14" customHeight="1">
      <c r="A26" s="83"/>
      <c r="B26" s="23" t="s">
        <v>44</v>
      </c>
      <c r="C26" s="92">
        <v>511848</v>
      </c>
      <c r="D26" s="92">
        <v>513739</v>
      </c>
      <c r="E26" s="94">
        <v>900</v>
      </c>
      <c r="F26" s="499">
        <v>1200</v>
      </c>
      <c r="G26" s="499">
        <v>1620</v>
      </c>
      <c r="H26" s="499">
        <v>1241.5</v>
      </c>
      <c r="I26" s="499">
        <v>933</v>
      </c>
      <c r="J26" s="499">
        <v>910.3</v>
      </c>
      <c r="K26" s="499">
        <v>950.5</v>
      </c>
      <c r="L26" s="499">
        <v>1120.5</v>
      </c>
      <c r="M26" s="499">
        <v>1240.7</v>
      </c>
      <c r="N26" s="499">
        <v>1203.9000000000001</v>
      </c>
      <c r="O26" s="499">
        <v>1192.2</v>
      </c>
      <c r="P26" s="499">
        <v>1210.308</v>
      </c>
      <c r="Q26" s="499">
        <v>1201.2785652255218</v>
      </c>
      <c r="R26" s="499">
        <v>1205.779</v>
      </c>
      <c r="S26" s="499">
        <v>1202.6949999999999</v>
      </c>
      <c r="T26" s="499">
        <v>1204.24</v>
      </c>
      <c r="U26" s="936"/>
    </row>
    <row r="27" spans="1:21" ht="14" customHeight="1">
      <c r="A27" s="83"/>
      <c r="B27" s="23" t="s">
        <v>45</v>
      </c>
      <c r="C27" s="92">
        <v>608200</v>
      </c>
      <c r="D27" s="92">
        <v>617340</v>
      </c>
      <c r="E27" s="94">
        <v>1809.9</v>
      </c>
      <c r="F27" s="499">
        <v>1897.2</v>
      </c>
      <c r="G27" s="499">
        <v>1889.1</v>
      </c>
      <c r="H27" s="499">
        <v>1926.1</v>
      </c>
      <c r="I27" s="499">
        <v>1941.2</v>
      </c>
      <c r="J27" s="499">
        <v>1949</v>
      </c>
      <c r="K27" s="499">
        <v>2010.5</v>
      </c>
      <c r="L27" s="499">
        <v>1856.3</v>
      </c>
      <c r="M27" s="499">
        <v>1856.3</v>
      </c>
      <c r="N27" s="499">
        <v>1726.6</v>
      </c>
      <c r="O27" s="499">
        <v>1727.2</v>
      </c>
      <c r="P27" s="499">
        <v>1687.22</v>
      </c>
      <c r="Q27" s="499">
        <v>1698.7650000000001</v>
      </c>
      <c r="R27" s="499">
        <v>1699.105</v>
      </c>
      <c r="S27" s="499">
        <v>1597.4749999999999</v>
      </c>
      <c r="T27" s="499">
        <v>1584.99</v>
      </c>
      <c r="U27" s="936"/>
    </row>
    <row r="28" spans="1:21" ht="14" customHeight="1">
      <c r="A28" s="83"/>
      <c r="B28" s="82" t="s">
        <v>46</v>
      </c>
      <c r="C28" s="92">
        <v>128598</v>
      </c>
      <c r="D28" s="92">
        <v>135292</v>
      </c>
      <c r="E28" s="94">
        <v>2599.1999999999998</v>
      </c>
      <c r="F28" s="499">
        <v>2832</v>
      </c>
      <c r="G28" s="499">
        <v>3250</v>
      </c>
      <c r="H28" s="499">
        <v>3283.9</v>
      </c>
      <c r="I28" s="499">
        <v>4114.3999999999996</v>
      </c>
      <c r="J28" s="499">
        <v>3905.1</v>
      </c>
      <c r="K28" s="499">
        <v>4025.1</v>
      </c>
      <c r="L28" s="499">
        <v>4186.1000000000004</v>
      </c>
      <c r="M28" s="499">
        <v>4250.3</v>
      </c>
      <c r="N28" s="499">
        <v>4366</v>
      </c>
      <c r="O28" s="499">
        <v>4484.8999999999996</v>
      </c>
      <c r="P28" s="499">
        <v>4589.0439999999999</v>
      </c>
      <c r="Q28" s="499">
        <v>4536.9660076089558</v>
      </c>
      <c r="R28" s="499">
        <v>4565.2129999999997</v>
      </c>
      <c r="S28" s="499">
        <v>4751.6319999999996</v>
      </c>
      <c r="T28" s="499">
        <v>4758.42</v>
      </c>
      <c r="U28" s="936"/>
    </row>
    <row r="29" spans="1:21" ht="14" customHeight="1">
      <c r="A29" s="83"/>
      <c r="B29" s="23" t="s">
        <v>47</v>
      </c>
      <c r="C29" s="92">
        <v>31586</v>
      </c>
      <c r="D29" s="92">
        <v>31586</v>
      </c>
      <c r="E29" s="94">
        <v>1021.9</v>
      </c>
      <c r="F29" s="499">
        <v>2050.9</v>
      </c>
      <c r="G29" s="499">
        <v>2101.4</v>
      </c>
      <c r="H29" s="499">
        <v>3002.1</v>
      </c>
      <c r="I29" s="499">
        <v>3750</v>
      </c>
      <c r="J29" s="499">
        <v>3978.1</v>
      </c>
      <c r="K29" s="499">
        <v>3196.7</v>
      </c>
      <c r="L29" s="499">
        <v>3750</v>
      </c>
      <c r="M29" s="499">
        <v>3820</v>
      </c>
      <c r="N29" s="499">
        <v>3985.9</v>
      </c>
      <c r="O29" s="499">
        <v>4159</v>
      </c>
      <c r="P29" s="499">
        <v>4208.0739999999996</v>
      </c>
      <c r="Q29" s="499">
        <v>4183.5262452915031</v>
      </c>
      <c r="R29" s="499">
        <v>4190.2539999999999</v>
      </c>
      <c r="S29" s="499">
        <v>4190.2539999999999</v>
      </c>
      <c r="T29" s="499">
        <v>4190.25</v>
      </c>
      <c r="U29" s="936"/>
    </row>
    <row r="30" spans="1:21" ht="14" customHeight="1">
      <c r="A30" s="83"/>
      <c r="B30" s="23" t="s">
        <v>48</v>
      </c>
      <c r="C30" s="92">
        <v>44500</v>
      </c>
      <c r="D30" s="92">
        <v>41400</v>
      </c>
      <c r="E30" s="94">
        <v>3412.3</v>
      </c>
      <c r="F30" s="499">
        <v>6312.2</v>
      </c>
      <c r="G30" s="499">
        <v>6500.6</v>
      </c>
      <c r="H30" s="499">
        <v>6396.5</v>
      </c>
      <c r="I30" s="499">
        <v>5940.2</v>
      </c>
      <c r="J30" s="499">
        <v>5568.3</v>
      </c>
      <c r="K30" s="499">
        <v>5846.1</v>
      </c>
      <c r="L30" s="499">
        <v>5254.6</v>
      </c>
      <c r="M30" s="499">
        <v>5833.5</v>
      </c>
      <c r="N30" s="499">
        <v>5944.7</v>
      </c>
      <c r="O30" s="499">
        <v>6058</v>
      </c>
      <c r="P30" s="499">
        <v>6147.06</v>
      </c>
      <c r="Q30" s="499">
        <v>6002.5494294133805</v>
      </c>
      <c r="R30" s="499">
        <v>6024.5870000000004</v>
      </c>
      <c r="S30" s="499">
        <v>6213.5680000000002</v>
      </c>
      <c r="T30" s="499">
        <v>6119.08</v>
      </c>
      <c r="U30" s="936"/>
    </row>
    <row r="31" spans="1:21" ht="14" customHeight="1">
      <c r="A31" s="83"/>
      <c r="B31" s="23" t="s">
        <v>49</v>
      </c>
      <c r="C31" s="92">
        <v>44200</v>
      </c>
      <c r="D31" s="92">
        <v>45228</v>
      </c>
      <c r="E31" s="94">
        <v>304.39999999999998</v>
      </c>
      <c r="F31" s="499">
        <v>307.39999999999998</v>
      </c>
      <c r="G31" s="499">
        <v>316.89999999999998</v>
      </c>
      <c r="H31" s="499">
        <v>300.10000000000002</v>
      </c>
      <c r="I31" s="499">
        <v>438.5</v>
      </c>
      <c r="J31" s="499">
        <v>391</v>
      </c>
      <c r="K31" s="499">
        <v>454.1</v>
      </c>
      <c r="L31" s="499">
        <v>453</v>
      </c>
      <c r="M31" s="499">
        <v>490.9</v>
      </c>
      <c r="N31" s="499">
        <v>486</v>
      </c>
      <c r="O31" s="499">
        <v>486</v>
      </c>
      <c r="P31" s="499">
        <v>487.12</v>
      </c>
      <c r="Q31" s="499">
        <v>486.54815865299315</v>
      </c>
      <c r="R31" s="499">
        <v>485.4511</v>
      </c>
      <c r="S31" s="499">
        <v>489.69400000000002</v>
      </c>
      <c r="T31" s="499">
        <v>487.57</v>
      </c>
      <c r="U31" s="936"/>
    </row>
    <row r="32" spans="1:21" ht="2" customHeight="1" thickBot="1">
      <c r="A32" s="8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872"/>
      <c r="Q32" s="872"/>
      <c r="R32" s="872"/>
      <c r="S32" s="872"/>
      <c r="T32" s="872">
        <v>0</v>
      </c>
      <c r="U32" s="936"/>
    </row>
    <row r="33" spans="1:20" ht="9" customHeight="1">
      <c r="A33" s="778" t="s">
        <v>402</v>
      </c>
      <c r="B33" s="780"/>
      <c r="C33" s="803"/>
      <c r="D33" s="803"/>
      <c r="E33" s="803"/>
      <c r="F33" s="803"/>
      <c r="G33" s="803"/>
      <c r="H33" s="803"/>
      <c r="I33" s="218"/>
      <c r="J33" s="218"/>
      <c r="K33" s="218"/>
      <c r="L33" s="38"/>
      <c r="M33" s="38"/>
      <c r="N33" s="38"/>
      <c r="O33" s="38"/>
      <c r="P33" s="38"/>
      <c r="Q33" s="38"/>
      <c r="R33" s="446"/>
      <c r="S33" s="446"/>
      <c r="T33" s="446"/>
    </row>
    <row r="34" spans="1:20" ht="9" customHeight="1">
      <c r="A34" s="778" t="s">
        <v>359</v>
      </c>
      <c r="B34" s="780"/>
      <c r="C34" s="803"/>
      <c r="D34" s="803"/>
      <c r="E34" s="803"/>
      <c r="F34" s="803"/>
      <c r="G34" s="803"/>
      <c r="H34" s="804"/>
      <c r="I34" s="225"/>
      <c r="J34" s="225"/>
      <c r="K34" s="225"/>
      <c r="L34" s="84"/>
      <c r="M34" s="84"/>
      <c r="N34" s="84"/>
      <c r="O34" s="84"/>
      <c r="P34" s="84"/>
      <c r="Q34" s="84"/>
      <c r="R34" s="446"/>
      <c r="S34" s="446"/>
      <c r="T34" s="446"/>
    </row>
    <row r="35" spans="1:20" ht="9" customHeight="1">
      <c r="A35" s="780" t="s">
        <v>358</v>
      </c>
      <c r="B35" s="788"/>
      <c r="C35" s="803"/>
      <c r="D35" s="803"/>
      <c r="E35" s="803"/>
      <c r="F35" s="803"/>
      <c r="G35" s="803"/>
      <c r="H35" s="804"/>
      <c r="I35" s="225"/>
      <c r="J35" s="225"/>
      <c r="K35" s="225"/>
      <c r="L35" s="84"/>
      <c r="M35" s="84"/>
      <c r="N35" s="84"/>
      <c r="O35" s="84"/>
      <c r="P35" s="84"/>
      <c r="Q35" s="84"/>
      <c r="R35" s="446"/>
      <c r="S35" s="446"/>
      <c r="T35" s="446"/>
    </row>
    <row r="36" spans="1:20" ht="13.25" customHeight="1">
      <c r="T36" s="44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Hoja130">
    <tabColor theme="9" tint="0.59999389629810485"/>
  </sheetPr>
  <dimension ref="A2:Y35"/>
  <sheetViews>
    <sheetView showGridLines="0" topLeftCell="F1" zoomScaleNormal="100" workbookViewId="0">
      <selection activeCell="U62" sqref="U62"/>
    </sheetView>
  </sheetViews>
  <sheetFormatPr baseColWidth="10" defaultColWidth="7" defaultRowHeight="13.25" customHeight="1"/>
  <cols>
    <col min="1" max="1" width="1.796875" style="82" customWidth="1"/>
    <col min="2" max="2" width="10.3984375" style="82" customWidth="1"/>
    <col min="3" max="5" width="8" style="82" hidden="1" customWidth="1"/>
    <col min="6" max="20" width="8.3984375" style="82" customWidth="1"/>
    <col min="21" max="16384" width="7" style="82"/>
  </cols>
  <sheetData>
    <row r="2" spans="1:25" ht="15" customHeight="1">
      <c r="A2" s="230" t="s">
        <v>597</v>
      </c>
      <c r="B2" s="231"/>
      <c r="C2" s="231"/>
      <c r="D2" s="231"/>
      <c r="E2" s="231"/>
      <c r="F2" s="231"/>
    </row>
    <row r="3" spans="1:25" ht="13.25" customHeight="1">
      <c r="A3" s="443" t="s">
        <v>321</v>
      </c>
      <c r="B3" s="231"/>
      <c r="C3" s="231"/>
      <c r="D3" s="231"/>
      <c r="E3" s="231"/>
      <c r="F3" s="231"/>
    </row>
    <row r="4" spans="1:25" ht="4.2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5" ht="15" customHeight="1">
      <c r="A5" s="962" t="s">
        <v>18</v>
      </c>
      <c r="B5" s="962"/>
      <c r="C5" s="562">
        <v>2005</v>
      </c>
      <c r="D5" s="562">
        <v>2006</v>
      </c>
      <c r="E5" s="562">
        <v>2007</v>
      </c>
      <c r="F5" s="562">
        <v>2008</v>
      </c>
      <c r="G5" s="562">
        <v>2009</v>
      </c>
      <c r="H5" s="562">
        <v>2010</v>
      </c>
      <c r="I5" s="562">
        <v>2011</v>
      </c>
      <c r="J5" s="562">
        <v>2012</v>
      </c>
      <c r="K5" s="562">
        <v>2013</v>
      </c>
      <c r="L5" s="562">
        <v>2014</v>
      </c>
      <c r="M5" s="562">
        <v>2015</v>
      </c>
      <c r="N5" s="562">
        <v>2016</v>
      </c>
      <c r="O5" s="562">
        <v>2017</v>
      </c>
      <c r="P5" s="562" t="s">
        <v>197</v>
      </c>
      <c r="Q5" s="562" t="s">
        <v>348</v>
      </c>
      <c r="R5" s="562">
        <v>2020</v>
      </c>
      <c r="S5" s="562">
        <v>2021</v>
      </c>
      <c r="T5" s="562" t="s">
        <v>477</v>
      </c>
    </row>
    <row r="6" spans="1:25" ht="15" customHeight="1">
      <c r="A6" s="1002" t="s">
        <v>96</v>
      </c>
      <c r="B6" s="1002"/>
      <c r="C6" s="764">
        <f>(C8+C9+C10+C11+C12+C13+C14+C15+C16+C17+C18+C19+C20+C21+C22+C23+C24+C25+C26+C27+C28+C29+C30+C31)</f>
        <v>1074578</v>
      </c>
      <c r="D6" s="764">
        <f>(D8+D9+D10+D11+D12+D13+D14+D15+D16+D17+D18+D19+D20+D21+D22+D23+D24+D25+D26+D27+D28+D29+D30+D31)</f>
        <v>1127320</v>
      </c>
      <c r="E6" s="765">
        <v>394749.6</v>
      </c>
      <c r="F6" s="767">
        <v>435909.3</v>
      </c>
      <c r="G6" s="767">
        <v>476340.3</v>
      </c>
      <c r="H6" s="767">
        <v>504986.8</v>
      </c>
      <c r="I6" s="767">
        <v>535421.1</v>
      </c>
      <c r="J6" s="767">
        <v>575566.4</v>
      </c>
      <c r="K6" s="767">
        <v>594004.19999999995</v>
      </c>
      <c r="L6" s="767">
        <v>621140.1</v>
      </c>
      <c r="M6" s="767">
        <v>645016.19999999995</v>
      </c>
      <c r="N6" s="767">
        <v>690892.3</v>
      </c>
      <c r="O6" s="767">
        <v>707599.5</v>
      </c>
      <c r="P6" s="767">
        <v>755841.1</v>
      </c>
      <c r="Q6" s="767">
        <f>SUM(Q8:Q31)</f>
        <v>786256.91599999997</v>
      </c>
      <c r="R6" s="767">
        <f>SUM(R8:R31)</f>
        <v>753602.33800000011</v>
      </c>
      <c r="S6" s="767">
        <f>SUM(S8:S31)</f>
        <v>776250.19400000037</v>
      </c>
      <c r="T6" s="767">
        <f>SUM(T8:T31)</f>
        <v>803595.89899999974</v>
      </c>
    </row>
    <row r="7" spans="1:25" ht="4.25" customHeight="1">
      <c r="A7" s="83"/>
      <c r="B7" s="84"/>
      <c r="C7" s="91"/>
      <c r="D7" s="91"/>
      <c r="E7" s="91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</row>
    <row r="8" spans="1:25" ht="14" customHeight="1">
      <c r="A8" s="83"/>
      <c r="B8" s="23" t="s">
        <v>21</v>
      </c>
      <c r="C8" s="92">
        <v>2573</v>
      </c>
      <c r="D8" s="92">
        <v>2418</v>
      </c>
      <c r="E8" s="94">
        <v>53.9</v>
      </c>
      <c r="F8" s="499">
        <v>59.4</v>
      </c>
      <c r="G8" s="499">
        <v>60.1</v>
      </c>
      <c r="H8" s="499">
        <v>71.400000000000006</v>
      </c>
      <c r="I8" s="499">
        <v>72.900000000000006</v>
      </c>
      <c r="J8" s="499">
        <v>103.9</v>
      </c>
      <c r="K8" s="499">
        <v>76.8</v>
      </c>
      <c r="L8" s="499">
        <v>66</v>
      </c>
      <c r="M8" s="499">
        <v>163.30000000000001</v>
      </c>
      <c r="N8" s="499">
        <v>142.1</v>
      </c>
      <c r="O8" s="499">
        <v>71.900000000000006</v>
      </c>
      <c r="P8" s="499">
        <v>132.6</v>
      </c>
      <c r="Q8" s="499">
        <v>132.083</v>
      </c>
      <c r="R8" s="499">
        <v>100.949</v>
      </c>
      <c r="S8" s="499">
        <v>97.537000000000006</v>
      </c>
      <c r="T8" s="499">
        <v>94.257999999999996</v>
      </c>
      <c r="V8" s="936"/>
      <c r="W8" s="936"/>
      <c r="X8" s="936"/>
      <c r="Y8" s="936"/>
    </row>
    <row r="9" spans="1:25" ht="14" customHeight="1">
      <c r="A9" s="83"/>
      <c r="B9" s="23" t="s">
        <v>22</v>
      </c>
      <c r="C9" s="92">
        <v>67649</v>
      </c>
      <c r="D9" s="92">
        <v>70283</v>
      </c>
      <c r="E9" s="94">
        <v>5694.5</v>
      </c>
      <c r="F9" s="499">
        <v>5992.6</v>
      </c>
      <c r="G9" s="499">
        <v>6495.2</v>
      </c>
      <c r="H9" s="499">
        <v>7126.9</v>
      </c>
      <c r="I9" s="499">
        <v>8433.4</v>
      </c>
      <c r="J9" s="499">
        <v>10569.4</v>
      </c>
      <c r="K9" s="499">
        <v>12323.2</v>
      </c>
      <c r="L9" s="499">
        <v>11227.3</v>
      </c>
      <c r="M9" s="499">
        <v>13713.3</v>
      </c>
      <c r="N9" s="499">
        <v>14070.9</v>
      </c>
      <c r="O9" s="499">
        <v>13281.8</v>
      </c>
      <c r="P9" s="499">
        <v>14746</v>
      </c>
      <c r="Q9" s="499">
        <v>14783.876</v>
      </c>
      <c r="R9" s="499">
        <v>14541.834999999999</v>
      </c>
      <c r="S9" s="499">
        <v>14581.621999999999</v>
      </c>
      <c r="T9" s="499">
        <v>14666.978999999999</v>
      </c>
      <c r="V9" s="936"/>
      <c r="W9" s="936"/>
      <c r="X9" s="936"/>
      <c r="Y9" s="936"/>
    </row>
    <row r="10" spans="1:25" ht="14" customHeight="1">
      <c r="A10" s="83"/>
      <c r="B10" s="23" t="s">
        <v>23</v>
      </c>
      <c r="C10" s="92">
        <v>22582</v>
      </c>
      <c r="D10" s="92">
        <v>22280</v>
      </c>
      <c r="E10" s="94">
        <v>1394.2</v>
      </c>
      <c r="F10" s="499">
        <v>1540.2</v>
      </c>
      <c r="G10" s="499">
        <v>2237</v>
      </c>
      <c r="H10" s="499">
        <v>2265.5</v>
      </c>
      <c r="I10" s="499">
        <v>3242.1</v>
      </c>
      <c r="J10" s="499">
        <v>2619.4</v>
      </c>
      <c r="K10" s="499">
        <v>6292.4</v>
      </c>
      <c r="L10" s="499">
        <v>8131.7</v>
      </c>
      <c r="M10" s="499">
        <v>8612.7000000000007</v>
      </c>
      <c r="N10" s="499">
        <v>8462.4</v>
      </c>
      <c r="O10" s="499">
        <v>10413.799999999999</v>
      </c>
      <c r="P10" s="499">
        <v>11540</v>
      </c>
      <c r="Q10" s="499">
        <v>12079.397999999999</v>
      </c>
      <c r="R10" s="499">
        <v>11620.617</v>
      </c>
      <c r="S10" s="499">
        <v>11658.328</v>
      </c>
      <c r="T10" s="499">
        <v>12038.95</v>
      </c>
      <c r="V10" s="936"/>
      <c r="W10" s="936"/>
      <c r="X10" s="936"/>
      <c r="Y10" s="936"/>
    </row>
    <row r="11" spans="1:25" ht="14" customHeight="1">
      <c r="A11" s="83"/>
      <c r="B11" s="23" t="s">
        <v>24</v>
      </c>
      <c r="C11" s="92">
        <v>38590</v>
      </c>
      <c r="D11" s="92">
        <v>39984</v>
      </c>
      <c r="E11" s="94">
        <v>75265.7</v>
      </c>
      <c r="F11" s="499">
        <v>79000.800000000003</v>
      </c>
      <c r="G11" s="499">
        <v>89147</v>
      </c>
      <c r="H11" s="499">
        <v>98500.6</v>
      </c>
      <c r="I11" s="499">
        <v>104714.1</v>
      </c>
      <c r="J11" s="499">
        <v>111207.9</v>
      </c>
      <c r="K11" s="499">
        <v>116405.1</v>
      </c>
      <c r="L11" s="499">
        <v>116738.4</v>
      </c>
      <c r="M11" s="499">
        <v>124122.3</v>
      </c>
      <c r="N11" s="499">
        <v>126816.1</v>
      </c>
      <c r="O11" s="499">
        <v>123377.9</v>
      </c>
      <c r="P11" s="499">
        <v>134659.5</v>
      </c>
      <c r="Q11" s="499">
        <v>140698.99799999999</v>
      </c>
      <c r="R11" s="499">
        <v>137305.16200000001</v>
      </c>
      <c r="S11" s="499">
        <v>137652.736</v>
      </c>
      <c r="T11" s="499">
        <v>143372.46</v>
      </c>
      <c r="V11" s="936"/>
      <c r="W11" s="936"/>
      <c r="X11" s="936"/>
      <c r="Y11" s="936"/>
    </row>
    <row r="12" spans="1:25" ht="14" customHeight="1">
      <c r="A12" s="83"/>
      <c r="B12" s="23" t="s">
        <v>25</v>
      </c>
      <c r="C12" s="92">
        <v>137225</v>
      </c>
      <c r="D12" s="92">
        <v>159044</v>
      </c>
      <c r="E12" s="94">
        <v>1264.3</v>
      </c>
      <c r="F12" s="499">
        <v>1268</v>
      </c>
      <c r="G12" s="499">
        <v>1275.9000000000001</v>
      </c>
      <c r="H12" s="499">
        <v>1415.4</v>
      </c>
      <c r="I12" s="499">
        <v>1444.5</v>
      </c>
      <c r="J12" s="499">
        <v>1643.7</v>
      </c>
      <c r="K12" s="499">
        <v>1407</v>
      </c>
      <c r="L12" s="499">
        <v>1356.2</v>
      </c>
      <c r="M12" s="499">
        <v>1811.9</v>
      </c>
      <c r="N12" s="499">
        <v>1859</v>
      </c>
      <c r="O12" s="499">
        <v>1834</v>
      </c>
      <c r="P12" s="499">
        <v>1773.9</v>
      </c>
      <c r="Q12" s="499">
        <v>1768.8119999999999</v>
      </c>
      <c r="R12" s="499">
        <v>1742.874</v>
      </c>
      <c r="S12" s="499">
        <v>1734.0050000000001</v>
      </c>
      <c r="T12" s="499">
        <v>1684.1210000000001</v>
      </c>
      <c r="V12" s="936"/>
      <c r="W12" s="936"/>
      <c r="X12" s="936"/>
      <c r="Y12" s="936"/>
    </row>
    <row r="13" spans="1:25" ht="14" customHeight="1">
      <c r="A13" s="83"/>
      <c r="B13" s="23" t="s">
        <v>29</v>
      </c>
      <c r="C13" s="92">
        <v>38436</v>
      </c>
      <c r="D13" s="92">
        <v>41714</v>
      </c>
      <c r="E13" s="94">
        <v>269.89999999999998</v>
      </c>
      <c r="F13" s="499">
        <v>310.8</v>
      </c>
      <c r="G13" s="499">
        <v>305.89999999999998</v>
      </c>
      <c r="H13" s="499">
        <v>310.89999999999998</v>
      </c>
      <c r="I13" s="499">
        <v>275.60000000000002</v>
      </c>
      <c r="J13" s="499">
        <v>326.60000000000002</v>
      </c>
      <c r="K13" s="499">
        <v>305.8</v>
      </c>
      <c r="L13" s="499">
        <v>294.8</v>
      </c>
      <c r="M13" s="499">
        <v>301.10000000000002</v>
      </c>
      <c r="N13" s="499">
        <v>884.5</v>
      </c>
      <c r="O13" s="499">
        <v>102.8</v>
      </c>
      <c r="P13" s="499">
        <v>102.8</v>
      </c>
      <c r="Q13" s="499">
        <v>102.828</v>
      </c>
      <c r="R13" s="499">
        <v>394.488</v>
      </c>
      <c r="S13" s="499">
        <v>380.12599999999998</v>
      </c>
      <c r="T13" s="499">
        <v>373.99799999999999</v>
      </c>
      <c r="V13" s="936"/>
      <c r="W13" s="936"/>
      <c r="X13" s="936"/>
      <c r="Y13" s="936"/>
    </row>
    <row r="14" spans="1:25" ht="14" customHeight="1">
      <c r="A14" s="83"/>
      <c r="B14" s="23" t="s">
        <v>30</v>
      </c>
      <c r="C14" s="92">
        <v>50607</v>
      </c>
      <c r="D14" s="92">
        <v>52411</v>
      </c>
      <c r="E14" s="94">
        <v>10033.299999999999</v>
      </c>
      <c r="F14" s="499">
        <v>11008.9</v>
      </c>
      <c r="G14" s="499">
        <v>10220.1</v>
      </c>
      <c r="H14" s="499">
        <v>12573.7</v>
      </c>
      <c r="I14" s="499">
        <v>13805.1</v>
      </c>
      <c r="J14" s="499">
        <v>14802.6</v>
      </c>
      <c r="K14" s="499">
        <v>14804</v>
      </c>
      <c r="L14" s="499">
        <v>13774.9</v>
      </c>
      <c r="M14" s="499">
        <v>14757.6</v>
      </c>
      <c r="N14" s="499">
        <v>15171.8</v>
      </c>
      <c r="O14" s="499">
        <v>17683.2</v>
      </c>
      <c r="P14" s="499">
        <v>16441.599999999999</v>
      </c>
      <c r="Q14" s="499">
        <v>17185.742999999999</v>
      </c>
      <c r="R14" s="499">
        <v>16264.594999999999</v>
      </c>
      <c r="S14" s="499">
        <v>16434.268</v>
      </c>
      <c r="T14" s="499">
        <v>17448.955999999998</v>
      </c>
      <c r="V14" s="936"/>
      <c r="W14" s="936"/>
      <c r="X14" s="936"/>
      <c r="Y14" s="936"/>
    </row>
    <row r="15" spans="1:25" ht="14" customHeight="1">
      <c r="A15" s="83"/>
      <c r="B15" s="23" t="s">
        <v>31</v>
      </c>
      <c r="C15" s="92">
        <v>106742</v>
      </c>
      <c r="D15" s="92">
        <v>110598</v>
      </c>
      <c r="E15" s="94">
        <v>221965.9</v>
      </c>
      <c r="F15" s="499">
        <v>251298.8</v>
      </c>
      <c r="G15" s="499">
        <v>272814.90000000002</v>
      </c>
      <c r="H15" s="499">
        <v>286946.59999999998</v>
      </c>
      <c r="I15" s="499">
        <v>298027.2</v>
      </c>
      <c r="J15" s="499">
        <v>312563</v>
      </c>
      <c r="K15" s="499">
        <v>306514.2</v>
      </c>
      <c r="L15" s="499">
        <v>320636.2</v>
      </c>
      <c r="M15" s="499">
        <v>323489.09999999998</v>
      </c>
      <c r="N15" s="499">
        <v>360396.2</v>
      </c>
      <c r="O15" s="499">
        <v>377518.8</v>
      </c>
      <c r="P15" s="499">
        <v>399961.7</v>
      </c>
      <c r="Q15" s="499">
        <v>416797.80699999997</v>
      </c>
      <c r="R15" s="499">
        <v>392726.28399999999</v>
      </c>
      <c r="S15" s="499">
        <v>415539.95400000003</v>
      </c>
      <c r="T15" s="499">
        <v>432052.92800000001</v>
      </c>
      <c r="V15" s="936"/>
      <c r="W15" s="936"/>
      <c r="X15" s="936"/>
      <c r="Y15" s="936"/>
    </row>
    <row r="16" spans="1:25" ht="14" customHeight="1">
      <c r="A16" s="83"/>
      <c r="B16" s="23" t="s">
        <v>32</v>
      </c>
      <c r="C16" s="92">
        <v>7578</v>
      </c>
      <c r="D16" s="92">
        <v>7754</v>
      </c>
      <c r="E16" s="94">
        <v>15077</v>
      </c>
      <c r="F16" s="499">
        <v>16897.599999999999</v>
      </c>
      <c r="G16" s="499">
        <v>16261.4</v>
      </c>
      <c r="H16" s="499">
        <v>17184.8</v>
      </c>
      <c r="I16" s="499">
        <v>19736.099999999999</v>
      </c>
      <c r="J16" s="499">
        <v>24660.3</v>
      </c>
      <c r="K16" s="499">
        <v>26825.4</v>
      </c>
      <c r="L16" s="499">
        <v>33583.1</v>
      </c>
      <c r="M16" s="499">
        <v>31909.4</v>
      </c>
      <c r="N16" s="499">
        <v>34075.5</v>
      </c>
      <c r="O16" s="499">
        <v>34888.800000000003</v>
      </c>
      <c r="P16" s="499">
        <v>41472.300000000003</v>
      </c>
      <c r="Q16" s="499">
        <v>45451.22</v>
      </c>
      <c r="R16" s="499">
        <v>44486.451999999997</v>
      </c>
      <c r="S16" s="499">
        <v>43909.224000000002</v>
      </c>
      <c r="T16" s="499">
        <v>44320.106</v>
      </c>
      <c r="V16" s="936"/>
      <c r="W16" s="936"/>
      <c r="X16" s="936"/>
      <c r="Y16" s="936"/>
    </row>
    <row r="17" spans="1:25" ht="14" customHeight="1">
      <c r="A17" s="83"/>
      <c r="B17" s="23" t="s">
        <v>33</v>
      </c>
      <c r="C17" s="92">
        <v>59649</v>
      </c>
      <c r="D17" s="92">
        <v>63816</v>
      </c>
      <c r="E17" s="94">
        <v>516.20000000000005</v>
      </c>
      <c r="F17" s="499">
        <v>521</v>
      </c>
      <c r="G17" s="499">
        <v>522.5</v>
      </c>
      <c r="H17" s="499">
        <v>498</v>
      </c>
      <c r="I17" s="499">
        <v>520.29999999999995</v>
      </c>
      <c r="J17" s="499">
        <v>691.7</v>
      </c>
      <c r="K17" s="499">
        <v>857.1</v>
      </c>
      <c r="L17" s="499">
        <v>661.6</v>
      </c>
      <c r="M17" s="499">
        <v>860.9</v>
      </c>
      <c r="N17" s="499">
        <v>833.7</v>
      </c>
      <c r="O17" s="499">
        <v>638</v>
      </c>
      <c r="P17" s="499">
        <v>650.4</v>
      </c>
      <c r="Q17" s="499">
        <v>646.07000000000005</v>
      </c>
      <c r="R17" s="499">
        <v>635.67200000000003</v>
      </c>
      <c r="S17" s="499">
        <v>612.64300000000003</v>
      </c>
      <c r="T17" s="499">
        <v>614.19000000000005</v>
      </c>
      <c r="V17" s="936"/>
      <c r="W17" s="936"/>
      <c r="X17" s="936"/>
      <c r="Y17" s="936"/>
    </row>
    <row r="18" spans="1:25" ht="14" customHeight="1">
      <c r="A18" s="83"/>
      <c r="B18" s="23" t="s">
        <v>34</v>
      </c>
      <c r="C18" s="92">
        <v>24789</v>
      </c>
      <c r="D18" s="92">
        <v>21165</v>
      </c>
      <c r="E18" s="94">
        <v>176.5</v>
      </c>
      <c r="F18" s="499">
        <v>170.5</v>
      </c>
      <c r="G18" s="499">
        <v>126.6</v>
      </c>
      <c r="H18" s="499">
        <v>112.3</v>
      </c>
      <c r="I18" s="499">
        <v>372.7</v>
      </c>
      <c r="J18" s="499">
        <v>271.5</v>
      </c>
      <c r="K18" s="499">
        <v>456.5</v>
      </c>
      <c r="L18" s="499">
        <v>411.5</v>
      </c>
      <c r="M18" s="499">
        <v>542.5</v>
      </c>
      <c r="N18" s="499">
        <v>501.5</v>
      </c>
      <c r="O18" s="499">
        <v>205.6</v>
      </c>
      <c r="P18" s="499">
        <v>309</v>
      </c>
      <c r="Q18" s="499">
        <v>300.084</v>
      </c>
      <c r="R18" s="499">
        <v>293.30599999999998</v>
      </c>
      <c r="S18" s="499">
        <v>280.39</v>
      </c>
      <c r="T18" s="499">
        <v>264.76900000000001</v>
      </c>
      <c r="V18" s="936"/>
      <c r="W18" s="936"/>
      <c r="X18" s="936"/>
      <c r="Y18" s="936"/>
    </row>
    <row r="19" spans="1:25" ht="14" customHeight="1">
      <c r="A19" s="83"/>
      <c r="B19" s="23" t="s">
        <v>35</v>
      </c>
      <c r="C19" s="92">
        <v>38200</v>
      </c>
      <c r="D19" s="92">
        <v>37880</v>
      </c>
      <c r="E19" s="94">
        <v>715.3</v>
      </c>
      <c r="F19" s="499">
        <v>3129.9</v>
      </c>
      <c r="G19" s="499">
        <v>3854</v>
      </c>
      <c r="H19" s="499">
        <v>4327.6000000000004</v>
      </c>
      <c r="I19" s="499">
        <v>3550.3</v>
      </c>
      <c r="J19" s="499">
        <v>3961.2</v>
      </c>
      <c r="K19" s="499">
        <v>4363.3</v>
      </c>
      <c r="L19" s="499">
        <v>4281.5</v>
      </c>
      <c r="M19" s="499">
        <v>5106.1000000000004</v>
      </c>
      <c r="N19" s="499">
        <v>8647</v>
      </c>
      <c r="O19" s="499">
        <v>5570.9</v>
      </c>
      <c r="P19" s="499">
        <v>5002.2</v>
      </c>
      <c r="Q19" s="499">
        <v>5131.2550000000001</v>
      </c>
      <c r="R19" s="499">
        <v>4976.72</v>
      </c>
      <c r="S19" s="499">
        <v>4829.2460000000001</v>
      </c>
      <c r="T19" s="499">
        <v>4720.5969999999998</v>
      </c>
      <c r="V19" s="936"/>
      <c r="W19" s="936"/>
      <c r="X19" s="936"/>
      <c r="Y19" s="936"/>
    </row>
    <row r="20" spans="1:25" ht="14" customHeight="1">
      <c r="A20" s="83"/>
      <c r="B20" s="23" t="s">
        <v>36</v>
      </c>
      <c r="C20" s="92">
        <v>26421</v>
      </c>
      <c r="D20" s="92">
        <v>24031</v>
      </c>
      <c r="E20" s="94">
        <v>403.1</v>
      </c>
      <c r="F20" s="499">
        <v>405.1</v>
      </c>
      <c r="G20" s="499">
        <v>407.1</v>
      </c>
      <c r="H20" s="499">
        <v>409.1</v>
      </c>
      <c r="I20" s="499">
        <v>411.2</v>
      </c>
      <c r="J20" s="499">
        <v>413.2</v>
      </c>
      <c r="K20" s="499">
        <v>415.3</v>
      </c>
      <c r="L20" s="499">
        <v>417.4</v>
      </c>
      <c r="M20" s="499">
        <v>489.3</v>
      </c>
      <c r="N20" s="499">
        <v>500.3</v>
      </c>
      <c r="O20" s="499">
        <v>505.9</v>
      </c>
      <c r="P20" s="499">
        <v>509.6</v>
      </c>
      <c r="Q20" s="499">
        <v>508.56599999999997</v>
      </c>
      <c r="R20" s="499">
        <v>493.34100000000001</v>
      </c>
      <c r="S20" s="499">
        <v>474.94600000000003</v>
      </c>
      <c r="T20" s="499">
        <v>459.98500000000001</v>
      </c>
      <c r="V20" s="936"/>
      <c r="W20" s="936"/>
      <c r="X20" s="936"/>
      <c r="Y20" s="936"/>
    </row>
    <row r="21" spans="1:25" ht="14" customHeight="1">
      <c r="A21" s="83"/>
      <c r="B21" s="23" t="s">
        <v>37</v>
      </c>
      <c r="C21" s="92">
        <v>55525</v>
      </c>
      <c r="D21" s="92">
        <v>55736</v>
      </c>
      <c r="E21" s="94">
        <v>33523</v>
      </c>
      <c r="F21" s="499">
        <v>36888.5</v>
      </c>
      <c r="G21" s="499">
        <v>39821</v>
      </c>
      <c r="H21" s="499">
        <v>38769</v>
      </c>
      <c r="I21" s="499">
        <v>43970</v>
      </c>
      <c r="J21" s="499">
        <v>50849.1</v>
      </c>
      <c r="K21" s="499">
        <v>57761.9</v>
      </c>
      <c r="L21" s="499">
        <v>61244.5</v>
      </c>
      <c r="M21" s="499">
        <v>63492</v>
      </c>
      <c r="N21" s="499">
        <v>67328.2</v>
      </c>
      <c r="O21" s="499">
        <v>69740.800000000003</v>
      </c>
      <c r="P21" s="499">
        <v>74439.600000000006</v>
      </c>
      <c r="Q21" s="499">
        <v>75369.645000000004</v>
      </c>
      <c r="R21" s="499">
        <v>73941.192999999999</v>
      </c>
      <c r="S21" s="499">
        <v>74273.035000000003</v>
      </c>
      <c r="T21" s="499">
        <v>77959.808000000005</v>
      </c>
      <c r="V21" s="936"/>
      <c r="W21" s="936"/>
      <c r="X21" s="936"/>
      <c r="Y21" s="936"/>
    </row>
    <row r="22" spans="1:25" ht="14" customHeight="1">
      <c r="A22" s="83"/>
      <c r="B22" s="23" t="s">
        <v>38</v>
      </c>
      <c r="C22" s="92">
        <v>6677</v>
      </c>
      <c r="D22" s="92">
        <v>7103</v>
      </c>
      <c r="E22" s="94">
        <v>79.900000000000006</v>
      </c>
      <c r="F22" s="499">
        <v>99.1</v>
      </c>
      <c r="G22" s="499">
        <v>149.80000000000001</v>
      </c>
      <c r="H22" s="499">
        <v>89.7</v>
      </c>
      <c r="I22" s="499">
        <v>67.3</v>
      </c>
      <c r="J22" s="499">
        <v>81.599999999999994</v>
      </c>
      <c r="K22" s="499">
        <v>91.8</v>
      </c>
      <c r="L22" s="499">
        <v>122.6</v>
      </c>
      <c r="M22" s="499">
        <v>109.1</v>
      </c>
      <c r="N22" s="499">
        <v>95.8</v>
      </c>
      <c r="O22" s="499">
        <v>86.1</v>
      </c>
      <c r="P22" s="499">
        <v>94</v>
      </c>
      <c r="Q22" s="499">
        <v>95.558000000000007</v>
      </c>
      <c r="R22" s="499">
        <v>97.08</v>
      </c>
      <c r="S22" s="499">
        <v>93.207999999999998</v>
      </c>
      <c r="T22" s="499">
        <v>91.234999999999999</v>
      </c>
      <c r="V22" s="936"/>
      <c r="W22" s="936"/>
      <c r="X22" s="936"/>
      <c r="Y22" s="936"/>
    </row>
    <row r="23" spans="1:25" ht="14" customHeight="1">
      <c r="A23" s="83"/>
      <c r="B23" s="23" t="s">
        <v>39</v>
      </c>
      <c r="C23" s="92">
        <v>6140</v>
      </c>
      <c r="D23" s="92">
        <v>5963</v>
      </c>
      <c r="E23" s="94">
        <v>4724.3999999999996</v>
      </c>
      <c r="F23" s="499">
        <v>3230.5</v>
      </c>
      <c r="G23" s="499">
        <v>3684.6</v>
      </c>
      <c r="H23" s="499">
        <v>4765.8999999999996</v>
      </c>
      <c r="I23" s="499">
        <v>4788.8</v>
      </c>
      <c r="J23" s="499">
        <v>4259</v>
      </c>
      <c r="K23" s="499">
        <v>7068</v>
      </c>
      <c r="L23" s="499">
        <v>7626.6</v>
      </c>
      <c r="M23" s="499">
        <v>11301.3</v>
      </c>
      <c r="N23" s="499">
        <v>10035.9</v>
      </c>
      <c r="O23" s="499">
        <v>9438.7999999999993</v>
      </c>
      <c r="P23" s="499">
        <v>9123.6</v>
      </c>
      <c r="Q23" s="499">
        <v>8886.1579999999994</v>
      </c>
      <c r="R23" s="499">
        <v>8739.393</v>
      </c>
      <c r="S23" s="499">
        <v>8829.8240000000005</v>
      </c>
      <c r="T23" s="499">
        <v>8603.1640000000007</v>
      </c>
      <c r="V23" s="936"/>
      <c r="W23" s="936"/>
      <c r="X23" s="936"/>
      <c r="Y23" s="936"/>
    </row>
    <row r="24" spans="1:25" ht="14" customHeight="1">
      <c r="A24" s="83"/>
      <c r="B24" s="23" t="s">
        <v>40</v>
      </c>
      <c r="C24" s="92">
        <v>85922</v>
      </c>
      <c r="D24" s="92">
        <v>79926</v>
      </c>
      <c r="E24" s="94">
        <v>419.7</v>
      </c>
      <c r="F24" s="499">
        <v>420.3</v>
      </c>
      <c r="G24" s="499">
        <v>425.4</v>
      </c>
      <c r="H24" s="499">
        <v>424.5</v>
      </c>
      <c r="I24" s="499">
        <v>451.9</v>
      </c>
      <c r="J24" s="499">
        <v>434.4</v>
      </c>
      <c r="K24" s="499">
        <v>471.6</v>
      </c>
      <c r="L24" s="499">
        <v>440.3</v>
      </c>
      <c r="M24" s="499">
        <v>518.70000000000005</v>
      </c>
      <c r="N24" s="499">
        <v>541.5</v>
      </c>
      <c r="O24" s="499">
        <v>549.20000000000005</v>
      </c>
      <c r="P24" s="499">
        <v>547.79999999999995</v>
      </c>
      <c r="Q24" s="499">
        <v>544.51</v>
      </c>
      <c r="R24" s="499">
        <v>531.68700000000001</v>
      </c>
      <c r="S24" s="499">
        <v>511.99599999999998</v>
      </c>
      <c r="T24" s="499">
        <v>492.29599999999999</v>
      </c>
      <c r="V24" s="936"/>
      <c r="W24" s="936"/>
      <c r="X24" s="936"/>
      <c r="Y24" s="936"/>
    </row>
    <row r="25" spans="1:25" ht="14" customHeight="1">
      <c r="A25" s="83"/>
      <c r="B25" s="23" t="s">
        <v>41</v>
      </c>
      <c r="C25" s="92">
        <v>33857</v>
      </c>
      <c r="D25" s="92">
        <v>41333</v>
      </c>
      <c r="E25" s="94">
        <v>326.89999999999998</v>
      </c>
      <c r="F25" s="499">
        <v>326.2</v>
      </c>
      <c r="G25" s="499">
        <v>331.9</v>
      </c>
      <c r="H25" s="499">
        <v>337.2</v>
      </c>
      <c r="I25" s="499">
        <v>375.4</v>
      </c>
      <c r="J25" s="499">
        <v>349.7</v>
      </c>
      <c r="K25" s="499">
        <v>357.4</v>
      </c>
      <c r="L25" s="499">
        <v>369.4</v>
      </c>
      <c r="M25" s="499">
        <v>416.8</v>
      </c>
      <c r="N25" s="499">
        <v>412</v>
      </c>
      <c r="O25" s="499">
        <v>407</v>
      </c>
      <c r="P25" s="499">
        <v>411.5</v>
      </c>
      <c r="Q25" s="499">
        <v>405.65800000000002</v>
      </c>
      <c r="R25" s="499">
        <v>405.98399999999998</v>
      </c>
      <c r="S25" s="499">
        <v>390.97300000000001</v>
      </c>
      <c r="T25" s="499">
        <v>367.07900000000001</v>
      </c>
      <c r="V25" s="936"/>
      <c r="W25" s="936"/>
      <c r="X25" s="936"/>
      <c r="Y25" s="936"/>
    </row>
    <row r="26" spans="1:25" ht="14" customHeight="1">
      <c r="A26" s="83"/>
      <c r="B26" s="23" t="s">
        <v>44</v>
      </c>
      <c r="C26" s="92">
        <v>84508</v>
      </c>
      <c r="D26" s="92">
        <v>95765</v>
      </c>
      <c r="E26" s="94">
        <v>1211.2</v>
      </c>
      <c r="F26" s="499">
        <v>947.7</v>
      </c>
      <c r="G26" s="499">
        <v>941.8</v>
      </c>
      <c r="H26" s="499">
        <v>1044.9000000000001</v>
      </c>
      <c r="I26" s="499">
        <v>1517.6</v>
      </c>
      <c r="J26" s="499">
        <v>1381</v>
      </c>
      <c r="K26" s="499">
        <v>1369.9</v>
      </c>
      <c r="L26" s="499">
        <v>1684.6</v>
      </c>
      <c r="M26" s="499">
        <v>2235.9</v>
      </c>
      <c r="N26" s="499">
        <v>2226.9</v>
      </c>
      <c r="O26" s="499">
        <v>1986.1</v>
      </c>
      <c r="P26" s="499">
        <v>1878.7</v>
      </c>
      <c r="Q26" s="499">
        <v>1899.521</v>
      </c>
      <c r="R26" s="499">
        <v>1865.4770000000001</v>
      </c>
      <c r="S26" s="499">
        <v>1845.0889999999999</v>
      </c>
      <c r="T26" s="499">
        <v>1767.7809999999999</v>
      </c>
      <c r="V26" s="936"/>
      <c r="W26" s="936"/>
      <c r="X26" s="936"/>
      <c r="Y26" s="936"/>
    </row>
    <row r="27" spans="1:25" ht="14" customHeight="1">
      <c r="A27" s="83"/>
      <c r="B27" s="23" t="s">
        <v>45</v>
      </c>
      <c r="C27" s="92">
        <v>119310</v>
      </c>
      <c r="D27" s="92">
        <v>121140</v>
      </c>
      <c r="E27" s="94">
        <v>1068.0999999999999</v>
      </c>
      <c r="F27" s="499">
        <v>1070.2</v>
      </c>
      <c r="G27" s="499">
        <v>1074.5999999999999</v>
      </c>
      <c r="H27" s="499">
        <v>1082.9000000000001</v>
      </c>
      <c r="I27" s="499">
        <v>1106.5</v>
      </c>
      <c r="J27" s="499">
        <v>1094.4000000000001</v>
      </c>
      <c r="K27" s="499">
        <v>1107.5999999999999</v>
      </c>
      <c r="L27" s="499">
        <v>1135.8</v>
      </c>
      <c r="M27" s="499">
        <v>1335.5</v>
      </c>
      <c r="N27" s="499">
        <v>1346.8</v>
      </c>
      <c r="O27" s="499">
        <v>1351</v>
      </c>
      <c r="P27" s="499">
        <v>1358</v>
      </c>
      <c r="Q27" s="499">
        <v>1354.64</v>
      </c>
      <c r="R27" s="499">
        <v>1341.816</v>
      </c>
      <c r="S27" s="499">
        <v>1292.9469999999999</v>
      </c>
      <c r="T27" s="499">
        <v>1277.71</v>
      </c>
      <c r="V27" s="936"/>
      <c r="W27" s="936"/>
      <c r="X27" s="936"/>
      <c r="Y27" s="936"/>
    </row>
    <row r="28" spans="1:25" ht="14" customHeight="1">
      <c r="A28" s="83"/>
      <c r="B28" s="82" t="s">
        <v>46</v>
      </c>
      <c r="C28" s="92">
        <v>40306</v>
      </c>
      <c r="D28" s="92">
        <v>44465</v>
      </c>
      <c r="E28" s="94">
        <v>7595.5</v>
      </c>
      <c r="F28" s="499">
        <v>8376.2999999999993</v>
      </c>
      <c r="G28" s="499">
        <v>9659.7000000000007</v>
      </c>
      <c r="H28" s="499">
        <v>9929.7000000000007</v>
      </c>
      <c r="I28" s="499">
        <v>12001.6</v>
      </c>
      <c r="J28" s="499">
        <v>13441</v>
      </c>
      <c r="K28" s="499">
        <v>13449.2</v>
      </c>
      <c r="L28" s="499">
        <v>15898.5</v>
      </c>
      <c r="M28" s="499">
        <v>16253.5</v>
      </c>
      <c r="N28" s="499">
        <v>16892.2</v>
      </c>
      <c r="O28" s="499">
        <v>17537</v>
      </c>
      <c r="P28" s="499">
        <v>17897.099999999999</v>
      </c>
      <c r="Q28" s="499">
        <v>18414.919999999998</v>
      </c>
      <c r="R28" s="499">
        <v>17962.884999999998</v>
      </c>
      <c r="S28" s="499">
        <v>17707.528999999999</v>
      </c>
      <c r="T28" s="499">
        <v>17838.695</v>
      </c>
      <c r="V28" s="936"/>
      <c r="W28" s="936"/>
      <c r="X28" s="936"/>
      <c r="Y28" s="936"/>
    </row>
    <row r="29" spans="1:25" ht="14" customHeight="1">
      <c r="A29" s="83"/>
      <c r="B29" s="23" t="s">
        <v>47</v>
      </c>
      <c r="C29" s="92">
        <v>4757</v>
      </c>
      <c r="D29" s="92">
        <v>5098</v>
      </c>
      <c r="E29" s="94">
        <v>6436.3</v>
      </c>
      <c r="F29" s="499">
        <v>6762</v>
      </c>
      <c r="G29" s="499">
        <v>9906.9</v>
      </c>
      <c r="H29" s="499">
        <v>10359.9</v>
      </c>
      <c r="I29" s="499">
        <v>9125.6</v>
      </c>
      <c r="J29" s="499">
        <v>10460</v>
      </c>
      <c r="K29" s="499">
        <v>10427.799999999999</v>
      </c>
      <c r="L29" s="499">
        <v>10348.4</v>
      </c>
      <c r="M29" s="499">
        <v>11812.8</v>
      </c>
      <c r="N29" s="499">
        <v>11160.2</v>
      </c>
      <c r="O29" s="499">
        <v>10952.7</v>
      </c>
      <c r="P29" s="499">
        <v>11883.2</v>
      </c>
      <c r="Q29" s="499">
        <v>12043.022000000001</v>
      </c>
      <c r="R29" s="499">
        <v>11814.05</v>
      </c>
      <c r="S29" s="499">
        <v>11710.288</v>
      </c>
      <c r="T29" s="499">
        <v>11879.966</v>
      </c>
      <c r="V29" s="936"/>
      <c r="W29" s="936"/>
      <c r="X29" s="936"/>
      <c r="Y29" s="936"/>
    </row>
    <row r="30" spans="1:25" ht="14" customHeight="1">
      <c r="A30" s="83"/>
      <c r="B30" s="23" t="s">
        <v>48</v>
      </c>
      <c r="C30" s="92">
        <v>9699</v>
      </c>
      <c r="D30" s="92">
        <v>9643</v>
      </c>
      <c r="E30" s="94">
        <v>5614.8</v>
      </c>
      <c r="F30" s="499">
        <v>5123.2</v>
      </c>
      <c r="G30" s="499">
        <v>5184.5</v>
      </c>
      <c r="H30" s="499">
        <v>5002.8999999999996</v>
      </c>
      <c r="I30" s="499">
        <v>5778.3</v>
      </c>
      <c r="J30" s="499">
        <v>7103</v>
      </c>
      <c r="K30" s="499">
        <v>8181.1</v>
      </c>
      <c r="L30" s="499">
        <v>7976.3</v>
      </c>
      <c r="M30" s="499">
        <v>8597</v>
      </c>
      <c r="N30" s="499">
        <v>4983.7</v>
      </c>
      <c r="O30" s="499">
        <v>5591.7</v>
      </c>
      <c r="P30" s="499">
        <v>6692.2</v>
      </c>
      <c r="Q30" s="499">
        <v>7328.098</v>
      </c>
      <c r="R30" s="499">
        <v>7076.3540000000003</v>
      </c>
      <c r="S30" s="499">
        <v>7107.18</v>
      </c>
      <c r="T30" s="499">
        <v>6931.98</v>
      </c>
      <c r="V30" s="936"/>
      <c r="W30" s="936"/>
      <c r="X30" s="936"/>
      <c r="Y30" s="936"/>
    </row>
    <row r="31" spans="1:25" ht="14" customHeight="1">
      <c r="A31" s="83"/>
      <c r="B31" s="23" t="s">
        <v>49</v>
      </c>
      <c r="C31" s="92">
        <v>6836</v>
      </c>
      <c r="D31" s="92">
        <v>7770</v>
      </c>
      <c r="E31" s="94">
        <v>920</v>
      </c>
      <c r="F31" s="499">
        <v>1062</v>
      </c>
      <c r="G31" s="499">
        <v>1432.4</v>
      </c>
      <c r="H31" s="499">
        <v>1437.4</v>
      </c>
      <c r="I31" s="499">
        <v>1632.7</v>
      </c>
      <c r="J31" s="499">
        <v>2278.8000000000002</v>
      </c>
      <c r="K31" s="499">
        <v>2671.8</v>
      </c>
      <c r="L31" s="499">
        <v>2712.4</v>
      </c>
      <c r="M31" s="499">
        <v>3064.1</v>
      </c>
      <c r="N31" s="499">
        <v>3508.1</v>
      </c>
      <c r="O31" s="499">
        <v>3865.8</v>
      </c>
      <c r="P31" s="499">
        <v>4214.2</v>
      </c>
      <c r="Q31" s="499">
        <v>4328.4459999999999</v>
      </c>
      <c r="R31" s="499">
        <v>4244.1239999999998</v>
      </c>
      <c r="S31" s="499">
        <v>4303.1000000000004</v>
      </c>
      <c r="T31" s="499">
        <v>4273.8879999999999</v>
      </c>
      <c r="V31" s="936"/>
      <c r="W31" s="936"/>
      <c r="X31" s="936"/>
      <c r="Y31" s="936"/>
    </row>
    <row r="32" spans="1:25" ht="5" customHeight="1" thickBot="1">
      <c r="A32" s="8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V32" s="936"/>
      <c r="W32" s="936"/>
      <c r="X32" s="936"/>
      <c r="Y32" s="936"/>
    </row>
    <row r="33" spans="1:20" ht="9" customHeight="1">
      <c r="A33" s="778" t="s">
        <v>402</v>
      </c>
      <c r="B33" s="780"/>
      <c r="C33" s="803"/>
      <c r="D33" s="803"/>
      <c r="E33" s="803"/>
      <c r="F33" s="803"/>
      <c r="G33" s="803"/>
      <c r="H33" s="803"/>
      <c r="I33" s="218"/>
      <c r="J33" s="218"/>
      <c r="K33" s="218"/>
      <c r="L33" s="38"/>
      <c r="M33" s="38"/>
      <c r="N33" s="38"/>
      <c r="O33" s="38"/>
      <c r="P33" s="38"/>
      <c r="Q33" s="38"/>
      <c r="R33" s="38"/>
      <c r="S33" s="38"/>
      <c r="T33" s="38"/>
    </row>
    <row r="34" spans="1:20" ht="9" customHeight="1">
      <c r="A34" s="778" t="s">
        <v>359</v>
      </c>
      <c r="B34" s="780"/>
      <c r="C34" s="803"/>
      <c r="D34" s="803"/>
      <c r="E34" s="803"/>
      <c r="F34" s="803"/>
      <c r="G34" s="803"/>
      <c r="H34" s="804"/>
      <c r="I34" s="225"/>
      <c r="J34" s="225"/>
      <c r="K34" s="225"/>
      <c r="L34" s="84"/>
      <c r="M34" s="84"/>
      <c r="N34" s="84"/>
      <c r="O34" s="84"/>
      <c r="P34" s="84"/>
      <c r="Q34" s="84"/>
      <c r="R34" s="84"/>
      <c r="S34" s="84"/>
      <c r="T34" s="84"/>
    </row>
    <row r="35" spans="1:20" ht="9" customHeight="1">
      <c r="A35" s="780" t="s">
        <v>358</v>
      </c>
      <c r="B35" s="788"/>
      <c r="C35" s="803"/>
      <c r="D35" s="803"/>
      <c r="E35" s="803"/>
      <c r="F35" s="803"/>
      <c r="G35" s="803"/>
      <c r="H35" s="804"/>
      <c r="I35" s="225"/>
      <c r="J35" s="225"/>
      <c r="K35" s="225"/>
      <c r="L35" s="84"/>
      <c r="M35" s="84"/>
      <c r="N35" s="84"/>
      <c r="O35" s="84"/>
      <c r="P35" s="84"/>
      <c r="Q35" s="84"/>
      <c r="R35" s="84"/>
      <c r="S35" s="84"/>
      <c r="T35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Hoja131">
    <tabColor theme="9" tint="0.59999389629810485"/>
  </sheetPr>
  <dimension ref="A2:Z35"/>
  <sheetViews>
    <sheetView showGridLines="0" topLeftCell="A5" zoomScaleNormal="100" workbookViewId="0">
      <selection activeCell="U62" sqref="U62"/>
    </sheetView>
  </sheetViews>
  <sheetFormatPr baseColWidth="10" defaultColWidth="7" defaultRowHeight="13.25" customHeight="1"/>
  <cols>
    <col min="1" max="1" width="1.796875" style="82" customWidth="1"/>
    <col min="2" max="2" width="10.3984375" style="82" customWidth="1"/>
    <col min="3" max="5" width="8" style="82" hidden="1" customWidth="1"/>
    <col min="6" max="22" width="8.3984375" style="82" customWidth="1"/>
    <col min="23" max="16384" width="7" style="82"/>
  </cols>
  <sheetData>
    <row r="2" spans="1:26" ht="15" customHeight="1">
      <c r="A2" s="230" t="s">
        <v>598</v>
      </c>
      <c r="B2" s="231"/>
      <c r="C2" s="231"/>
      <c r="D2" s="231"/>
      <c r="E2" s="231"/>
      <c r="F2" s="231"/>
    </row>
    <row r="3" spans="1:26" ht="13.25" customHeight="1">
      <c r="A3" s="444" t="s">
        <v>322</v>
      </c>
      <c r="B3" s="231"/>
      <c r="C3" s="231"/>
      <c r="D3" s="231"/>
      <c r="E3" s="231"/>
      <c r="F3" s="231"/>
    </row>
    <row r="4" spans="1:26" ht="4.2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6" ht="15" customHeight="1">
      <c r="A5" s="962" t="s">
        <v>18</v>
      </c>
      <c r="B5" s="962"/>
      <c r="C5" s="562">
        <v>2005</v>
      </c>
      <c r="D5" s="562">
        <v>2006</v>
      </c>
      <c r="E5" s="562">
        <v>2007</v>
      </c>
      <c r="F5" s="562">
        <v>2008</v>
      </c>
      <c r="G5" s="562">
        <v>2009</v>
      </c>
      <c r="H5" s="562">
        <v>2010</v>
      </c>
      <c r="I5" s="562">
        <v>2011</v>
      </c>
      <c r="J5" s="562">
        <v>2012</v>
      </c>
      <c r="K5" s="562">
        <v>2013</v>
      </c>
      <c r="L5" s="562">
        <v>2014</v>
      </c>
      <c r="M5" s="562">
        <v>2015</v>
      </c>
      <c r="N5" s="562">
        <v>2016</v>
      </c>
      <c r="O5" s="562">
        <v>2017</v>
      </c>
      <c r="P5" s="562" t="s">
        <v>197</v>
      </c>
      <c r="Q5" s="562" t="s">
        <v>348</v>
      </c>
      <c r="R5" s="562">
        <v>2020</v>
      </c>
      <c r="S5" s="562">
        <v>2021</v>
      </c>
      <c r="T5" s="562" t="s">
        <v>477</v>
      </c>
    </row>
    <row r="6" spans="1:26" ht="15" customHeight="1">
      <c r="A6" s="1002" t="s">
        <v>96</v>
      </c>
      <c r="B6" s="1002"/>
      <c r="C6" s="764">
        <f>(C8+C9+C10+C11+C12+C13+C14+C15+C16+C17+C18+C19+C20+C21+C22+C23+C24+C25+C26+C27+C28+C29+C30+C31)</f>
        <v>152496</v>
      </c>
      <c r="D6" s="764">
        <f>(D8+D9+D10+D11+D12+D13+D14+D15+D16+D17+D18+D19+D20+D21+D22+D23+D24+D25+D26+D27+D28+D29+D30+D31)</f>
        <v>161580</v>
      </c>
      <c r="E6" s="765">
        <v>770.4</v>
      </c>
      <c r="F6" s="766">
        <v>877.2</v>
      </c>
      <c r="G6" s="766">
        <v>964.4</v>
      </c>
      <c r="H6" s="766">
        <v>1019.9</v>
      </c>
      <c r="I6" s="766">
        <v>1108.3</v>
      </c>
      <c r="J6" s="766">
        <v>1211.0999999999999</v>
      </c>
      <c r="K6" s="766">
        <v>1254.3</v>
      </c>
      <c r="L6" s="766">
        <v>1317.4</v>
      </c>
      <c r="M6" s="766">
        <v>1423.6</v>
      </c>
      <c r="N6" s="766">
        <v>1513.9</v>
      </c>
      <c r="O6" s="766">
        <v>1569.3</v>
      </c>
      <c r="P6" s="766">
        <v>1687.6</v>
      </c>
      <c r="Q6" s="766">
        <f>SUM(Q8:Q31)</f>
        <v>1762.8570000000004</v>
      </c>
      <c r="R6" s="766">
        <f>SUM(R8:R31)</f>
        <v>1723.5</v>
      </c>
      <c r="S6" s="766">
        <f>SUM(S8:S31)</f>
        <v>1751.61</v>
      </c>
      <c r="T6" s="766">
        <f>SUM(T8:T31)</f>
        <v>1801.7730000000001</v>
      </c>
    </row>
    <row r="7" spans="1:26" ht="4.25" customHeight="1">
      <c r="A7" s="83"/>
      <c r="B7" s="84"/>
      <c r="C7" s="91"/>
      <c r="D7" s="91"/>
      <c r="E7" s="91"/>
      <c r="F7" s="445"/>
      <c r="G7" s="445"/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</row>
    <row r="8" spans="1:26" ht="14" customHeight="1">
      <c r="A8" s="83"/>
      <c r="B8" s="23" t="s">
        <v>21</v>
      </c>
      <c r="C8" s="92">
        <v>356</v>
      </c>
      <c r="D8" s="92">
        <v>336</v>
      </c>
      <c r="E8" s="94">
        <v>0.1</v>
      </c>
      <c r="F8" s="446">
        <v>0.1</v>
      </c>
      <c r="G8" s="446">
        <v>0.1</v>
      </c>
      <c r="H8" s="446">
        <v>0.1</v>
      </c>
      <c r="I8" s="446">
        <v>0.1</v>
      </c>
      <c r="J8" s="446">
        <v>0.2</v>
      </c>
      <c r="K8" s="446">
        <v>0.2</v>
      </c>
      <c r="L8" s="446">
        <v>0.1</v>
      </c>
      <c r="M8" s="446">
        <v>0.3</v>
      </c>
      <c r="N8" s="446">
        <v>0.3</v>
      </c>
      <c r="O8" s="446">
        <v>0.2</v>
      </c>
      <c r="P8" s="446">
        <v>0.3</v>
      </c>
      <c r="Q8" s="446">
        <v>0.29399999999999998</v>
      </c>
      <c r="R8" s="446">
        <v>0.253</v>
      </c>
      <c r="S8" s="446">
        <v>0.246</v>
      </c>
      <c r="T8" s="446">
        <v>0.24299999999999999</v>
      </c>
      <c r="V8" s="937"/>
      <c r="W8" s="937"/>
      <c r="X8" s="937"/>
      <c r="Y8" s="937"/>
      <c r="Z8" s="937"/>
    </row>
    <row r="9" spans="1:26" ht="14" customHeight="1">
      <c r="A9" s="83"/>
      <c r="B9" s="23" t="s">
        <v>22</v>
      </c>
      <c r="C9" s="92">
        <v>10238</v>
      </c>
      <c r="D9" s="92">
        <v>10778</v>
      </c>
      <c r="E9" s="94">
        <v>10.5</v>
      </c>
      <c r="F9" s="446">
        <v>11.4</v>
      </c>
      <c r="G9" s="446">
        <v>13.2</v>
      </c>
      <c r="H9" s="446">
        <v>14.4</v>
      </c>
      <c r="I9" s="446">
        <v>17.100000000000001</v>
      </c>
      <c r="J9" s="446">
        <v>21.8</v>
      </c>
      <c r="K9" s="446">
        <v>25.6</v>
      </c>
      <c r="L9" s="446">
        <v>23.4</v>
      </c>
      <c r="M9" s="446">
        <v>29.8</v>
      </c>
      <c r="N9" s="446">
        <v>29.6</v>
      </c>
      <c r="O9" s="446">
        <v>28.9</v>
      </c>
      <c r="P9" s="446">
        <v>32.6</v>
      </c>
      <c r="Q9" s="446">
        <v>33.052999999999997</v>
      </c>
      <c r="R9" s="446">
        <v>32.603999999999999</v>
      </c>
      <c r="S9" s="446">
        <v>32.473999999999997</v>
      </c>
      <c r="T9" s="446">
        <v>32.372</v>
      </c>
      <c r="V9" s="937"/>
      <c r="W9" s="937"/>
      <c r="X9" s="937"/>
      <c r="Y9" s="937"/>
      <c r="Z9" s="937"/>
    </row>
    <row r="10" spans="1:26" ht="14" customHeight="1">
      <c r="A10" s="83"/>
      <c r="B10" s="23" t="s">
        <v>23</v>
      </c>
      <c r="C10" s="92">
        <v>2939</v>
      </c>
      <c r="D10" s="92">
        <v>3172</v>
      </c>
      <c r="E10" s="94">
        <v>2.7</v>
      </c>
      <c r="F10" s="446">
        <v>3.2</v>
      </c>
      <c r="G10" s="446">
        <v>4.4000000000000004</v>
      </c>
      <c r="H10" s="446">
        <v>5.0999999999999996</v>
      </c>
      <c r="I10" s="446">
        <v>7.3</v>
      </c>
      <c r="J10" s="446">
        <v>5.3</v>
      </c>
      <c r="K10" s="446">
        <v>12.9</v>
      </c>
      <c r="L10" s="446">
        <v>16.8</v>
      </c>
      <c r="M10" s="446">
        <v>18.600000000000001</v>
      </c>
      <c r="N10" s="446">
        <v>19.2</v>
      </c>
      <c r="O10" s="446">
        <v>22.7</v>
      </c>
      <c r="P10" s="446">
        <v>25.4</v>
      </c>
      <c r="Q10" s="446">
        <v>26.358000000000001</v>
      </c>
      <c r="R10" s="446">
        <v>25.696999999999999</v>
      </c>
      <c r="S10" s="446">
        <v>26.085999999999999</v>
      </c>
      <c r="T10" s="446">
        <v>26.527000000000001</v>
      </c>
      <c r="V10" s="937"/>
      <c r="W10" s="937"/>
      <c r="X10" s="937"/>
      <c r="Y10" s="937"/>
      <c r="Z10" s="937"/>
    </row>
    <row r="11" spans="1:26" ht="14" customHeight="1">
      <c r="A11" s="83"/>
      <c r="B11" s="23" t="s">
        <v>24</v>
      </c>
      <c r="C11" s="92">
        <v>5255</v>
      </c>
      <c r="D11" s="92">
        <v>5492</v>
      </c>
      <c r="E11" s="94">
        <v>150.1</v>
      </c>
      <c r="F11" s="446">
        <v>160.9</v>
      </c>
      <c r="G11" s="446">
        <v>180.5</v>
      </c>
      <c r="H11" s="446">
        <v>201</v>
      </c>
      <c r="I11" s="446">
        <v>215.8</v>
      </c>
      <c r="J11" s="446">
        <v>233</v>
      </c>
      <c r="K11" s="446">
        <v>244.6</v>
      </c>
      <c r="L11" s="446">
        <v>246.5</v>
      </c>
      <c r="M11" s="446">
        <v>272.10000000000002</v>
      </c>
      <c r="N11" s="446">
        <v>272</v>
      </c>
      <c r="O11" s="446">
        <v>270.8</v>
      </c>
      <c r="P11" s="446">
        <v>299</v>
      </c>
      <c r="Q11" s="446">
        <v>316.90699999999998</v>
      </c>
      <c r="R11" s="446">
        <v>309.577</v>
      </c>
      <c r="S11" s="446">
        <v>311.654</v>
      </c>
      <c r="T11" s="446">
        <v>319.75900000000001</v>
      </c>
      <c r="V11" s="937"/>
      <c r="W11" s="937"/>
      <c r="X11" s="937"/>
      <c r="Y11" s="937"/>
      <c r="Z11" s="937"/>
    </row>
    <row r="12" spans="1:26" ht="14" customHeight="1">
      <c r="A12" s="83"/>
      <c r="B12" s="23" t="s">
        <v>25</v>
      </c>
      <c r="C12" s="92">
        <v>20836</v>
      </c>
      <c r="D12" s="92">
        <v>24037</v>
      </c>
      <c r="E12" s="94">
        <v>2.1</v>
      </c>
      <c r="F12" s="446">
        <v>2.1</v>
      </c>
      <c r="G12" s="446">
        <v>2.1</v>
      </c>
      <c r="H12" s="446">
        <v>2.4</v>
      </c>
      <c r="I12" s="446">
        <v>2.5</v>
      </c>
      <c r="J12" s="446">
        <v>2.9</v>
      </c>
      <c r="K12" s="446">
        <v>2.4</v>
      </c>
      <c r="L12" s="446">
        <v>2.2999999999999998</v>
      </c>
      <c r="M12" s="446">
        <v>3.5</v>
      </c>
      <c r="N12" s="446">
        <v>3.6</v>
      </c>
      <c r="O12" s="446">
        <v>3.6</v>
      </c>
      <c r="P12" s="446">
        <v>3.5</v>
      </c>
      <c r="Q12" s="446">
        <v>3.6669999999999998</v>
      </c>
      <c r="R12" s="446">
        <v>3.68</v>
      </c>
      <c r="S12" s="446">
        <v>3.6890000000000001</v>
      </c>
      <c r="T12" s="446">
        <v>3.6389999999999998</v>
      </c>
      <c r="V12" s="937"/>
      <c r="W12" s="937"/>
      <c r="X12" s="937"/>
      <c r="Y12" s="937"/>
      <c r="Z12" s="937"/>
    </row>
    <row r="13" spans="1:26" ht="14" customHeight="1">
      <c r="A13" s="83"/>
      <c r="B13" s="23" t="s">
        <v>29</v>
      </c>
      <c r="C13" s="92">
        <v>5682</v>
      </c>
      <c r="D13" s="92">
        <v>6278</v>
      </c>
      <c r="E13" s="94">
        <v>0.4</v>
      </c>
      <c r="F13" s="446">
        <v>0.5</v>
      </c>
      <c r="G13" s="446">
        <v>0.5</v>
      </c>
      <c r="H13" s="446">
        <v>0.5</v>
      </c>
      <c r="I13" s="446">
        <v>0.4</v>
      </c>
      <c r="J13" s="446">
        <v>0.6</v>
      </c>
      <c r="K13" s="446">
        <v>0.5</v>
      </c>
      <c r="L13" s="446">
        <v>0.5</v>
      </c>
      <c r="M13" s="446">
        <v>0.6</v>
      </c>
      <c r="N13" s="446">
        <v>1.8</v>
      </c>
      <c r="O13" s="446">
        <v>3.7</v>
      </c>
      <c r="P13" s="446">
        <v>0.8</v>
      </c>
      <c r="Q13" s="446">
        <v>0.82</v>
      </c>
      <c r="R13" s="446">
        <v>0.81699999999999995</v>
      </c>
      <c r="S13" s="446">
        <v>0.80700000000000005</v>
      </c>
      <c r="T13" s="446">
        <v>0.79200000000000004</v>
      </c>
      <c r="V13" s="937"/>
      <c r="W13" s="937"/>
      <c r="X13" s="937"/>
      <c r="Y13" s="937"/>
      <c r="Z13" s="937"/>
    </row>
    <row r="14" spans="1:26" ht="14" customHeight="1">
      <c r="A14" s="83"/>
      <c r="B14" s="23" t="s">
        <v>30</v>
      </c>
      <c r="C14" s="434">
        <v>6599</v>
      </c>
      <c r="D14" s="434">
        <v>6835</v>
      </c>
      <c r="E14" s="435">
        <v>18.5</v>
      </c>
      <c r="F14" s="446">
        <v>21.1</v>
      </c>
      <c r="G14" s="446">
        <v>20.8</v>
      </c>
      <c r="H14" s="446">
        <v>25.5</v>
      </c>
      <c r="I14" s="446">
        <v>28.2</v>
      </c>
      <c r="J14" s="446">
        <v>30.8</v>
      </c>
      <c r="K14" s="446">
        <v>31.1</v>
      </c>
      <c r="L14" s="446">
        <v>29.1</v>
      </c>
      <c r="M14" s="446">
        <v>32.700000000000003</v>
      </c>
      <c r="N14" s="446">
        <v>34</v>
      </c>
      <c r="O14" s="446">
        <v>39.4</v>
      </c>
      <c r="P14" s="446">
        <v>37.299999999999997</v>
      </c>
      <c r="Q14" s="446">
        <v>38.409999999999997</v>
      </c>
      <c r="R14" s="446">
        <v>37.252000000000002</v>
      </c>
      <c r="S14" s="446">
        <v>37.542999999999999</v>
      </c>
      <c r="T14" s="446">
        <v>39.267000000000003</v>
      </c>
      <c r="V14" s="937"/>
      <c r="W14" s="937"/>
      <c r="X14" s="937"/>
      <c r="Y14" s="937"/>
      <c r="Z14" s="937"/>
    </row>
    <row r="15" spans="1:26" ht="14" customHeight="1">
      <c r="A15" s="83"/>
      <c r="B15" s="23" t="s">
        <v>31</v>
      </c>
      <c r="C15" s="434">
        <v>19359</v>
      </c>
      <c r="D15" s="434">
        <v>20479</v>
      </c>
      <c r="E15" s="435">
        <v>439.9</v>
      </c>
      <c r="F15" s="446">
        <v>514.20000000000005</v>
      </c>
      <c r="G15" s="446">
        <v>562.1</v>
      </c>
      <c r="H15" s="446">
        <v>586.79999999999995</v>
      </c>
      <c r="I15" s="446">
        <v>625</v>
      </c>
      <c r="J15" s="446">
        <v>667.2</v>
      </c>
      <c r="K15" s="446">
        <v>657.6</v>
      </c>
      <c r="L15" s="446">
        <v>690.4</v>
      </c>
      <c r="M15" s="446">
        <v>725.4</v>
      </c>
      <c r="N15" s="446">
        <v>807.5</v>
      </c>
      <c r="O15" s="446">
        <v>848.2</v>
      </c>
      <c r="P15" s="446">
        <v>902.5</v>
      </c>
      <c r="Q15" s="446">
        <v>942.81299999999999</v>
      </c>
      <c r="R15" s="446">
        <v>920.32100000000003</v>
      </c>
      <c r="S15" s="446">
        <v>941.31299999999999</v>
      </c>
      <c r="T15" s="446">
        <v>976.90800000000002</v>
      </c>
      <c r="V15" s="937"/>
      <c r="W15" s="937"/>
      <c r="X15" s="937"/>
      <c r="Y15" s="937"/>
      <c r="Z15" s="937"/>
    </row>
    <row r="16" spans="1:26" ht="14" customHeight="1">
      <c r="A16" s="83"/>
      <c r="B16" s="23" t="s">
        <v>32</v>
      </c>
      <c r="C16" s="434">
        <v>1092</v>
      </c>
      <c r="D16" s="434">
        <v>1134</v>
      </c>
      <c r="E16" s="435">
        <v>29.3</v>
      </c>
      <c r="F16" s="446">
        <v>33.9</v>
      </c>
      <c r="G16" s="446">
        <v>31.5</v>
      </c>
      <c r="H16" s="446">
        <v>33</v>
      </c>
      <c r="I16" s="446">
        <v>38.9</v>
      </c>
      <c r="J16" s="446">
        <v>49.5</v>
      </c>
      <c r="K16" s="446">
        <v>53.8</v>
      </c>
      <c r="L16" s="446">
        <v>68.3</v>
      </c>
      <c r="M16" s="446">
        <v>66.599999999999994</v>
      </c>
      <c r="N16" s="446">
        <v>69.599999999999994</v>
      </c>
      <c r="O16" s="446">
        <v>72.400000000000006</v>
      </c>
      <c r="P16" s="446">
        <v>88.8</v>
      </c>
      <c r="Q16" s="446">
        <v>95.536000000000001</v>
      </c>
      <c r="R16" s="446">
        <v>96.61</v>
      </c>
      <c r="S16" s="446">
        <v>97.956999999999994</v>
      </c>
      <c r="T16" s="446">
        <v>96.668000000000006</v>
      </c>
      <c r="V16" s="937"/>
      <c r="W16" s="937"/>
      <c r="X16" s="937"/>
      <c r="Y16" s="937"/>
      <c r="Z16" s="937"/>
    </row>
    <row r="17" spans="1:26" ht="14" customHeight="1">
      <c r="A17" s="83"/>
      <c r="B17" s="23" t="s">
        <v>33</v>
      </c>
      <c r="C17" s="92">
        <v>9010</v>
      </c>
      <c r="D17" s="92">
        <v>10026</v>
      </c>
      <c r="E17" s="94">
        <v>0.9</v>
      </c>
      <c r="F17" s="446">
        <v>0.9</v>
      </c>
      <c r="G17" s="446">
        <v>0.9</v>
      </c>
      <c r="H17" s="446">
        <v>0.9</v>
      </c>
      <c r="I17" s="446">
        <v>0.9</v>
      </c>
      <c r="J17" s="446">
        <v>1.3</v>
      </c>
      <c r="K17" s="446">
        <v>1.6</v>
      </c>
      <c r="L17" s="446">
        <v>1.2</v>
      </c>
      <c r="M17" s="446">
        <v>1.7</v>
      </c>
      <c r="N17" s="446">
        <v>1.6</v>
      </c>
      <c r="O17" s="446">
        <v>1.2</v>
      </c>
      <c r="P17" s="446">
        <v>1.3</v>
      </c>
      <c r="Q17" s="446">
        <v>1.32</v>
      </c>
      <c r="R17" s="446">
        <v>1.32</v>
      </c>
      <c r="S17" s="446">
        <v>1.298</v>
      </c>
      <c r="T17" s="446">
        <v>1.2849999999999999</v>
      </c>
      <c r="V17" s="937"/>
      <c r="W17" s="937"/>
      <c r="X17" s="937"/>
      <c r="Y17" s="937"/>
      <c r="Z17" s="937"/>
    </row>
    <row r="18" spans="1:26" ht="14" customHeight="1">
      <c r="A18" s="83"/>
      <c r="B18" s="23" t="s">
        <v>34</v>
      </c>
      <c r="C18" s="92">
        <v>3372</v>
      </c>
      <c r="D18" s="92">
        <v>3040</v>
      </c>
      <c r="E18" s="94">
        <v>0.3</v>
      </c>
      <c r="F18" s="446">
        <v>0.3</v>
      </c>
      <c r="G18" s="446">
        <v>0.2</v>
      </c>
      <c r="H18" s="446">
        <v>0.2</v>
      </c>
      <c r="I18" s="446">
        <v>0.7</v>
      </c>
      <c r="J18" s="446">
        <v>0.5</v>
      </c>
      <c r="K18" s="446">
        <v>0.9</v>
      </c>
      <c r="L18" s="446">
        <v>0.8</v>
      </c>
      <c r="M18" s="446">
        <v>1.1000000000000001</v>
      </c>
      <c r="N18" s="446">
        <v>1.1000000000000001</v>
      </c>
      <c r="O18" s="446">
        <v>0.4</v>
      </c>
      <c r="P18" s="446">
        <v>0.6</v>
      </c>
      <c r="Q18" s="446">
        <v>0.64200000000000002</v>
      </c>
      <c r="R18" s="446">
        <v>0.628</v>
      </c>
      <c r="S18" s="446">
        <v>0.60699999999999998</v>
      </c>
      <c r="T18" s="446">
        <v>0.58099999999999996</v>
      </c>
      <c r="V18" s="937"/>
      <c r="W18" s="937"/>
      <c r="X18" s="937"/>
      <c r="Y18" s="937"/>
      <c r="Z18" s="937"/>
    </row>
    <row r="19" spans="1:26" ht="14" customHeight="1">
      <c r="A19" s="83"/>
      <c r="B19" s="23" t="s">
        <v>35</v>
      </c>
      <c r="C19" s="92">
        <v>4781</v>
      </c>
      <c r="D19" s="92">
        <v>4782</v>
      </c>
      <c r="E19" s="94">
        <v>1.2</v>
      </c>
      <c r="F19" s="446">
        <v>5.8</v>
      </c>
      <c r="G19" s="446">
        <v>7.1</v>
      </c>
      <c r="H19" s="446">
        <v>8</v>
      </c>
      <c r="I19" s="446">
        <v>7.1</v>
      </c>
      <c r="J19" s="446">
        <v>8</v>
      </c>
      <c r="K19" s="446">
        <v>8.9</v>
      </c>
      <c r="L19" s="446">
        <v>8.6999999999999993</v>
      </c>
      <c r="M19" s="446">
        <v>11</v>
      </c>
      <c r="N19" s="446">
        <v>18.5</v>
      </c>
      <c r="O19" s="446">
        <v>12.1</v>
      </c>
      <c r="P19" s="446">
        <v>11</v>
      </c>
      <c r="Q19" s="446">
        <v>11.237</v>
      </c>
      <c r="R19" s="446">
        <v>11.113</v>
      </c>
      <c r="S19" s="446">
        <v>10.766</v>
      </c>
      <c r="T19" s="446">
        <v>10.502000000000001</v>
      </c>
      <c r="V19" s="937"/>
      <c r="W19" s="937"/>
      <c r="X19" s="937"/>
      <c r="Y19" s="937"/>
      <c r="Z19" s="937"/>
    </row>
    <row r="20" spans="1:26" ht="14" customHeight="1">
      <c r="A20" s="83"/>
      <c r="B20" s="23" t="s">
        <v>36</v>
      </c>
      <c r="C20" s="92">
        <v>2855</v>
      </c>
      <c r="D20" s="92">
        <v>2597</v>
      </c>
      <c r="E20" s="94">
        <v>0.6</v>
      </c>
      <c r="F20" s="446">
        <v>0.6</v>
      </c>
      <c r="G20" s="446">
        <v>0.6</v>
      </c>
      <c r="H20" s="446">
        <v>0.6</v>
      </c>
      <c r="I20" s="446">
        <v>0.6</v>
      </c>
      <c r="J20" s="446">
        <v>0.6</v>
      </c>
      <c r="K20" s="446">
        <v>0.6</v>
      </c>
      <c r="L20" s="446">
        <v>0.6</v>
      </c>
      <c r="M20" s="446">
        <v>0.9</v>
      </c>
      <c r="N20" s="446">
        <v>0.9</v>
      </c>
      <c r="O20" s="446">
        <v>0.9</v>
      </c>
      <c r="P20" s="446">
        <v>1</v>
      </c>
      <c r="Q20" s="446">
        <v>1.0089999999999999</v>
      </c>
      <c r="R20" s="446">
        <v>1.004</v>
      </c>
      <c r="S20" s="446">
        <v>0.98799999999999999</v>
      </c>
      <c r="T20" s="446">
        <v>0.96799999999999997</v>
      </c>
      <c r="V20" s="937"/>
      <c r="W20" s="937"/>
      <c r="X20" s="937"/>
      <c r="Y20" s="937"/>
      <c r="Z20" s="937"/>
    </row>
    <row r="21" spans="1:26" ht="14" customHeight="1">
      <c r="A21" s="83"/>
      <c r="B21" s="23" t="s">
        <v>37</v>
      </c>
      <c r="C21" s="92">
        <v>8733</v>
      </c>
      <c r="D21" s="92">
        <v>8763</v>
      </c>
      <c r="E21" s="94">
        <v>62.2</v>
      </c>
      <c r="F21" s="446">
        <v>70.8</v>
      </c>
      <c r="G21" s="446">
        <v>74.8</v>
      </c>
      <c r="H21" s="446">
        <v>73</v>
      </c>
      <c r="I21" s="446">
        <v>90.3</v>
      </c>
      <c r="J21" s="446">
        <v>106.4</v>
      </c>
      <c r="K21" s="446">
        <v>121.3</v>
      </c>
      <c r="L21" s="446">
        <v>129.19999999999999</v>
      </c>
      <c r="M21" s="446">
        <v>139.30000000000001</v>
      </c>
      <c r="N21" s="446">
        <v>145.9</v>
      </c>
      <c r="O21" s="446">
        <v>153.4</v>
      </c>
      <c r="P21" s="446">
        <v>165.7</v>
      </c>
      <c r="Q21" s="446">
        <v>168.941</v>
      </c>
      <c r="R21" s="446">
        <v>163.50700000000001</v>
      </c>
      <c r="S21" s="446">
        <v>167.13800000000001</v>
      </c>
      <c r="T21" s="446">
        <v>174.11500000000001</v>
      </c>
      <c r="V21" s="937"/>
      <c r="W21" s="937"/>
      <c r="X21" s="937"/>
      <c r="Y21" s="937"/>
      <c r="Z21" s="937"/>
    </row>
    <row r="22" spans="1:26" ht="14" customHeight="1">
      <c r="A22" s="83"/>
      <c r="B22" s="23" t="s">
        <v>38</v>
      </c>
      <c r="C22" s="92">
        <v>1355</v>
      </c>
      <c r="D22" s="92">
        <v>1429</v>
      </c>
      <c r="E22" s="94">
        <v>0.1</v>
      </c>
      <c r="F22" s="446">
        <v>0.2</v>
      </c>
      <c r="G22" s="446">
        <v>0.2</v>
      </c>
      <c r="H22" s="446">
        <v>0.2</v>
      </c>
      <c r="I22" s="446">
        <v>0.1</v>
      </c>
      <c r="J22" s="446">
        <v>0.1</v>
      </c>
      <c r="K22" s="446">
        <v>0.2</v>
      </c>
      <c r="L22" s="446">
        <v>0.2</v>
      </c>
      <c r="M22" s="446">
        <v>0.2</v>
      </c>
      <c r="N22" s="446">
        <v>0.2</v>
      </c>
      <c r="O22" s="446">
        <v>0.2</v>
      </c>
      <c r="P22" s="446">
        <v>0.2</v>
      </c>
      <c r="Q22" s="446">
        <v>0.19800000000000001</v>
      </c>
      <c r="R22" s="446">
        <v>0.2</v>
      </c>
      <c r="S22" s="446">
        <v>0.19800000000000001</v>
      </c>
      <c r="T22" s="446">
        <v>0.191</v>
      </c>
      <c r="V22" s="937"/>
      <c r="W22" s="937"/>
      <c r="X22" s="937"/>
      <c r="Y22" s="937"/>
      <c r="Z22" s="937"/>
    </row>
    <row r="23" spans="1:26" ht="14" customHeight="1">
      <c r="A23" s="83"/>
      <c r="B23" s="23" t="s">
        <v>39</v>
      </c>
      <c r="C23" s="92">
        <v>1093</v>
      </c>
      <c r="D23" s="92">
        <v>1071</v>
      </c>
      <c r="E23" s="94">
        <v>8.6999999999999993</v>
      </c>
      <c r="F23" s="446">
        <v>6.2</v>
      </c>
      <c r="G23" s="446">
        <v>7.5</v>
      </c>
      <c r="H23" s="446">
        <v>9.6</v>
      </c>
      <c r="I23" s="446">
        <v>9.6999999999999993</v>
      </c>
      <c r="J23" s="446">
        <v>8.9</v>
      </c>
      <c r="K23" s="446">
        <v>14.8</v>
      </c>
      <c r="L23" s="446">
        <v>16</v>
      </c>
      <c r="M23" s="446">
        <v>24.7</v>
      </c>
      <c r="N23" s="446">
        <v>21.9</v>
      </c>
      <c r="O23" s="446">
        <v>20.6</v>
      </c>
      <c r="P23" s="446">
        <v>20.2</v>
      </c>
      <c r="Q23" s="446">
        <v>20.227</v>
      </c>
      <c r="R23" s="446">
        <v>20.026</v>
      </c>
      <c r="S23" s="446">
        <v>19.859000000000002</v>
      </c>
      <c r="T23" s="446">
        <v>19.292000000000002</v>
      </c>
      <c r="V23" s="937"/>
      <c r="W23" s="937"/>
      <c r="X23" s="937"/>
      <c r="Y23" s="937"/>
      <c r="Z23" s="937"/>
    </row>
    <row r="24" spans="1:26" ht="14" customHeight="1">
      <c r="A24" s="83"/>
      <c r="B24" s="23" t="s">
        <v>40</v>
      </c>
      <c r="C24" s="92">
        <v>9405</v>
      </c>
      <c r="D24" s="92">
        <v>8786</v>
      </c>
      <c r="E24" s="94">
        <v>0.6</v>
      </c>
      <c r="F24" s="446">
        <v>0.6</v>
      </c>
      <c r="G24" s="446">
        <v>0.6</v>
      </c>
      <c r="H24" s="446">
        <v>0.6</v>
      </c>
      <c r="I24" s="446">
        <v>0.7</v>
      </c>
      <c r="J24" s="446">
        <v>0.6</v>
      </c>
      <c r="K24" s="446">
        <v>0.7</v>
      </c>
      <c r="L24" s="446">
        <v>0.7</v>
      </c>
      <c r="M24" s="446">
        <v>1</v>
      </c>
      <c r="N24" s="446">
        <v>1</v>
      </c>
      <c r="O24" s="446">
        <v>1.1000000000000001</v>
      </c>
      <c r="P24" s="446">
        <v>1.1000000000000001</v>
      </c>
      <c r="Q24" s="446">
        <v>1.1040000000000001</v>
      </c>
      <c r="R24" s="446">
        <v>1.097</v>
      </c>
      <c r="S24" s="446">
        <v>1.073</v>
      </c>
      <c r="T24" s="446">
        <v>1.0509999999999999</v>
      </c>
      <c r="V24" s="937"/>
      <c r="W24" s="937"/>
      <c r="X24" s="937"/>
      <c r="Y24" s="937"/>
      <c r="Z24" s="937"/>
    </row>
    <row r="25" spans="1:26" ht="14" customHeight="1">
      <c r="A25" s="83"/>
      <c r="B25" s="23" t="s">
        <v>41</v>
      </c>
      <c r="C25" s="92">
        <v>3879</v>
      </c>
      <c r="D25" s="92">
        <v>4268</v>
      </c>
      <c r="E25" s="94">
        <v>0.5</v>
      </c>
      <c r="F25" s="446">
        <v>0.5</v>
      </c>
      <c r="G25" s="446">
        <v>0.5</v>
      </c>
      <c r="H25" s="446">
        <v>0.5</v>
      </c>
      <c r="I25" s="446">
        <v>0.6</v>
      </c>
      <c r="J25" s="446">
        <v>0.5</v>
      </c>
      <c r="K25" s="446">
        <v>0.5</v>
      </c>
      <c r="L25" s="446">
        <v>0.6</v>
      </c>
      <c r="M25" s="446">
        <v>0.8</v>
      </c>
      <c r="N25" s="446">
        <v>0.8</v>
      </c>
      <c r="O25" s="446">
        <v>0.8</v>
      </c>
      <c r="P25" s="446">
        <v>0.8</v>
      </c>
      <c r="Q25" s="446">
        <v>0.81399999999999995</v>
      </c>
      <c r="R25" s="446">
        <v>0.81299999999999994</v>
      </c>
      <c r="S25" s="446">
        <v>0.79400000000000004</v>
      </c>
      <c r="T25" s="446">
        <v>0.76100000000000001</v>
      </c>
      <c r="V25" s="937"/>
      <c r="W25" s="937"/>
      <c r="X25" s="937"/>
      <c r="Y25" s="937"/>
      <c r="Z25" s="937"/>
    </row>
    <row r="26" spans="1:26" ht="14" customHeight="1">
      <c r="A26" s="83"/>
      <c r="B26" s="23" t="s">
        <v>44</v>
      </c>
      <c r="C26" s="92">
        <v>10312</v>
      </c>
      <c r="D26" s="92">
        <v>11894</v>
      </c>
      <c r="E26" s="94">
        <v>2</v>
      </c>
      <c r="F26" s="446">
        <v>1.6</v>
      </c>
      <c r="G26" s="446">
        <v>1.6</v>
      </c>
      <c r="H26" s="446">
        <v>1.8</v>
      </c>
      <c r="I26" s="446">
        <v>2.8</v>
      </c>
      <c r="J26" s="446">
        <v>2.5</v>
      </c>
      <c r="K26" s="446">
        <v>2.5</v>
      </c>
      <c r="L26" s="446">
        <v>3.2</v>
      </c>
      <c r="M26" s="446">
        <v>4.7</v>
      </c>
      <c r="N26" s="446">
        <v>4.4000000000000004</v>
      </c>
      <c r="O26" s="446">
        <v>4.0999999999999996</v>
      </c>
      <c r="P26" s="446">
        <v>3.9</v>
      </c>
      <c r="Q26" s="446">
        <v>4.0579999999999998</v>
      </c>
      <c r="R26" s="446">
        <v>4.0170000000000003</v>
      </c>
      <c r="S26" s="446">
        <v>3.9769999999999999</v>
      </c>
      <c r="T26" s="446">
        <v>3.8610000000000002</v>
      </c>
      <c r="V26" s="937"/>
      <c r="W26" s="937"/>
      <c r="X26" s="937"/>
      <c r="Y26" s="937"/>
      <c r="Z26" s="937"/>
    </row>
    <row r="27" spans="1:26" ht="14" customHeight="1">
      <c r="A27" s="83"/>
      <c r="B27" s="23" t="s">
        <v>45</v>
      </c>
      <c r="C27" s="92">
        <v>17230</v>
      </c>
      <c r="D27" s="92">
        <v>17401</v>
      </c>
      <c r="E27" s="94">
        <v>1.7</v>
      </c>
      <c r="F27" s="446">
        <v>1.7</v>
      </c>
      <c r="G27" s="446">
        <v>1.7</v>
      </c>
      <c r="H27" s="446">
        <v>1.7</v>
      </c>
      <c r="I27" s="446">
        <v>1.7</v>
      </c>
      <c r="J27" s="446">
        <v>1.7</v>
      </c>
      <c r="K27" s="446">
        <v>1.7</v>
      </c>
      <c r="L27" s="446">
        <v>1.8</v>
      </c>
      <c r="M27" s="446">
        <v>2.5</v>
      </c>
      <c r="N27" s="446">
        <v>2.5</v>
      </c>
      <c r="O27" s="446">
        <v>2.5</v>
      </c>
      <c r="P27" s="446">
        <v>2.6</v>
      </c>
      <c r="Q27" s="446">
        <v>2.6859999999999999</v>
      </c>
      <c r="R27" s="446">
        <v>2.6840000000000002</v>
      </c>
      <c r="S27" s="446">
        <v>2.6680000000000001</v>
      </c>
      <c r="T27" s="446">
        <v>2.6619999999999999</v>
      </c>
      <c r="V27" s="937"/>
      <c r="W27" s="937"/>
      <c r="X27" s="937"/>
      <c r="Y27" s="937"/>
      <c r="Z27" s="937"/>
    </row>
    <row r="28" spans="1:26" ht="14" customHeight="1">
      <c r="A28" s="83"/>
      <c r="B28" s="82" t="s">
        <v>46</v>
      </c>
      <c r="C28" s="92">
        <v>4917</v>
      </c>
      <c r="D28" s="92">
        <v>5575</v>
      </c>
      <c r="E28" s="94">
        <v>14</v>
      </c>
      <c r="F28" s="446">
        <v>16</v>
      </c>
      <c r="G28" s="446">
        <v>19.600000000000001</v>
      </c>
      <c r="H28" s="446">
        <v>20</v>
      </c>
      <c r="I28" s="446">
        <v>24.3</v>
      </c>
      <c r="J28" s="446">
        <v>27.7</v>
      </c>
      <c r="K28" s="446">
        <v>27.8</v>
      </c>
      <c r="L28" s="446">
        <v>33.1</v>
      </c>
      <c r="M28" s="446">
        <v>35.200000000000003</v>
      </c>
      <c r="N28" s="446">
        <v>35.799999999999997</v>
      </c>
      <c r="O28" s="446">
        <v>38</v>
      </c>
      <c r="P28" s="446">
        <v>38.9</v>
      </c>
      <c r="Q28" s="446">
        <v>40.420999999999999</v>
      </c>
      <c r="R28" s="446">
        <v>39.499000000000002</v>
      </c>
      <c r="S28" s="446">
        <v>39.481999999999999</v>
      </c>
      <c r="T28" s="446">
        <v>39.408999999999999</v>
      </c>
      <c r="V28" s="937"/>
      <c r="W28" s="937"/>
      <c r="X28" s="937"/>
      <c r="Y28" s="937"/>
      <c r="Z28" s="937"/>
    </row>
    <row r="29" spans="1:26" ht="14" customHeight="1">
      <c r="A29" s="83"/>
      <c r="B29" s="23" t="s">
        <v>47</v>
      </c>
      <c r="C29" s="92">
        <v>520</v>
      </c>
      <c r="D29" s="92">
        <v>561</v>
      </c>
      <c r="E29" s="94">
        <v>11.9</v>
      </c>
      <c r="F29" s="446">
        <v>12.9</v>
      </c>
      <c r="G29" s="446">
        <v>20.2</v>
      </c>
      <c r="H29" s="446">
        <v>20.9</v>
      </c>
      <c r="I29" s="446">
        <v>18.399999999999999</v>
      </c>
      <c r="J29" s="446">
        <v>21.6</v>
      </c>
      <c r="K29" s="446">
        <v>21.6</v>
      </c>
      <c r="L29" s="446">
        <v>21.6</v>
      </c>
      <c r="M29" s="446">
        <v>25.6</v>
      </c>
      <c r="N29" s="446">
        <v>23.9</v>
      </c>
      <c r="O29" s="446">
        <v>23.7</v>
      </c>
      <c r="P29" s="446">
        <v>26.1</v>
      </c>
      <c r="Q29" s="446">
        <v>26.873000000000001</v>
      </c>
      <c r="R29" s="446">
        <v>26.128</v>
      </c>
      <c r="S29" s="446">
        <v>26.003</v>
      </c>
      <c r="T29" s="446">
        <v>26.244</v>
      </c>
      <c r="V29" s="937"/>
      <c r="W29" s="937"/>
      <c r="X29" s="937"/>
      <c r="Y29" s="937"/>
      <c r="Z29" s="937"/>
    </row>
    <row r="30" spans="1:26" ht="14" customHeight="1">
      <c r="A30" s="83"/>
      <c r="B30" s="23" t="s">
        <v>48</v>
      </c>
      <c r="C30" s="92">
        <v>1585</v>
      </c>
      <c r="D30" s="92">
        <v>1581</v>
      </c>
      <c r="E30" s="94">
        <v>10.3</v>
      </c>
      <c r="F30" s="446">
        <v>9.8000000000000007</v>
      </c>
      <c r="G30" s="446">
        <v>10.6</v>
      </c>
      <c r="H30" s="446">
        <v>10.1</v>
      </c>
      <c r="I30" s="446">
        <v>11.7</v>
      </c>
      <c r="J30" s="446">
        <v>14.7</v>
      </c>
      <c r="K30" s="446">
        <v>17</v>
      </c>
      <c r="L30" s="446">
        <v>16.7</v>
      </c>
      <c r="M30" s="446">
        <v>18.600000000000001</v>
      </c>
      <c r="N30" s="446">
        <v>10.4</v>
      </c>
      <c r="O30" s="446">
        <v>12</v>
      </c>
      <c r="P30" s="446">
        <v>14.7</v>
      </c>
      <c r="Q30" s="446">
        <v>15.75</v>
      </c>
      <c r="R30" s="446">
        <v>15.241</v>
      </c>
      <c r="S30" s="446">
        <v>15.499000000000001</v>
      </c>
      <c r="T30" s="446">
        <v>15.263</v>
      </c>
      <c r="V30" s="937"/>
      <c r="W30" s="937"/>
      <c r="X30" s="937"/>
      <c r="Y30" s="937"/>
      <c r="Z30" s="937"/>
    </row>
    <row r="31" spans="1:26" ht="14" customHeight="1">
      <c r="A31" s="83"/>
      <c r="B31" s="23" t="s">
        <v>49</v>
      </c>
      <c r="C31" s="92">
        <v>1093</v>
      </c>
      <c r="D31" s="92">
        <v>1265</v>
      </c>
      <c r="E31" s="94">
        <v>1.7</v>
      </c>
      <c r="F31" s="446">
        <v>2.1</v>
      </c>
      <c r="G31" s="446">
        <v>2.9</v>
      </c>
      <c r="H31" s="446">
        <v>2.9</v>
      </c>
      <c r="I31" s="446">
        <v>3.3</v>
      </c>
      <c r="J31" s="446">
        <v>4.7</v>
      </c>
      <c r="K31" s="446">
        <v>5.6</v>
      </c>
      <c r="L31" s="446">
        <v>5.6</v>
      </c>
      <c r="M31" s="446">
        <v>6.7</v>
      </c>
      <c r="N31" s="446">
        <v>7.4</v>
      </c>
      <c r="O31" s="446">
        <v>8.4</v>
      </c>
      <c r="P31" s="446">
        <v>9.3000000000000007</v>
      </c>
      <c r="Q31" s="446">
        <v>9.7189999999999994</v>
      </c>
      <c r="R31" s="446">
        <v>9.4120000000000008</v>
      </c>
      <c r="S31" s="446">
        <v>9.4909999999999997</v>
      </c>
      <c r="T31" s="446">
        <v>9.4130000000000003</v>
      </c>
      <c r="V31" s="937"/>
      <c r="W31" s="937"/>
      <c r="X31" s="937"/>
      <c r="Y31" s="937"/>
      <c r="Z31" s="937"/>
    </row>
    <row r="32" spans="1:26" ht="5" customHeight="1" thickBot="1">
      <c r="A32" s="8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 spans="1:20" ht="9" customHeight="1">
      <c r="A33" s="778" t="s">
        <v>402</v>
      </c>
      <c r="B33" s="780"/>
      <c r="C33" s="803"/>
      <c r="D33" s="803"/>
      <c r="E33" s="803"/>
      <c r="F33" s="803"/>
      <c r="G33" s="803"/>
      <c r="H33" s="803"/>
      <c r="I33" s="218"/>
      <c r="J33" s="218"/>
      <c r="K33" s="218"/>
      <c r="L33" s="38"/>
      <c r="M33" s="38"/>
      <c r="N33" s="38"/>
      <c r="O33" s="38"/>
      <c r="P33" s="38"/>
      <c r="Q33" s="38"/>
      <c r="R33" s="38"/>
      <c r="S33" s="38"/>
      <c r="T33" s="38"/>
    </row>
    <row r="34" spans="1:20" ht="9" customHeight="1">
      <c r="A34" s="778" t="s">
        <v>359</v>
      </c>
      <c r="B34" s="780"/>
      <c r="C34" s="803"/>
      <c r="D34" s="803"/>
      <c r="E34" s="803"/>
      <c r="F34" s="803"/>
      <c r="G34" s="803"/>
      <c r="H34" s="804"/>
      <c r="I34" s="225"/>
      <c r="J34" s="225"/>
      <c r="K34" s="225"/>
      <c r="L34" s="84"/>
      <c r="M34" s="84"/>
      <c r="N34" s="84"/>
      <c r="O34" s="84"/>
      <c r="P34" s="84"/>
      <c r="Q34" s="84"/>
      <c r="R34" s="84"/>
      <c r="S34" s="84"/>
      <c r="T34" s="84"/>
    </row>
    <row r="35" spans="1:20" ht="9" customHeight="1">
      <c r="A35" s="780" t="s">
        <v>358</v>
      </c>
      <c r="B35" s="788"/>
      <c r="C35" s="803"/>
      <c r="D35" s="803"/>
      <c r="E35" s="803"/>
      <c r="F35" s="803"/>
      <c r="G35" s="803"/>
      <c r="H35" s="804"/>
      <c r="I35" s="225"/>
      <c r="J35" s="225"/>
      <c r="K35" s="225"/>
      <c r="L35" s="84"/>
      <c r="M35" s="84"/>
      <c r="N35" s="84"/>
      <c r="O35" s="84"/>
      <c r="P35" s="84"/>
      <c r="Q35" s="84"/>
      <c r="R35" s="84"/>
      <c r="S35" s="84"/>
      <c r="T35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Hoja132">
    <tabColor theme="9" tint="0.59999389629810485"/>
  </sheetPr>
  <dimension ref="A2:V37"/>
  <sheetViews>
    <sheetView showGridLines="0" zoomScaleNormal="100" workbookViewId="0">
      <selection activeCell="U62" sqref="U62"/>
    </sheetView>
  </sheetViews>
  <sheetFormatPr baseColWidth="10" defaultColWidth="7" defaultRowHeight="13.25" customHeight="1"/>
  <cols>
    <col min="1" max="1" width="1.3984375" style="82" customWidth="1"/>
    <col min="2" max="2" width="11.3984375" style="82" customWidth="1"/>
    <col min="3" max="3" width="2.3984375" style="82" hidden="1" customWidth="1"/>
    <col min="4" max="20" width="8.3984375" style="82" customWidth="1"/>
    <col min="21" max="16384" width="7" style="82"/>
  </cols>
  <sheetData>
    <row r="2" spans="1:22" ht="13.25" customHeight="1">
      <c r="A2" s="221" t="s">
        <v>599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22" ht="13.25" customHeight="1">
      <c r="A3" s="220" t="s">
        <v>437</v>
      </c>
      <c r="B3" s="220"/>
      <c r="C3" s="219"/>
      <c r="D3" s="219"/>
      <c r="E3" s="219"/>
      <c r="F3" s="219"/>
      <c r="G3" s="219"/>
      <c r="H3" s="219"/>
      <c r="I3" s="219"/>
      <c r="J3" s="219"/>
    </row>
    <row r="4" spans="1:22" ht="4.25" customHeight="1" thickBo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22" ht="15" customHeight="1">
      <c r="A5" s="1003" t="s">
        <v>18</v>
      </c>
      <c r="B5" s="1003"/>
      <c r="C5" s="769">
        <v>2007</v>
      </c>
      <c r="D5" s="763">
        <v>2008</v>
      </c>
      <c r="E5" s="763">
        <v>2009</v>
      </c>
      <c r="F5" s="763">
        <v>2010</v>
      </c>
      <c r="G5" s="763">
        <v>2011</v>
      </c>
      <c r="H5" s="763">
        <v>2012</v>
      </c>
      <c r="I5" s="763">
        <v>2013</v>
      </c>
      <c r="J5" s="763">
        <v>2014</v>
      </c>
      <c r="K5" s="763">
        <v>2015</v>
      </c>
      <c r="L5" s="763">
        <v>2016</v>
      </c>
      <c r="M5" s="763">
        <v>2017</v>
      </c>
      <c r="N5" s="763" t="s">
        <v>197</v>
      </c>
      <c r="O5" s="763" t="s">
        <v>348</v>
      </c>
      <c r="P5" s="763">
        <v>2020</v>
      </c>
      <c r="Q5" s="763">
        <v>2021</v>
      </c>
      <c r="R5" s="763" t="s">
        <v>477</v>
      </c>
    </row>
    <row r="6" spans="1:22" ht="15" customHeight="1">
      <c r="A6" s="963" t="s">
        <v>96</v>
      </c>
      <c r="B6" s="963"/>
      <c r="C6" s="770">
        <v>3.63</v>
      </c>
      <c r="D6" s="771">
        <v>4.18</v>
      </c>
      <c r="E6" s="771">
        <v>4.33</v>
      </c>
      <c r="F6" s="771">
        <v>4.6399999999999997</v>
      </c>
      <c r="G6" s="771">
        <v>4.67</v>
      </c>
      <c r="H6" s="771">
        <v>4.7</v>
      </c>
      <c r="I6" s="771">
        <v>4.75</v>
      </c>
      <c r="J6" s="771">
        <v>4.78</v>
      </c>
      <c r="K6" s="771">
        <v>4.82</v>
      </c>
      <c r="L6" s="771">
        <v>4.84</v>
      </c>
      <c r="M6" s="771">
        <v>4.84</v>
      </c>
      <c r="N6" s="771">
        <v>4.8600000000000003</v>
      </c>
      <c r="O6" s="771">
        <v>4.6500000000000004</v>
      </c>
      <c r="P6" s="771">
        <v>5.0199999999999996</v>
      </c>
      <c r="Q6" s="771">
        <v>5.85</v>
      </c>
      <c r="R6" s="771">
        <v>6.33</v>
      </c>
    </row>
    <row r="7" spans="1:22" ht="4.25" customHeight="1">
      <c r="A7" s="83"/>
      <c r="B7" s="84"/>
      <c r="C7" s="85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</row>
    <row r="8" spans="1:22" ht="12.75" customHeight="1">
      <c r="A8" s="83"/>
      <c r="B8" s="23" t="s">
        <v>21</v>
      </c>
      <c r="C8" s="86">
        <v>3.79</v>
      </c>
      <c r="D8" s="238">
        <v>4.08</v>
      </c>
      <c r="E8" s="238">
        <v>4.21</v>
      </c>
      <c r="F8" s="238">
        <v>4.1100000000000003</v>
      </c>
      <c r="G8" s="238">
        <v>4.1100000000000003</v>
      </c>
      <c r="H8" s="238">
        <v>4.2300000000000004</v>
      </c>
      <c r="I8" s="238">
        <v>4.12</v>
      </c>
      <c r="J8" s="238">
        <v>4.51</v>
      </c>
      <c r="K8" s="238">
        <v>4.95</v>
      </c>
      <c r="L8" s="238">
        <v>4.8600000000000003</v>
      </c>
      <c r="M8" s="238">
        <v>4.6500000000000004</v>
      </c>
      <c r="N8" s="238">
        <v>4.8499999999999996</v>
      </c>
      <c r="O8" s="238">
        <v>4.7699999999999996</v>
      </c>
      <c r="P8" s="238">
        <v>4.93</v>
      </c>
      <c r="Q8" s="238">
        <v>5.35</v>
      </c>
      <c r="R8" s="238">
        <v>5.91</v>
      </c>
      <c r="S8" s="161"/>
      <c r="T8" s="161"/>
      <c r="U8" s="161"/>
      <c r="V8" s="161"/>
    </row>
    <row r="9" spans="1:22" ht="12.75" customHeight="1">
      <c r="A9" s="83"/>
      <c r="B9" s="23" t="s">
        <v>22</v>
      </c>
      <c r="C9" s="86">
        <v>3.83</v>
      </c>
      <c r="D9" s="238">
        <v>3.87</v>
      </c>
      <c r="E9" s="238">
        <v>4.18</v>
      </c>
      <c r="F9" s="238">
        <v>4.25</v>
      </c>
      <c r="G9" s="238">
        <v>3.84</v>
      </c>
      <c r="H9" s="238">
        <v>4.33</v>
      </c>
      <c r="I9" s="238">
        <v>4.33</v>
      </c>
      <c r="J9" s="238">
        <v>4.59</v>
      </c>
      <c r="K9" s="238">
        <v>5</v>
      </c>
      <c r="L9" s="238">
        <v>4.9400000000000004</v>
      </c>
      <c r="M9" s="238">
        <v>4.83</v>
      </c>
      <c r="N9" s="238">
        <v>4.92</v>
      </c>
      <c r="O9" s="238">
        <v>4.79</v>
      </c>
      <c r="P9" s="238">
        <v>5.14</v>
      </c>
      <c r="Q9" s="238">
        <v>5.79</v>
      </c>
      <c r="R9" s="238">
        <v>6.21</v>
      </c>
      <c r="S9" s="161"/>
      <c r="T9" s="161"/>
      <c r="U9" s="161"/>
      <c r="V9" s="161"/>
    </row>
    <row r="10" spans="1:22" ht="12.75" customHeight="1">
      <c r="A10" s="83"/>
      <c r="B10" s="23" t="s">
        <v>23</v>
      </c>
      <c r="C10" s="86">
        <v>3.67</v>
      </c>
      <c r="D10" s="238">
        <v>3.92</v>
      </c>
      <c r="E10" s="238">
        <v>4.18</v>
      </c>
      <c r="F10" s="238">
        <v>4.3099999999999996</v>
      </c>
      <c r="G10" s="238">
        <v>4.28</v>
      </c>
      <c r="H10" s="238">
        <v>4.53</v>
      </c>
      <c r="I10" s="238">
        <v>4.58</v>
      </c>
      <c r="J10" s="238">
        <v>4.71</v>
      </c>
      <c r="K10" s="238">
        <v>5.0199999999999996</v>
      </c>
      <c r="L10" s="238">
        <v>4.97</v>
      </c>
      <c r="M10" s="238">
        <v>4.9400000000000004</v>
      </c>
      <c r="N10" s="238">
        <v>4.92</v>
      </c>
      <c r="O10" s="238">
        <v>4.7699999999999996</v>
      </c>
      <c r="P10" s="238">
        <v>5.17</v>
      </c>
      <c r="Q10" s="238">
        <v>5.91</v>
      </c>
      <c r="R10" s="238">
        <v>6.3</v>
      </c>
      <c r="S10" s="161"/>
      <c r="T10" s="161"/>
      <c r="U10" s="161"/>
      <c r="V10" s="161"/>
    </row>
    <row r="11" spans="1:22" ht="12.75" customHeight="1">
      <c r="A11" s="83"/>
      <c r="B11" s="23" t="s">
        <v>24</v>
      </c>
      <c r="C11" s="87">
        <v>3.97</v>
      </c>
      <c r="D11" s="238">
        <v>4.1500000000000004</v>
      </c>
      <c r="E11" s="238">
        <v>5.03</v>
      </c>
      <c r="F11" s="238">
        <v>4.66</v>
      </c>
      <c r="G11" s="238">
        <v>4.8499999999999996</v>
      </c>
      <c r="H11" s="238">
        <v>4.74</v>
      </c>
      <c r="I11" s="238">
        <v>4.72</v>
      </c>
      <c r="J11" s="238">
        <v>4.74</v>
      </c>
      <c r="K11" s="238">
        <v>5.04</v>
      </c>
      <c r="L11" s="238">
        <v>4.9400000000000004</v>
      </c>
      <c r="M11" s="238">
        <v>4.91</v>
      </c>
      <c r="N11" s="238">
        <v>4.91</v>
      </c>
      <c r="O11" s="238">
        <v>4.75</v>
      </c>
      <c r="P11" s="238">
        <v>5.18</v>
      </c>
      <c r="Q11" s="238">
        <v>5.93</v>
      </c>
      <c r="R11" s="238">
        <v>6.33</v>
      </c>
      <c r="S11" s="161"/>
      <c r="T11" s="161"/>
      <c r="U11" s="161"/>
      <c r="V11" s="161"/>
    </row>
    <row r="12" spans="1:22" ht="12.75" customHeight="1">
      <c r="A12" s="83"/>
      <c r="B12" s="23" t="s">
        <v>25</v>
      </c>
      <c r="C12" s="86">
        <v>3.71</v>
      </c>
      <c r="D12" s="238">
        <v>3.88</v>
      </c>
      <c r="E12" s="238">
        <v>4.04</v>
      </c>
      <c r="F12" s="238">
        <v>4.7699999999999996</v>
      </c>
      <c r="G12" s="238">
        <v>4.2300000000000004</v>
      </c>
      <c r="H12" s="238">
        <v>4.3499999999999996</v>
      </c>
      <c r="I12" s="238">
        <v>4.5999999999999996</v>
      </c>
      <c r="J12" s="238">
        <v>4.79</v>
      </c>
      <c r="K12" s="238">
        <v>5.0599999999999996</v>
      </c>
      <c r="L12" s="238">
        <v>4.9400000000000004</v>
      </c>
      <c r="M12" s="238">
        <v>4.8600000000000003</v>
      </c>
      <c r="N12" s="238">
        <v>4.87</v>
      </c>
      <c r="O12" s="238">
        <v>4.9000000000000004</v>
      </c>
      <c r="P12" s="238">
        <v>5.29</v>
      </c>
      <c r="Q12" s="238">
        <v>5.91</v>
      </c>
      <c r="R12" s="238">
        <v>6.33</v>
      </c>
      <c r="S12" s="161"/>
      <c r="T12" s="161"/>
      <c r="U12" s="161"/>
      <c r="V12" s="161"/>
    </row>
    <row r="13" spans="1:22" ht="12.75" customHeight="1">
      <c r="A13" s="83"/>
      <c r="B13" s="23" t="s">
        <v>29</v>
      </c>
      <c r="C13" s="86">
        <v>3.8</v>
      </c>
      <c r="D13" s="238">
        <v>3.96</v>
      </c>
      <c r="E13" s="238">
        <v>4.2</v>
      </c>
      <c r="F13" s="238">
        <v>4.09</v>
      </c>
      <c r="G13" s="238">
        <v>4.38</v>
      </c>
      <c r="H13" s="238">
        <v>4.63</v>
      </c>
      <c r="I13" s="238">
        <v>4.59</v>
      </c>
      <c r="J13" s="238">
        <v>4.8499999999999996</v>
      </c>
      <c r="K13" s="238">
        <v>4.95</v>
      </c>
      <c r="L13" s="238">
        <v>4.91</v>
      </c>
      <c r="M13" s="238">
        <v>4.83</v>
      </c>
      <c r="N13" s="238">
        <v>4.84</v>
      </c>
      <c r="O13" s="238">
        <v>4.84</v>
      </c>
      <c r="P13" s="238">
        <v>5.26</v>
      </c>
      <c r="Q13" s="238">
        <v>5.92</v>
      </c>
      <c r="R13" s="238">
        <v>6.28</v>
      </c>
      <c r="S13" s="161"/>
      <c r="T13" s="161"/>
      <c r="U13" s="161"/>
      <c r="V13" s="161"/>
    </row>
    <row r="14" spans="1:22" ht="12.75" customHeight="1">
      <c r="A14" s="83"/>
      <c r="B14" s="23" t="s">
        <v>30</v>
      </c>
      <c r="C14" s="87">
        <v>3.63</v>
      </c>
      <c r="D14" s="238">
        <v>3.74</v>
      </c>
      <c r="E14" s="238">
        <v>4.46</v>
      </c>
      <c r="F14" s="238">
        <v>4.32</v>
      </c>
      <c r="G14" s="238">
        <v>4.3899999999999997</v>
      </c>
      <c r="H14" s="238">
        <v>4.66</v>
      </c>
      <c r="I14" s="238">
        <v>4.71</v>
      </c>
      <c r="J14" s="238">
        <v>4.99</v>
      </c>
      <c r="K14" s="238">
        <v>5.08</v>
      </c>
      <c r="L14" s="238">
        <v>4.91</v>
      </c>
      <c r="M14" s="238">
        <v>4.76</v>
      </c>
      <c r="N14" s="238">
        <v>4.8099999999999996</v>
      </c>
      <c r="O14" s="238">
        <v>4.76</v>
      </c>
      <c r="P14" s="238">
        <v>5.15</v>
      </c>
      <c r="Q14" s="238">
        <v>5.95</v>
      </c>
      <c r="R14" s="238">
        <v>6.26</v>
      </c>
      <c r="S14" s="161"/>
      <c r="T14" s="161"/>
      <c r="U14" s="161"/>
      <c r="V14" s="161"/>
    </row>
    <row r="15" spans="1:22" ht="12.75" customHeight="1">
      <c r="A15" s="83"/>
      <c r="B15" s="23" t="s">
        <v>31</v>
      </c>
      <c r="C15" s="87">
        <v>3.5</v>
      </c>
      <c r="D15" s="238">
        <v>4.25</v>
      </c>
      <c r="E15" s="238">
        <v>4.04</v>
      </c>
      <c r="F15" s="238">
        <v>4.71</v>
      </c>
      <c r="G15" s="238">
        <v>4.7</v>
      </c>
      <c r="H15" s="238">
        <v>4.6500000000000004</v>
      </c>
      <c r="I15" s="238">
        <v>4.7</v>
      </c>
      <c r="J15" s="238">
        <v>4.7</v>
      </c>
      <c r="K15" s="238">
        <v>4.8499999999999996</v>
      </c>
      <c r="L15" s="238">
        <v>4.8</v>
      </c>
      <c r="M15" s="238">
        <v>4.83</v>
      </c>
      <c r="N15" s="238">
        <v>4.8600000000000003</v>
      </c>
      <c r="O15" s="238">
        <v>4.55</v>
      </c>
      <c r="P15" s="238">
        <v>4.8499999999999996</v>
      </c>
      <c r="Q15" s="238">
        <v>5.78</v>
      </c>
      <c r="R15" s="238">
        <v>6.39</v>
      </c>
      <c r="S15" s="161"/>
      <c r="T15" s="161"/>
      <c r="U15" s="161"/>
      <c r="V15" s="161"/>
    </row>
    <row r="16" spans="1:22" ht="12.75" customHeight="1">
      <c r="A16" s="83"/>
      <c r="B16" s="23" t="s">
        <v>32</v>
      </c>
      <c r="C16" s="86">
        <v>3.85</v>
      </c>
      <c r="D16" s="238">
        <v>4.3099999999999996</v>
      </c>
      <c r="E16" s="238">
        <v>4.26</v>
      </c>
      <c r="F16" s="238">
        <v>4.66</v>
      </c>
      <c r="G16" s="238">
        <v>4.6100000000000003</v>
      </c>
      <c r="H16" s="238">
        <v>4.67</v>
      </c>
      <c r="I16" s="238">
        <v>4.6399999999999997</v>
      </c>
      <c r="J16" s="238">
        <v>4.79</v>
      </c>
      <c r="K16" s="238">
        <v>4.9000000000000004</v>
      </c>
      <c r="L16" s="238">
        <v>4.8600000000000003</v>
      </c>
      <c r="M16" s="238">
        <v>4.79</v>
      </c>
      <c r="N16" s="238">
        <v>4.74</v>
      </c>
      <c r="O16" s="238">
        <v>4.5999999999999996</v>
      </c>
      <c r="P16" s="238">
        <v>4.91</v>
      </c>
      <c r="Q16" s="238">
        <v>6.38</v>
      </c>
      <c r="R16" s="238">
        <v>6.11</v>
      </c>
      <c r="S16" s="161"/>
      <c r="T16" s="161"/>
      <c r="U16" s="161"/>
      <c r="V16" s="161"/>
    </row>
    <row r="17" spans="1:22" ht="12.75" customHeight="1">
      <c r="A17" s="83"/>
      <c r="B17" s="23" t="s">
        <v>33</v>
      </c>
      <c r="C17" s="86">
        <v>3.66</v>
      </c>
      <c r="D17" s="238">
        <v>3.9</v>
      </c>
      <c r="E17" s="238">
        <v>4.13</v>
      </c>
      <c r="F17" s="238">
        <v>4.08</v>
      </c>
      <c r="G17" s="238">
        <v>4.55</v>
      </c>
      <c r="H17" s="238">
        <v>4.55</v>
      </c>
      <c r="I17" s="238">
        <v>4.6100000000000003</v>
      </c>
      <c r="J17" s="238">
        <v>4.99</v>
      </c>
      <c r="K17" s="238">
        <v>5.0199999999999996</v>
      </c>
      <c r="L17" s="238">
        <v>4.8899999999999997</v>
      </c>
      <c r="M17" s="238">
        <v>4.8</v>
      </c>
      <c r="N17" s="238">
        <v>4.8099999999999996</v>
      </c>
      <c r="O17" s="238">
        <v>4.87</v>
      </c>
      <c r="P17" s="238">
        <v>5.4</v>
      </c>
      <c r="Q17" s="238">
        <v>5.95</v>
      </c>
      <c r="R17" s="238">
        <v>6.34</v>
      </c>
      <c r="S17" s="161"/>
      <c r="T17" s="161"/>
      <c r="U17" s="161"/>
      <c r="V17" s="161"/>
    </row>
    <row r="18" spans="1:22" ht="12.75" customHeight="1">
      <c r="A18" s="83"/>
      <c r="B18" s="23" t="s">
        <v>34</v>
      </c>
      <c r="C18" s="87">
        <v>3.87</v>
      </c>
      <c r="D18" s="238">
        <v>3.84</v>
      </c>
      <c r="E18" s="238">
        <v>3.94</v>
      </c>
      <c r="F18" s="238">
        <v>4.04</v>
      </c>
      <c r="G18" s="238">
        <v>4.3600000000000003</v>
      </c>
      <c r="H18" s="238">
        <v>4.51</v>
      </c>
      <c r="I18" s="238">
        <v>4.54</v>
      </c>
      <c r="J18" s="238">
        <v>4.9000000000000004</v>
      </c>
      <c r="K18" s="238">
        <v>5</v>
      </c>
      <c r="L18" s="238">
        <v>4.92</v>
      </c>
      <c r="M18" s="238">
        <v>4.8099999999999996</v>
      </c>
      <c r="N18" s="238">
        <v>4.8600000000000003</v>
      </c>
      <c r="O18" s="238">
        <v>4.95</v>
      </c>
      <c r="P18" s="238">
        <v>5.48</v>
      </c>
      <c r="Q18" s="238">
        <v>5.85</v>
      </c>
      <c r="R18" s="238">
        <v>6.21</v>
      </c>
      <c r="S18" s="161"/>
      <c r="T18" s="161"/>
      <c r="U18" s="161"/>
      <c r="V18" s="161"/>
    </row>
    <row r="19" spans="1:22" ht="12.75" customHeight="1">
      <c r="A19" s="83"/>
      <c r="B19" s="23" t="s">
        <v>35</v>
      </c>
      <c r="C19" s="87">
        <v>3.82</v>
      </c>
      <c r="D19" s="238">
        <v>3.93</v>
      </c>
      <c r="E19" s="238">
        <v>4.1100000000000003</v>
      </c>
      <c r="F19" s="238">
        <v>4.66</v>
      </c>
      <c r="G19" s="238">
        <v>4.58</v>
      </c>
      <c r="H19" s="238">
        <v>4.79</v>
      </c>
      <c r="I19" s="238">
        <v>4.71</v>
      </c>
      <c r="J19" s="238">
        <v>5.0999999999999996</v>
      </c>
      <c r="K19" s="238">
        <v>5.13</v>
      </c>
      <c r="L19" s="238">
        <v>4.96</v>
      </c>
      <c r="M19" s="238">
        <v>4.79</v>
      </c>
      <c r="N19" s="238">
        <v>4.88</v>
      </c>
      <c r="O19" s="238">
        <v>4.95</v>
      </c>
      <c r="P19" s="238">
        <v>5.41</v>
      </c>
      <c r="Q19" s="238">
        <v>5.89</v>
      </c>
      <c r="R19" s="238">
        <v>6.25</v>
      </c>
      <c r="S19" s="161"/>
      <c r="T19" s="161"/>
      <c r="U19" s="161"/>
      <c r="V19" s="161"/>
    </row>
    <row r="20" spans="1:22" ht="12.75" customHeight="1">
      <c r="A20" s="83"/>
      <c r="B20" s="23" t="s">
        <v>36</v>
      </c>
      <c r="C20" s="87">
        <v>3.92</v>
      </c>
      <c r="D20" s="238">
        <v>3.88</v>
      </c>
      <c r="E20" s="238">
        <v>4.21</v>
      </c>
      <c r="F20" s="238">
        <v>4.09</v>
      </c>
      <c r="G20" s="238">
        <v>4.4000000000000004</v>
      </c>
      <c r="H20" s="238">
        <v>4.55</v>
      </c>
      <c r="I20" s="238">
        <v>4.62</v>
      </c>
      <c r="J20" s="238">
        <v>4.91</v>
      </c>
      <c r="K20" s="238">
        <v>5.09</v>
      </c>
      <c r="L20" s="238">
        <v>4.95</v>
      </c>
      <c r="M20" s="238">
        <v>4.66</v>
      </c>
      <c r="N20" s="238">
        <v>4.7300000000000004</v>
      </c>
      <c r="O20" s="238">
        <v>4.87</v>
      </c>
      <c r="P20" s="238">
        <v>5.37</v>
      </c>
      <c r="Q20" s="238">
        <v>5.71</v>
      </c>
      <c r="R20" s="238">
        <v>6.72</v>
      </c>
      <c r="S20" s="161"/>
      <c r="T20" s="161"/>
      <c r="U20" s="161"/>
      <c r="V20" s="161"/>
    </row>
    <row r="21" spans="1:22" ht="12.75" customHeight="1">
      <c r="A21" s="83"/>
      <c r="B21" s="23" t="s">
        <v>37</v>
      </c>
      <c r="C21" s="87">
        <v>3.41</v>
      </c>
      <c r="D21" s="238">
        <v>4</v>
      </c>
      <c r="E21" s="238">
        <v>4.79</v>
      </c>
      <c r="F21" s="238">
        <v>4.41</v>
      </c>
      <c r="G21" s="238">
        <v>4.25</v>
      </c>
      <c r="H21" s="238">
        <v>4.62</v>
      </c>
      <c r="I21" s="238">
        <v>4.72</v>
      </c>
      <c r="J21" s="238">
        <v>4.74</v>
      </c>
      <c r="K21" s="238">
        <v>4.82</v>
      </c>
      <c r="L21" s="238">
        <v>4.96</v>
      </c>
      <c r="M21" s="238">
        <v>4.93</v>
      </c>
      <c r="N21" s="238">
        <v>4.9400000000000004</v>
      </c>
      <c r="O21" s="238">
        <v>4.76</v>
      </c>
      <c r="P21" s="238">
        <v>5.31</v>
      </c>
      <c r="Q21" s="238">
        <v>5.8</v>
      </c>
      <c r="R21" s="238">
        <v>6.32</v>
      </c>
      <c r="S21" s="161"/>
      <c r="T21" s="161"/>
      <c r="U21" s="161"/>
      <c r="V21" s="161"/>
    </row>
    <row r="22" spans="1:22" ht="12.75" customHeight="1">
      <c r="A22" s="83"/>
      <c r="B22" s="23" t="s">
        <v>38</v>
      </c>
      <c r="C22" s="87">
        <v>3.6</v>
      </c>
      <c r="D22" s="238">
        <v>3.86</v>
      </c>
      <c r="E22" s="238">
        <v>4.2300000000000004</v>
      </c>
      <c r="F22" s="238">
        <v>4.16</v>
      </c>
      <c r="G22" s="238">
        <v>4.13</v>
      </c>
      <c r="H22" s="238">
        <v>4.53</v>
      </c>
      <c r="I22" s="238">
        <v>4.7</v>
      </c>
      <c r="J22" s="238">
        <v>4.57</v>
      </c>
      <c r="K22" s="238">
        <v>4.82</v>
      </c>
      <c r="L22" s="238">
        <v>4.82</v>
      </c>
      <c r="M22" s="238">
        <v>4.74</v>
      </c>
      <c r="N22" s="238">
        <v>4.8499999999999996</v>
      </c>
      <c r="O22" s="238">
        <v>4.9400000000000004</v>
      </c>
      <c r="P22" s="238">
        <v>5.41</v>
      </c>
      <c r="Q22" s="238">
        <v>5.79</v>
      </c>
      <c r="R22" s="238">
        <v>5.64</v>
      </c>
      <c r="S22" s="161"/>
      <c r="T22" s="161"/>
      <c r="U22" s="161"/>
      <c r="V22" s="161"/>
    </row>
    <row r="23" spans="1:22" ht="12.75" customHeight="1">
      <c r="A23" s="83"/>
      <c r="B23" s="23" t="s">
        <v>39</v>
      </c>
      <c r="C23" s="87">
        <v>3.54</v>
      </c>
      <c r="D23" s="238">
        <v>3.93</v>
      </c>
      <c r="E23" s="238">
        <v>4.46</v>
      </c>
      <c r="F23" s="238">
        <v>4.3099999999999996</v>
      </c>
      <c r="G23" s="238">
        <v>4.38</v>
      </c>
      <c r="H23" s="238">
        <v>4.68</v>
      </c>
      <c r="I23" s="238">
        <v>4.7300000000000004</v>
      </c>
      <c r="J23" s="238">
        <v>5.03</v>
      </c>
      <c r="K23" s="238">
        <v>5.12</v>
      </c>
      <c r="L23" s="238">
        <v>4.96</v>
      </c>
      <c r="M23" s="238">
        <v>4.8</v>
      </c>
      <c r="N23" s="238">
        <v>4.88</v>
      </c>
      <c r="O23" s="238">
        <v>4.87</v>
      </c>
      <c r="P23" s="238">
        <v>5.31</v>
      </c>
      <c r="Q23" s="238">
        <v>5.78</v>
      </c>
      <c r="R23" s="238">
        <v>6.04</v>
      </c>
      <c r="S23" s="161"/>
      <c r="T23" s="161"/>
      <c r="U23" s="161"/>
      <c r="V23" s="161"/>
    </row>
    <row r="24" spans="1:22" ht="12.75" customHeight="1">
      <c r="A24" s="83"/>
      <c r="B24" s="23" t="s">
        <v>40</v>
      </c>
      <c r="C24" s="87">
        <v>3.71</v>
      </c>
      <c r="D24" s="238">
        <v>3.91</v>
      </c>
      <c r="E24" s="238">
        <v>4.24</v>
      </c>
      <c r="F24" s="238">
        <v>4.4400000000000004</v>
      </c>
      <c r="G24" s="238">
        <v>4.58</v>
      </c>
      <c r="H24" s="238">
        <v>4.87</v>
      </c>
      <c r="I24" s="238">
        <v>4.68</v>
      </c>
      <c r="J24" s="238">
        <v>5.1100000000000003</v>
      </c>
      <c r="K24" s="238">
        <v>5.3</v>
      </c>
      <c r="L24" s="238">
        <v>5</v>
      </c>
      <c r="M24" s="238">
        <v>4.82</v>
      </c>
      <c r="N24" s="238">
        <v>4.87</v>
      </c>
      <c r="O24" s="238">
        <v>4.8600000000000003</v>
      </c>
      <c r="P24" s="238">
        <v>5.4</v>
      </c>
      <c r="Q24" s="238">
        <v>5.67</v>
      </c>
      <c r="R24" s="238">
        <v>5.92</v>
      </c>
      <c r="S24" s="161"/>
      <c r="T24" s="161"/>
      <c r="U24" s="161"/>
      <c r="V24" s="161"/>
    </row>
    <row r="25" spans="1:22" ht="12.75" customHeight="1">
      <c r="A25" s="83"/>
      <c r="B25" s="23" t="s">
        <v>41</v>
      </c>
      <c r="C25" s="87">
        <v>3.61</v>
      </c>
      <c r="D25" s="238">
        <v>3.82</v>
      </c>
      <c r="E25" s="238">
        <v>4.18</v>
      </c>
      <c r="F25" s="238">
        <v>4.12</v>
      </c>
      <c r="G25" s="238">
        <v>4.6500000000000004</v>
      </c>
      <c r="H25" s="238">
        <v>4.9400000000000004</v>
      </c>
      <c r="I25" s="238">
        <v>4.79</v>
      </c>
      <c r="J25" s="238">
        <v>5.0599999999999996</v>
      </c>
      <c r="K25" s="238">
        <v>4.93</v>
      </c>
      <c r="L25" s="238">
        <v>4.8600000000000003</v>
      </c>
      <c r="M25" s="238">
        <v>4.75</v>
      </c>
      <c r="N25" s="238">
        <v>4.84</v>
      </c>
      <c r="O25" s="238">
        <v>4.97</v>
      </c>
      <c r="P25" s="238">
        <v>5.4</v>
      </c>
      <c r="Q25" s="238">
        <v>5.83</v>
      </c>
      <c r="R25" s="238">
        <v>6.15</v>
      </c>
      <c r="S25" s="161"/>
      <c r="T25" s="161"/>
      <c r="U25" s="161"/>
      <c r="V25" s="161"/>
    </row>
    <row r="26" spans="1:22" ht="12.75" customHeight="1">
      <c r="A26" s="83"/>
      <c r="B26" s="23" t="s">
        <v>44</v>
      </c>
      <c r="C26" s="87">
        <v>3.68</v>
      </c>
      <c r="D26" s="238">
        <v>3.86</v>
      </c>
      <c r="E26" s="238">
        <v>4.3</v>
      </c>
      <c r="F26" s="238">
        <v>4.53</v>
      </c>
      <c r="G26" s="238">
        <v>5.44</v>
      </c>
      <c r="H26" s="238">
        <v>5.13</v>
      </c>
      <c r="I26" s="238">
        <v>4.79</v>
      </c>
      <c r="J26" s="238">
        <v>5.07</v>
      </c>
      <c r="K26" s="238">
        <v>5.43</v>
      </c>
      <c r="L26" s="238">
        <v>5.31</v>
      </c>
      <c r="M26" s="238">
        <v>4.9400000000000004</v>
      </c>
      <c r="N26" s="238">
        <v>4.9400000000000004</v>
      </c>
      <c r="O26" s="238">
        <v>4.8899999999999997</v>
      </c>
      <c r="P26" s="238">
        <v>5.5</v>
      </c>
      <c r="Q26" s="238">
        <v>5.87</v>
      </c>
      <c r="R26" s="238">
        <v>6.3</v>
      </c>
      <c r="S26" s="161"/>
      <c r="T26" s="161"/>
      <c r="U26" s="161"/>
      <c r="V26" s="161"/>
    </row>
    <row r="27" spans="1:22" ht="12.75" customHeight="1">
      <c r="A27" s="83"/>
      <c r="B27" s="23" t="s">
        <v>45</v>
      </c>
      <c r="C27" s="86">
        <v>3.64</v>
      </c>
      <c r="D27" s="238">
        <v>3.87</v>
      </c>
      <c r="E27" s="238">
        <v>4.1399999999999997</v>
      </c>
      <c r="F27" s="238">
        <v>4.3600000000000003</v>
      </c>
      <c r="G27" s="238">
        <v>4.8</v>
      </c>
      <c r="H27" s="238">
        <v>4.91</v>
      </c>
      <c r="I27" s="238">
        <v>4.9800000000000004</v>
      </c>
      <c r="J27" s="238">
        <v>5.19</v>
      </c>
      <c r="K27" s="238">
        <v>5.26</v>
      </c>
      <c r="L27" s="238">
        <v>5.14</v>
      </c>
      <c r="M27" s="238">
        <v>4.9000000000000004</v>
      </c>
      <c r="N27" s="238">
        <v>4.8899999999999997</v>
      </c>
      <c r="O27" s="238">
        <v>4.9800000000000004</v>
      </c>
      <c r="P27" s="238">
        <v>5.43</v>
      </c>
      <c r="Q27" s="238">
        <v>5.84</v>
      </c>
      <c r="R27" s="238">
        <v>6.21</v>
      </c>
      <c r="S27" s="161"/>
      <c r="T27" s="161"/>
      <c r="U27" s="161"/>
      <c r="V27" s="161"/>
    </row>
    <row r="28" spans="1:22" ht="12.75" customHeight="1">
      <c r="A28" s="83"/>
      <c r="B28" s="82" t="s">
        <v>46</v>
      </c>
      <c r="C28" s="86">
        <v>3.39</v>
      </c>
      <c r="D28" s="238">
        <v>3.84</v>
      </c>
      <c r="E28" s="238">
        <v>4.1399999999999997</v>
      </c>
      <c r="F28" s="238">
        <v>4.3499999999999996</v>
      </c>
      <c r="G28" s="238">
        <v>5.04</v>
      </c>
      <c r="H28" s="238">
        <v>5.4</v>
      </c>
      <c r="I28" s="238">
        <v>5.16</v>
      </c>
      <c r="J28" s="238">
        <v>5.3</v>
      </c>
      <c r="K28" s="238">
        <v>5.37</v>
      </c>
      <c r="L28" s="238">
        <v>5.48</v>
      </c>
      <c r="M28" s="238">
        <v>4.95</v>
      </c>
      <c r="N28" s="238">
        <v>4.9400000000000004</v>
      </c>
      <c r="O28" s="238">
        <v>4.8099999999999996</v>
      </c>
      <c r="P28" s="238">
        <v>5.45</v>
      </c>
      <c r="Q28" s="238">
        <v>5.86</v>
      </c>
      <c r="R28" s="238">
        <v>6.24</v>
      </c>
      <c r="S28" s="161"/>
      <c r="T28" s="161"/>
      <c r="U28" s="161"/>
      <c r="V28" s="161"/>
    </row>
    <row r="29" spans="1:22" ht="12.75" customHeight="1">
      <c r="A29" s="83"/>
      <c r="B29" s="23" t="s">
        <v>47</v>
      </c>
      <c r="C29" s="86">
        <v>4.29</v>
      </c>
      <c r="D29" s="238">
        <v>4.25</v>
      </c>
      <c r="E29" s="238">
        <v>4.57</v>
      </c>
      <c r="F29" s="238">
        <v>4.46</v>
      </c>
      <c r="G29" s="238">
        <v>4.8499999999999996</v>
      </c>
      <c r="H29" s="238">
        <v>5.26</v>
      </c>
      <c r="I29" s="238">
        <v>6.61</v>
      </c>
      <c r="J29" s="238">
        <v>5.55</v>
      </c>
      <c r="K29" s="238">
        <v>5.5</v>
      </c>
      <c r="L29" s="238">
        <v>5.56</v>
      </c>
      <c r="M29" s="238">
        <v>5.09</v>
      </c>
      <c r="N29" s="238">
        <v>5.07</v>
      </c>
      <c r="O29" s="238">
        <v>5.03</v>
      </c>
      <c r="P29" s="238">
        <v>5.5</v>
      </c>
      <c r="Q29" s="238">
        <v>5.88</v>
      </c>
      <c r="R29" s="238">
        <v>6.27</v>
      </c>
      <c r="S29" s="161"/>
      <c r="T29" s="161"/>
      <c r="U29" s="161"/>
      <c r="V29" s="161"/>
    </row>
    <row r="30" spans="1:22" ht="12.75" customHeight="1">
      <c r="A30" s="83"/>
      <c r="B30" s="23" t="s">
        <v>48</v>
      </c>
      <c r="C30" s="86">
        <v>4.1500000000000004</v>
      </c>
      <c r="D30" s="238">
        <v>4.38</v>
      </c>
      <c r="E30" s="238">
        <v>4.54</v>
      </c>
      <c r="F30" s="238">
        <v>4.55</v>
      </c>
      <c r="G30" s="238">
        <v>4.82</v>
      </c>
      <c r="H30" s="238">
        <v>5.16</v>
      </c>
      <c r="I30" s="238">
        <v>5.37</v>
      </c>
      <c r="J30" s="238">
        <v>5.67</v>
      </c>
      <c r="K30" s="238">
        <v>5.54</v>
      </c>
      <c r="L30" s="238">
        <v>5.6</v>
      </c>
      <c r="M30" s="238">
        <v>5.0999999999999996</v>
      </c>
      <c r="N30" s="238">
        <v>5.1100000000000003</v>
      </c>
      <c r="O30" s="238">
        <v>5.05</v>
      </c>
      <c r="P30" s="238">
        <v>5.47</v>
      </c>
      <c r="Q30" s="238">
        <v>5.87</v>
      </c>
      <c r="R30" s="238">
        <v>6.22</v>
      </c>
      <c r="S30" s="161"/>
      <c r="T30" s="161"/>
      <c r="U30" s="161"/>
      <c r="V30" s="161"/>
    </row>
    <row r="31" spans="1:22" ht="12.75" customHeight="1">
      <c r="A31" s="83"/>
      <c r="B31" s="23" t="s">
        <v>49</v>
      </c>
      <c r="C31" s="86">
        <v>4.28</v>
      </c>
      <c r="D31" s="238">
        <v>4.09</v>
      </c>
      <c r="E31" s="238">
        <v>4.59</v>
      </c>
      <c r="F31" s="238">
        <v>4.6100000000000003</v>
      </c>
      <c r="G31" s="238">
        <v>4.95</v>
      </c>
      <c r="H31" s="238">
        <v>5.14</v>
      </c>
      <c r="I31" s="238">
        <v>5.36</v>
      </c>
      <c r="J31" s="238">
        <v>5.64</v>
      </c>
      <c r="K31" s="238">
        <v>5.57</v>
      </c>
      <c r="L31" s="238">
        <v>5.54</v>
      </c>
      <c r="M31" s="238">
        <v>5.14</v>
      </c>
      <c r="N31" s="238">
        <v>5.14</v>
      </c>
      <c r="O31" s="238">
        <v>5.1100000000000003</v>
      </c>
      <c r="P31" s="238">
        <v>5.54</v>
      </c>
      <c r="Q31" s="238">
        <v>5.83</v>
      </c>
      <c r="R31" s="238">
        <v>6.2</v>
      </c>
      <c r="S31" s="161"/>
      <c r="T31" s="161"/>
      <c r="U31" s="161"/>
      <c r="V31" s="161"/>
    </row>
    <row r="32" spans="1:22" ht="4.25" customHeight="1" thickBot="1">
      <c r="A32" s="88"/>
      <c r="B32" s="3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</row>
    <row r="33" spans="1:18" ht="9" customHeight="1">
      <c r="A33" s="778" t="s">
        <v>402</v>
      </c>
      <c r="B33" s="780"/>
      <c r="C33" s="803"/>
      <c r="D33" s="803"/>
      <c r="E33" s="803"/>
      <c r="F33" s="803"/>
      <c r="G33" s="803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 spans="1:18" ht="9" customHeight="1">
      <c r="A34" s="778" t="s">
        <v>359</v>
      </c>
      <c r="B34" s="780"/>
      <c r="C34" s="803"/>
      <c r="D34" s="803"/>
      <c r="E34" s="803"/>
      <c r="F34" s="804"/>
      <c r="G34" s="804"/>
      <c r="H34" s="84"/>
      <c r="I34" s="84"/>
      <c r="J34" s="84"/>
      <c r="K34" s="84"/>
      <c r="L34" s="84"/>
      <c r="M34" s="84"/>
    </row>
    <row r="35" spans="1:18" ht="9" customHeight="1">
      <c r="A35" s="780" t="s">
        <v>358</v>
      </c>
      <c r="B35" s="788"/>
      <c r="C35" s="803"/>
      <c r="D35" s="803"/>
      <c r="E35" s="803"/>
      <c r="F35" s="804"/>
      <c r="G35" s="804"/>
      <c r="H35" s="84"/>
      <c r="I35" s="84"/>
      <c r="J35" s="84"/>
      <c r="K35" s="84"/>
      <c r="L35" s="84"/>
      <c r="M35" s="84"/>
    </row>
    <row r="37" spans="1:18" ht="13.25" customHeight="1"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Hoja133">
    <tabColor theme="9" tint="0.59999389629810485"/>
  </sheetPr>
  <dimension ref="A2:V36"/>
  <sheetViews>
    <sheetView showGridLines="0" topLeftCell="D4" zoomScaleNormal="100" workbookViewId="0">
      <selection activeCell="U62" sqref="U62"/>
    </sheetView>
  </sheetViews>
  <sheetFormatPr baseColWidth="10" defaultColWidth="7" defaultRowHeight="13.25" customHeight="1"/>
  <cols>
    <col min="1" max="1" width="1.3984375" style="82" customWidth="1"/>
    <col min="2" max="2" width="11.59765625" style="82" customWidth="1"/>
    <col min="3" max="3" width="8" style="82" hidden="1" customWidth="1"/>
    <col min="4" max="5" width="9" style="82" customWidth="1"/>
    <col min="6" max="20" width="8.3984375" style="82" customWidth="1"/>
    <col min="21" max="16384" width="7" style="82"/>
  </cols>
  <sheetData>
    <row r="2" spans="1:22" ht="13.25" customHeight="1">
      <c r="A2" s="230" t="s">
        <v>600</v>
      </c>
      <c r="B2" s="231"/>
      <c r="C2" s="231"/>
      <c r="D2" s="231"/>
      <c r="E2" s="231"/>
      <c r="F2" s="231"/>
      <c r="G2" s="231"/>
      <c r="H2" s="231"/>
      <c r="I2" s="231"/>
      <c r="J2" s="231"/>
    </row>
    <row r="3" spans="1:22" ht="13.25" customHeight="1">
      <c r="A3" s="232" t="s">
        <v>321</v>
      </c>
      <c r="B3" s="232"/>
      <c r="C3" s="231"/>
      <c r="D3" s="231"/>
      <c r="E3" s="231"/>
      <c r="F3" s="231"/>
      <c r="G3" s="231"/>
      <c r="H3" s="231"/>
      <c r="I3" s="231"/>
      <c r="J3" s="231"/>
    </row>
    <row r="4" spans="1:22" ht="4.2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22" ht="15" customHeight="1">
      <c r="A5" s="1004" t="s">
        <v>18</v>
      </c>
      <c r="B5" s="1004"/>
      <c r="C5" s="774">
        <v>2007</v>
      </c>
      <c r="D5" s="775">
        <v>2008</v>
      </c>
      <c r="E5" s="775">
        <v>2009</v>
      </c>
      <c r="F5" s="775">
        <v>2010</v>
      </c>
      <c r="G5" s="775">
        <v>2011</v>
      </c>
      <c r="H5" s="775">
        <v>2012</v>
      </c>
      <c r="I5" s="775">
        <v>2013</v>
      </c>
      <c r="J5" s="775">
        <v>2014</v>
      </c>
      <c r="K5" s="775">
        <v>2015</v>
      </c>
      <c r="L5" s="775">
        <v>2016</v>
      </c>
      <c r="M5" s="775">
        <v>2017</v>
      </c>
      <c r="N5" s="775" t="s">
        <v>197</v>
      </c>
      <c r="O5" s="775" t="s">
        <v>348</v>
      </c>
      <c r="P5" s="775">
        <v>2020</v>
      </c>
      <c r="Q5" s="775">
        <v>2021</v>
      </c>
      <c r="R5" s="775" t="s">
        <v>477</v>
      </c>
    </row>
    <row r="6" spans="1:22" ht="15" customHeight="1">
      <c r="A6" s="1002" t="s">
        <v>96</v>
      </c>
      <c r="B6" s="1002"/>
      <c r="C6" s="772">
        <v>16572.3</v>
      </c>
      <c r="D6" s="773">
        <v>17048.7</v>
      </c>
      <c r="E6" s="773">
        <v>17206.400000000001</v>
      </c>
      <c r="F6" s="773">
        <v>18156.7</v>
      </c>
      <c r="G6" s="773">
        <v>19950.7</v>
      </c>
      <c r="H6" s="773">
        <v>19846.400000000001</v>
      </c>
      <c r="I6" s="773">
        <v>21805.599999999999</v>
      </c>
      <c r="J6" s="773">
        <v>22353.3</v>
      </c>
      <c r="K6" s="773">
        <v>23883.3</v>
      </c>
      <c r="L6" s="773">
        <v>24752.1</v>
      </c>
      <c r="M6" s="773">
        <v>25559.8</v>
      </c>
      <c r="N6" s="773">
        <v>27705.7</v>
      </c>
      <c r="O6" s="767">
        <f>SUM(O8:O31)</f>
        <v>29468.986999999994</v>
      </c>
      <c r="P6" s="767">
        <f>SUM(P8:P31)</f>
        <v>29325.847000000005</v>
      </c>
      <c r="Q6" s="767">
        <f>SUM(Q8:Q31)</f>
        <v>28938.924999999999</v>
      </c>
      <c r="R6" s="767">
        <f>SUM(R8:R31)</f>
        <v>29494.58</v>
      </c>
    </row>
    <row r="7" spans="1:22" ht="4.25" customHeight="1">
      <c r="A7" s="83"/>
      <c r="B7" s="84"/>
      <c r="C7" s="91"/>
      <c r="D7" s="500"/>
      <c r="E7" s="500"/>
      <c r="F7" s="500"/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</row>
    <row r="8" spans="1:22" ht="12.75" customHeight="1">
      <c r="A8" s="83"/>
      <c r="B8" s="23" t="s">
        <v>21</v>
      </c>
      <c r="C8" s="94">
        <v>13.5</v>
      </c>
      <c r="D8" s="499">
        <v>13.6</v>
      </c>
      <c r="E8" s="499">
        <v>13.6</v>
      </c>
      <c r="F8" s="499">
        <v>13.8</v>
      </c>
      <c r="G8" s="499">
        <v>13.9</v>
      </c>
      <c r="H8" s="499">
        <v>14.1</v>
      </c>
      <c r="I8" s="499">
        <v>14.2</v>
      </c>
      <c r="J8" s="499">
        <v>14.6</v>
      </c>
      <c r="K8" s="499">
        <v>15</v>
      </c>
      <c r="L8" s="499">
        <v>16.100000000000001</v>
      </c>
      <c r="M8" s="499">
        <v>17.8</v>
      </c>
      <c r="N8" s="499">
        <v>15</v>
      </c>
      <c r="O8" s="499">
        <v>15.503</v>
      </c>
      <c r="P8" s="499">
        <v>15.260999999999999</v>
      </c>
      <c r="Q8" s="499">
        <v>11.313000000000001</v>
      </c>
      <c r="R8" s="499">
        <v>12.593</v>
      </c>
      <c r="S8" s="936"/>
      <c r="T8" s="936"/>
      <c r="U8" s="936"/>
      <c r="V8" s="936"/>
    </row>
    <row r="9" spans="1:22" ht="12.75" customHeight="1">
      <c r="A9" s="83"/>
      <c r="B9" s="23" t="s">
        <v>22</v>
      </c>
      <c r="C9" s="94">
        <v>352.9</v>
      </c>
      <c r="D9" s="499">
        <v>373</v>
      </c>
      <c r="E9" s="499">
        <v>330.1</v>
      </c>
      <c r="F9" s="499">
        <v>226</v>
      </c>
      <c r="G9" s="499">
        <v>286.39999999999998</v>
      </c>
      <c r="H9" s="499">
        <v>380.6</v>
      </c>
      <c r="I9" s="499">
        <v>321</v>
      </c>
      <c r="J9" s="499">
        <v>337.9</v>
      </c>
      <c r="K9" s="499">
        <v>402.2</v>
      </c>
      <c r="L9" s="499">
        <v>390.6</v>
      </c>
      <c r="M9" s="499">
        <v>359.4</v>
      </c>
      <c r="N9" s="499">
        <v>373.4</v>
      </c>
      <c r="O9" s="499">
        <v>394.72899999999998</v>
      </c>
      <c r="P9" s="499">
        <v>391.27300000000002</v>
      </c>
      <c r="Q9" s="499">
        <v>391.49599999999998</v>
      </c>
      <c r="R9" s="499">
        <v>373.40300000000002</v>
      </c>
      <c r="S9" s="936"/>
      <c r="T9" s="936"/>
      <c r="U9" s="936"/>
      <c r="V9" s="936"/>
    </row>
    <row r="10" spans="1:22" ht="12.75" customHeight="1">
      <c r="A10" s="83"/>
      <c r="B10" s="23" t="s">
        <v>23</v>
      </c>
      <c r="C10" s="94">
        <v>429.6</v>
      </c>
      <c r="D10" s="499">
        <v>464.2</v>
      </c>
      <c r="E10" s="499">
        <v>532.70000000000005</v>
      </c>
      <c r="F10" s="499">
        <v>809.7</v>
      </c>
      <c r="G10" s="499">
        <v>1011.5</v>
      </c>
      <c r="H10" s="499">
        <v>744.6</v>
      </c>
      <c r="I10" s="499">
        <v>796.6</v>
      </c>
      <c r="J10" s="499">
        <v>609.20000000000005</v>
      </c>
      <c r="K10" s="499">
        <v>502.7</v>
      </c>
      <c r="L10" s="499">
        <v>460.5</v>
      </c>
      <c r="M10" s="499">
        <v>469.9</v>
      </c>
      <c r="N10" s="499">
        <v>470.6</v>
      </c>
      <c r="O10" s="499">
        <v>498.47199999999998</v>
      </c>
      <c r="P10" s="499">
        <v>499.45600000000002</v>
      </c>
      <c r="Q10" s="499">
        <v>453.90100000000001</v>
      </c>
      <c r="R10" s="499">
        <v>435.49</v>
      </c>
      <c r="S10" s="936"/>
      <c r="T10" s="936"/>
      <c r="U10" s="936"/>
      <c r="V10" s="936"/>
    </row>
    <row r="11" spans="1:22" ht="12.75" customHeight="1">
      <c r="A11" s="83"/>
      <c r="B11" s="23" t="s">
        <v>24</v>
      </c>
      <c r="C11" s="94">
        <v>2528.1</v>
      </c>
      <c r="D11" s="499">
        <v>3170.4</v>
      </c>
      <c r="E11" s="499">
        <v>3070</v>
      </c>
      <c r="F11" s="499">
        <v>3050</v>
      </c>
      <c r="G11" s="499">
        <v>3079.9</v>
      </c>
      <c r="H11" s="499">
        <v>2983</v>
      </c>
      <c r="I11" s="499">
        <v>3529.2</v>
      </c>
      <c r="J11" s="499">
        <v>3415.5</v>
      </c>
      <c r="K11" s="499">
        <v>4056</v>
      </c>
      <c r="L11" s="499">
        <v>4066.5</v>
      </c>
      <c r="M11" s="499">
        <v>3960.6</v>
      </c>
      <c r="N11" s="499">
        <v>4415.8999999999996</v>
      </c>
      <c r="O11" s="499">
        <v>4838.79</v>
      </c>
      <c r="P11" s="499">
        <v>4899.576</v>
      </c>
      <c r="Q11" s="499">
        <v>4766.95</v>
      </c>
      <c r="R11" s="499">
        <v>4832.616</v>
      </c>
      <c r="S11" s="936"/>
      <c r="T11" s="936"/>
      <c r="U11" s="936"/>
      <c r="V11" s="936"/>
    </row>
    <row r="12" spans="1:22" ht="12.75" customHeight="1">
      <c r="A12" s="83"/>
      <c r="B12" s="23" t="s">
        <v>25</v>
      </c>
      <c r="C12" s="94">
        <v>380.6</v>
      </c>
      <c r="D12" s="499">
        <v>360.1</v>
      </c>
      <c r="E12" s="499">
        <v>363.5</v>
      </c>
      <c r="F12" s="499">
        <v>372.2</v>
      </c>
      <c r="G12" s="499">
        <v>386.1</v>
      </c>
      <c r="H12" s="499">
        <v>421.1</v>
      </c>
      <c r="I12" s="499">
        <v>422.3</v>
      </c>
      <c r="J12" s="499">
        <v>415.2</v>
      </c>
      <c r="K12" s="499">
        <v>417.8</v>
      </c>
      <c r="L12" s="499">
        <v>428.8</v>
      </c>
      <c r="M12" s="499">
        <v>408</v>
      </c>
      <c r="N12" s="499">
        <v>413.8</v>
      </c>
      <c r="O12" s="499">
        <v>429.01</v>
      </c>
      <c r="P12" s="499">
        <v>425.47199999999998</v>
      </c>
      <c r="Q12" s="499">
        <v>411.01100000000002</v>
      </c>
      <c r="R12" s="499">
        <v>401.613</v>
      </c>
      <c r="S12" s="936"/>
      <c r="T12" s="936"/>
      <c r="U12" s="936"/>
      <c r="V12" s="936"/>
    </row>
    <row r="13" spans="1:22" ht="12.75" customHeight="1">
      <c r="A13" s="83"/>
      <c r="B13" s="23" t="s">
        <v>29</v>
      </c>
      <c r="C13" s="94">
        <v>75.5</v>
      </c>
      <c r="D13" s="499">
        <v>75.900000000000006</v>
      </c>
      <c r="E13" s="499">
        <v>76.3</v>
      </c>
      <c r="F13" s="499">
        <v>77</v>
      </c>
      <c r="G13" s="499">
        <v>77.8</v>
      </c>
      <c r="H13" s="499">
        <v>98.4</v>
      </c>
      <c r="I13" s="499">
        <v>114.4</v>
      </c>
      <c r="J13" s="499">
        <v>91.4</v>
      </c>
      <c r="K13" s="499">
        <v>86.7</v>
      </c>
      <c r="L13" s="499">
        <v>105.7</v>
      </c>
      <c r="M13" s="499">
        <v>111.7</v>
      </c>
      <c r="N13" s="499">
        <v>143.5</v>
      </c>
      <c r="O13" s="499">
        <v>137.75299999999999</v>
      </c>
      <c r="P13" s="499">
        <v>129.17699999999999</v>
      </c>
      <c r="Q13" s="499">
        <v>129.59299999999999</v>
      </c>
      <c r="R13" s="499">
        <v>127.83799999999999</v>
      </c>
      <c r="S13" s="936"/>
      <c r="T13" s="936"/>
      <c r="U13" s="936"/>
      <c r="V13" s="936"/>
    </row>
    <row r="14" spans="1:22" ht="12.75" customHeight="1">
      <c r="A14" s="83"/>
      <c r="B14" s="23" t="s">
        <v>30</v>
      </c>
      <c r="C14" s="94">
        <v>262.39999999999998</v>
      </c>
      <c r="D14" s="499">
        <v>293.89999999999998</v>
      </c>
      <c r="E14" s="499">
        <v>338</v>
      </c>
      <c r="F14" s="499">
        <v>603.5</v>
      </c>
      <c r="G14" s="499">
        <v>546.4</v>
      </c>
      <c r="H14" s="499">
        <v>281.3</v>
      </c>
      <c r="I14" s="499">
        <v>265.8</v>
      </c>
      <c r="J14" s="499">
        <v>198</v>
      </c>
      <c r="K14" s="499">
        <v>192.1</v>
      </c>
      <c r="L14" s="499">
        <v>195.2</v>
      </c>
      <c r="M14" s="499">
        <v>197.9</v>
      </c>
      <c r="N14" s="499">
        <v>201.1</v>
      </c>
      <c r="O14" s="499">
        <v>206.001</v>
      </c>
      <c r="P14" s="499">
        <v>207.27500000000001</v>
      </c>
      <c r="Q14" s="499">
        <v>207.4</v>
      </c>
      <c r="R14" s="499">
        <v>200.928</v>
      </c>
      <c r="S14" s="936"/>
      <c r="T14" s="936"/>
      <c r="U14" s="936"/>
      <c r="V14" s="936"/>
    </row>
    <row r="15" spans="1:22" ht="12.75" customHeight="1">
      <c r="A15" s="83"/>
      <c r="B15" s="23" t="s">
        <v>31</v>
      </c>
      <c r="C15" s="94">
        <v>4749.5</v>
      </c>
      <c r="D15" s="499">
        <v>4605.5</v>
      </c>
      <c r="E15" s="499">
        <v>4332.5</v>
      </c>
      <c r="F15" s="499">
        <v>4096.3</v>
      </c>
      <c r="G15" s="499">
        <v>5452.2</v>
      </c>
      <c r="H15" s="499">
        <v>5265.5</v>
      </c>
      <c r="I15" s="499">
        <v>5941.7</v>
      </c>
      <c r="J15" s="499">
        <v>6304.8</v>
      </c>
      <c r="K15" s="499">
        <v>6242.4</v>
      </c>
      <c r="L15" s="499">
        <v>5956.7</v>
      </c>
      <c r="M15" s="499">
        <v>6673.7</v>
      </c>
      <c r="N15" s="499">
        <v>7076.9</v>
      </c>
      <c r="O15" s="499">
        <v>7383.0510000000004</v>
      </c>
      <c r="P15" s="499">
        <v>7463.067</v>
      </c>
      <c r="Q15" s="499">
        <v>7647.6090000000004</v>
      </c>
      <c r="R15" s="499">
        <v>7901.6559999999999</v>
      </c>
      <c r="S15" s="936"/>
      <c r="T15" s="936"/>
      <c r="U15" s="936"/>
      <c r="V15" s="936"/>
    </row>
    <row r="16" spans="1:22" ht="12.75" customHeight="1">
      <c r="A16" s="83"/>
      <c r="B16" s="23" t="s">
        <v>32</v>
      </c>
      <c r="C16" s="94">
        <v>4557</v>
      </c>
      <c r="D16" s="499">
        <v>4375.8999999999996</v>
      </c>
      <c r="E16" s="499">
        <v>4705.8</v>
      </c>
      <c r="F16" s="499">
        <v>4964.1000000000004</v>
      </c>
      <c r="G16" s="499">
        <v>5015.7</v>
      </c>
      <c r="H16" s="499">
        <v>5738.5</v>
      </c>
      <c r="I16" s="499">
        <v>6436.2</v>
      </c>
      <c r="J16" s="499">
        <v>7183.4</v>
      </c>
      <c r="K16" s="499">
        <v>7925.5</v>
      </c>
      <c r="L16" s="499">
        <v>8904.7999999999993</v>
      </c>
      <c r="M16" s="499">
        <v>9208.5</v>
      </c>
      <c r="N16" s="499">
        <v>10108.4</v>
      </c>
      <c r="O16" s="499">
        <v>10940.573</v>
      </c>
      <c r="P16" s="499">
        <v>10644.513000000001</v>
      </c>
      <c r="Q16" s="499">
        <v>10336.665999999999</v>
      </c>
      <c r="R16" s="499">
        <v>10866.393</v>
      </c>
      <c r="S16" s="936"/>
      <c r="T16" s="936"/>
      <c r="U16" s="936"/>
      <c r="V16" s="936"/>
    </row>
    <row r="17" spans="1:22" ht="12.75" customHeight="1">
      <c r="A17" s="83"/>
      <c r="B17" s="23" t="s">
        <v>33</v>
      </c>
      <c r="C17" s="94">
        <v>157</v>
      </c>
      <c r="D17" s="499">
        <v>155.69999999999999</v>
      </c>
      <c r="E17" s="499">
        <v>155.4</v>
      </c>
      <c r="F17" s="499">
        <v>156.80000000000001</v>
      </c>
      <c r="G17" s="499">
        <v>158.4</v>
      </c>
      <c r="H17" s="499">
        <v>164.2</v>
      </c>
      <c r="I17" s="499">
        <v>180</v>
      </c>
      <c r="J17" s="499">
        <v>188.6</v>
      </c>
      <c r="K17" s="499">
        <v>179.4</v>
      </c>
      <c r="L17" s="499">
        <v>189.3</v>
      </c>
      <c r="M17" s="499">
        <v>190.1</v>
      </c>
      <c r="N17" s="499">
        <v>199.2</v>
      </c>
      <c r="O17" s="499">
        <v>202.67599999999999</v>
      </c>
      <c r="P17" s="499">
        <v>199.02</v>
      </c>
      <c r="Q17" s="499">
        <v>180.00800000000001</v>
      </c>
      <c r="R17" s="499">
        <v>171.809</v>
      </c>
      <c r="S17" s="936"/>
      <c r="T17" s="936"/>
      <c r="U17" s="936"/>
      <c r="V17" s="936"/>
    </row>
    <row r="18" spans="1:22" ht="12.75" customHeight="1">
      <c r="A18" s="83"/>
      <c r="B18" s="23" t="s">
        <v>34</v>
      </c>
      <c r="C18" s="94">
        <v>34.5</v>
      </c>
      <c r="D18" s="499">
        <v>34.6</v>
      </c>
      <c r="E18" s="499">
        <v>34.799999999999997</v>
      </c>
      <c r="F18" s="499">
        <v>35.200000000000003</v>
      </c>
      <c r="G18" s="499">
        <v>35.5</v>
      </c>
      <c r="H18" s="499">
        <v>35.9</v>
      </c>
      <c r="I18" s="499">
        <v>36.6</v>
      </c>
      <c r="J18" s="499">
        <v>36.700000000000003</v>
      </c>
      <c r="K18" s="499">
        <v>36.9</v>
      </c>
      <c r="L18" s="499">
        <v>37.4</v>
      </c>
      <c r="M18" s="499">
        <v>36.9</v>
      </c>
      <c r="N18" s="499">
        <v>37.799999999999997</v>
      </c>
      <c r="O18" s="499">
        <v>38.808999999999997</v>
      </c>
      <c r="P18" s="499">
        <v>37.311</v>
      </c>
      <c r="Q18" s="499">
        <v>34.994</v>
      </c>
      <c r="R18" s="499">
        <v>32.811999999999998</v>
      </c>
      <c r="S18" s="936"/>
      <c r="T18" s="936"/>
      <c r="U18" s="936"/>
      <c r="V18" s="936"/>
    </row>
    <row r="19" spans="1:22" ht="12.75" customHeight="1">
      <c r="A19" s="83"/>
      <c r="B19" s="23" t="s">
        <v>35</v>
      </c>
      <c r="C19" s="94">
        <v>136.9</v>
      </c>
      <c r="D19" s="499">
        <v>138.1</v>
      </c>
      <c r="E19" s="499">
        <v>134.69999999999999</v>
      </c>
      <c r="F19" s="499">
        <v>136.6</v>
      </c>
      <c r="G19" s="499">
        <v>149.5</v>
      </c>
      <c r="H19" s="499">
        <v>168.2</v>
      </c>
      <c r="I19" s="499">
        <v>178</v>
      </c>
      <c r="J19" s="499">
        <v>168.4</v>
      </c>
      <c r="K19" s="499">
        <v>191.6</v>
      </c>
      <c r="L19" s="499">
        <v>183.3</v>
      </c>
      <c r="M19" s="499">
        <v>167.2</v>
      </c>
      <c r="N19" s="499">
        <v>169.9</v>
      </c>
      <c r="O19" s="499">
        <v>170.10300000000001</v>
      </c>
      <c r="P19" s="499">
        <v>166.68100000000001</v>
      </c>
      <c r="Q19" s="499">
        <v>159.119</v>
      </c>
      <c r="R19" s="499">
        <v>132.42099999999999</v>
      </c>
      <c r="S19" s="936"/>
      <c r="T19" s="936"/>
      <c r="U19" s="936"/>
      <c r="V19" s="936"/>
    </row>
    <row r="20" spans="1:22" ht="12.75" customHeight="1">
      <c r="A20" s="83"/>
      <c r="B20" s="23" t="s">
        <v>36</v>
      </c>
      <c r="C20" s="94">
        <v>127.9</v>
      </c>
      <c r="D20" s="499">
        <v>128.6</v>
      </c>
      <c r="E20" s="499">
        <v>129.19999999999999</v>
      </c>
      <c r="F20" s="499">
        <v>130.5</v>
      </c>
      <c r="G20" s="499">
        <v>131.80000000000001</v>
      </c>
      <c r="H20" s="499">
        <v>133.1</v>
      </c>
      <c r="I20" s="499">
        <v>134.4</v>
      </c>
      <c r="J20" s="499">
        <v>135.19999999999999</v>
      </c>
      <c r="K20" s="499">
        <v>135.19999999999999</v>
      </c>
      <c r="L20" s="499">
        <v>137.80000000000001</v>
      </c>
      <c r="M20" s="499">
        <v>139.9</v>
      </c>
      <c r="N20" s="499">
        <v>140.1</v>
      </c>
      <c r="O20" s="499">
        <v>142.81800000000001</v>
      </c>
      <c r="P20" s="499">
        <v>142.65100000000001</v>
      </c>
      <c r="Q20" s="499">
        <v>141.565</v>
      </c>
      <c r="R20" s="499">
        <v>135.40600000000001</v>
      </c>
      <c r="S20" s="936"/>
      <c r="T20" s="936"/>
      <c r="U20" s="936"/>
      <c r="V20" s="936"/>
    </row>
    <row r="21" spans="1:22" ht="12.75" customHeight="1">
      <c r="A21" s="83"/>
      <c r="B21" s="23" t="s">
        <v>37</v>
      </c>
      <c r="C21" s="94">
        <v>411</v>
      </c>
      <c r="D21" s="499">
        <v>437.1</v>
      </c>
      <c r="E21" s="499">
        <v>555.70000000000005</v>
      </c>
      <c r="F21" s="499">
        <v>831.2</v>
      </c>
      <c r="G21" s="499">
        <v>839.4</v>
      </c>
      <c r="H21" s="499">
        <v>654.70000000000005</v>
      </c>
      <c r="I21" s="499">
        <v>523.6</v>
      </c>
      <c r="J21" s="499">
        <v>658.8</v>
      </c>
      <c r="K21" s="499">
        <v>732.2</v>
      </c>
      <c r="L21" s="499">
        <v>747.3</v>
      </c>
      <c r="M21" s="499">
        <v>675.7</v>
      </c>
      <c r="N21" s="499">
        <v>973.3</v>
      </c>
      <c r="O21" s="499">
        <v>1050.3340000000001</v>
      </c>
      <c r="P21" s="499">
        <v>1068.9079999999999</v>
      </c>
      <c r="Q21" s="499">
        <v>1088.5070000000001</v>
      </c>
      <c r="R21" s="499">
        <v>1154.7940000000001</v>
      </c>
      <c r="S21" s="936"/>
      <c r="T21" s="936"/>
      <c r="U21" s="936"/>
      <c r="V21" s="936"/>
    </row>
    <row r="22" spans="1:22" ht="12.75" customHeight="1">
      <c r="A22" s="83"/>
      <c r="B22" s="23" t="s">
        <v>38</v>
      </c>
      <c r="C22" s="94">
        <v>43</v>
      </c>
      <c r="D22" s="499">
        <v>42.9</v>
      </c>
      <c r="E22" s="499">
        <v>31.7</v>
      </c>
      <c r="F22" s="499">
        <v>56.3</v>
      </c>
      <c r="G22" s="499">
        <v>45.3</v>
      </c>
      <c r="H22" s="499">
        <v>42.9</v>
      </c>
      <c r="I22" s="499">
        <v>57.2</v>
      </c>
      <c r="J22" s="499">
        <v>62.9</v>
      </c>
      <c r="K22" s="499">
        <v>51.2</v>
      </c>
      <c r="L22" s="499">
        <v>27.7</v>
      </c>
      <c r="M22" s="499">
        <v>25.3</v>
      </c>
      <c r="N22" s="499">
        <v>35</v>
      </c>
      <c r="O22" s="499">
        <v>33.14</v>
      </c>
      <c r="P22" s="499">
        <v>32.127000000000002</v>
      </c>
      <c r="Q22" s="499">
        <v>31.481999999999999</v>
      </c>
      <c r="R22" s="499">
        <v>32.011000000000003</v>
      </c>
      <c r="S22" s="936"/>
      <c r="T22" s="936"/>
      <c r="U22" s="936"/>
      <c r="V22" s="936"/>
    </row>
    <row r="23" spans="1:22" ht="12.75" customHeight="1">
      <c r="A23" s="83"/>
      <c r="B23" s="23" t="s">
        <v>39</v>
      </c>
      <c r="C23" s="94">
        <v>183.9</v>
      </c>
      <c r="D23" s="499">
        <v>193.1</v>
      </c>
      <c r="E23" s="499">
        <v>219.5</v>
      </c>
      <c r="F23" s="499">
        <v>289.2</v>
      </c>
      <c r="G23" s="499">
        <v>305</v>
      </c>
      <c r="H23" s="499">
        <v>266.39999999999998</v>
      </c>
      <c r="I23" s="499">
        <v>272.10000000000002</v>
      </c>
      <c r="J23" s="499">
        <v>231.2</v>
      </c>
      <c r="K23" s="499">
        <v>282.2</v>
      </c>
      <c r="L23" s="499">
        <v>327.5</v>
      </c>
      <c r="M23" s="499">
        <v>308.7</v>
      </c>
      <c r="N23" s="499">
        <v>321.89999999999998</v>
      </c>
      <c r="O23" s="499">
        <v>333.26799999999997</v>
      </c>
      <c r="P23" s="499">
        <v>332.79899999999998</v>
      </c>
      <c r="Q23" s="499">
        <v>323.053</v>
      </c>
      <c r="R23" s="499">
        <v>311.57499999999999</v>
      </c>
      <c r="S23" s="936"/>
      <c r="T23" s="936"/>
      <c r="U23" s="936"/>
      <c r="V23" s="936"/>
    </row>
    <row r="24" spans="1:22" ht="12.75" customHeight="1">
      <c r="A24" s="83"/>
      <c r="B24" s="23" t="s">
        <v>40</v>
      </c>
      <c r="C24" s="94">
        <v>137.69999999999999</v>
      </c>
      <c r="D24" s="499">
        <v>137.9</v>
      </c>
      <c r="E24" s="499">
        <v>138.6</v>
      </c>
      <c r="F24" s="499">
        <v>140</v>
      </c>
      <c r="G24" s="499">
        <v>141.5</v>
      </c>
      <c r="H24" s="499">
        <v>146.9</v>
      </c>
      <c r="I24" s="499">
        <v>148.69999999999999</v>
      </c>
      <c r="J24" s="499">
        <v>151.19999999999999</v>
      </c>
      <c r="K24" s="499">
        <v>151</v>
      </c>
      <c r="L24" s="499">
        <v>166</v>
      </c>
      <c r="M24" s="499">
        <v>160</v>
      </c>
      <c r="N24" s="499">
        <v>161.30000000000001</v>
      </c>
      <c r="O24" s="499">
        <v>162.89099999999999</v>
      </c>
      <c r="P24" s="499">
        <v>160.71600000000001</v>
      </c>
      <c r="Q24" s="499">
        <v>157.65299999999999</v>
      </c>
      <c r="R24" s="499">
        <v>117.762</v>
      </c>
      <c r="S24" s="936"/>
      <c r="T24" s="936"/>
      <c r="U24" s="936"/>
      <c r="V24" s="936"/>
    </row>
    <row r="25" spans="1:22" ht="12.75" customHeight="1">
      <c r="A25" s="83"/>
      <c r="B25" s="23" t="s">
        <v>41</v>
      </c>
      <c r="C25" s="94">
        <v>102.9</v>
      </c>
      <c r="D25" s="499">
        <v>103.1</v>
      </c>
      <c r="E25" s="499">
        <v>103.6</v>
      </c>
      <c r="F25" s="499">
        <v>104.6</v>
      </c>
      <c r="G25" s="499">
        <v>106.8</v>
      </c>
      <c r="H25" s="499">
        <v>118.6</v>
      </c>
      <c r="I25" s="499">
        <v>131.69999999999999</v>
      </c>
      <c r="J25" s="499">
        <v>114.3</v>
      </c>
      <c r="K25" s="499">
        <v>111.6</v>
      </c>
      <c r="L25" s="499">
        <v>111.6</v>
      </c>
      <c r="M25" s="499">
        <v>112.3</v>
      </c>
      <c r="N25" s="499">
        <v>112.3</v>
      </c>
      <c r="O25" s="499">
        <v>114.81</v>
      </c>
      <c r="P25" s="499">
        <v>114.09099999999999</v>
      </c>
      <c r="Q25" s="499">
        <v>106.379</v>
      </c>
      <c r="R25" s="499">
        <v>100.11799999999999</v>
      </c>
      <c r="S25" s="936"/>
      <c r="T25" s="936"/>
      <c r="U25" s="936"/>
      <c r="V25" s="936"/>
    </row>
    <row r="26" spans="1:22" ht="12.75" customHeight="1">
      <c r="A26" s="83"/>
      <c r="B26" s="23" t="s">
        <v>44</v>
      </c>
      <c r="C26" s="94">
        <v>246.4</v>
      </c>
      <c r="D26" s="499">
        <v>219.4</v>
      </c>
      <c r="E26" s="499">
        <v>215.3</v>
      </c>
      <c r="F26" s="499">
        <v>217.5</v>
      </c>
      <c r="G26" s="499">
        <v>224.1</v>
      </c>
      <c r="H26" s="499">
        <v>244.7</v>
      </c>
      <c r="I26" s="499">
        <v>267</v>
      </c>
      <c r="J26" s="499">
        <v>257.3</v>
      </c>
      <c r="K26" s="499">
        <v>269</v>
      </c>
      <c r="L26" s="499">
        <v>269.10000000000002</v>
      </c>
      <c r="M26" s="499">
        <v>249.1</v>
      </c>
      <c r="N26" s="499">
        <v>243.9</v>
      </c>
      <c r="O26" s="499">
        <v>247.387</v>
      </c>
      <c r="P26" s="499">
        <v>237.565</v>
      </c>
      <c r="Q26" s="499">
        <v>228.92099999999999</v>
      </c>
      <c r="R26" s="499">
        <v>251.61799999999999</v>
      </c>
      <c r="S26" s="936"/>
      <c r="T26" s="936"/>
      <c r="U26" s="936"/>
      <c r="V26" s="936"/>
    </row>
    <row r="27" spans="1:22" ht="12.75" customHeight="1">
      <c r="A27" s="83"/>
      <c r="B27" s="23" t="s">
        <v>45</v>
      </c>
      <c r="C27" s="94">
        <v>341.9</v>
      </c>
      <c r="D27" s="499">
        <v>341.1</v>
      </c>
      <c r="E27" s="499">
        <v>342.6</v>
      </c>
      <c r="F27" s="499">
        <v>346</v>
      </c>
      <c r="G27" s="499">
        <v>349.5</v>
      </c>
      <c r="H27" s="499">
        <v>355.1</v>
      </c>
      <c r="I27" s="499">
        <v>368.5</v>
      </c>
      <c r="J27" s="499">
        <v>394.3</v>
      </c>
      <c r="K27" s="499">
        <v>396.5</v>
      </c>
      <c r="L27" s="499">
        <v>376.7</v>
      </c>
      <c r="M27" s="499">
        <v>368</v>
      </c>
      <c r="N27" s="499">
        <v>374.2</v>
      </c>
      <c r="O27" s="499">
        <v>382.35</v>
      </c>
      <c r="P27" s="499">
        <v>379.69200000000001</v>
      </c>
      <c r="Q27" s="499">
        <v>371.55399999999997</v>
      </c>
      <c r="R27" s="499">
        <v>341.82799999999997</v>
      </c>
      <c r="S27" s="936"/>
      <c r="T27" s="936"/>
      <c r="U27" s="936"/>
      <c r="V27" s="936"/>
    </row>
    <row r="28" spans="1:22" ht="12.75" customHeight="1">
      <c r="A28" s="83"/>
      <c r="B28" s="82" t="s">
        <v>46</v>
      </c>
      <c r="C28" s="94">
        <v>592.9</v>
      </c>
      <c r="D28" s="499">
        <v>623.4</v>
      </c>
      <c r="E28" s="499">
        <v>658.5</v>
      </c>
      <c r="F28" s="499">
        <v>618.6</v>
      </c>
      <c r="G28" s="499">
        <v>711.6</v>
      </c>
      <c r="H28" s="499">
        <v>780.3</v>
      </c>
      <c r="I28" s="499">
        <v>857.2</v>
      </c>
      <c r="J28" s="499">
        <v>650.79999999999995</v>
      </c>
      <c r="K28" s="499">
        <v>747.3</v>
      </c>
      <c r="L28" s="499">
        <v>856.2</v>
      </c>
      <c r="M28" s="499">
        <v>851.5</v>
      </c>
      <c r="N28" s="499">
        <v>864.5</v>
      </c>
      <c r="O28" s="499">
        <v>880.52700000000004</v>
      </c>
      <c r="P28" s="499">
        <v>897.04200000000003</v>
      </c>
      <c r="Q28" s="499">
        <v>926.86400000000003</v>
      </c>
      <c r="R28" s="499">
        <v>770.68100000000004</v>
      </c>
      <c r="S28" s="936"/>
      <c r="T28" s="936"/>
      <c r="U28" s="936"/>
      <c r="V28" s="936"/>
    </row>
    <row r="29" spans="1:22" ht="12.75" customHeight="1">
      <c r="A29" s="83"/>
      <c r="B29" s="23" t="s">
        <v>47</v>
      </c>
      <c r="C29" s="94">
        <v>358.9</v>
      </c>
      <c r="D29" s="499">
        <v>441</v>
      </c>
      <c r="E29" s="499">
        <v>429.5</v>
      </c>
      <c r="F29" s="499">
        <v>546</v>
      </c>
      <c r="G29" s="499">
        <v>549.4</v>
      </c>
      <c r="H29" s="499">
        <v>394.7</v>
      </c>
      <c r="I29" s="499">
        <v>357.7</v>
      </c>
      <c r="J29" s="499">
        <v>337.6</v>
      </c>
      <c r="K29" s="499">
        <v>329.1</v>
      </c>
      <c r="L29" s="499">
        <v>364.6</v>
      </c>
      <c r="M29" s="499">
        <v>389.7</v>
      </c>
      <c r="N29" s="499">
        <v>393.9</v>
      </c>
      <c r="O29" s="499">
        <v>399.74400000000003</v>
      </c>
      <c r="P29" s="499">
        <v>404.39699999999999</v>
      </c>
      <c r="Q29" s="499">
        <v>376.09399999999999</v>
      </c>
      <c r="R29" s="499">
        <v>335.06099999999998</v>
      </c>
      <c r="S29" s="936"/>
      <c r="T29" s="936"/>
      <c r="U29" s="936"/>
      <c r="V29" s="936"/>
    </row>
    <row r="30" spans="1:22" ht="12.75" customHeight="1">
      <c r="A30" s="83"/>
      <c r="B30" s="23" t="s">
        <v>48</v>
      </c>
      <c r="C30" s="94">
        <v>304.7</v>
      </c>
      <c r="D30" s="499">
        <v>271.60000000000002</v>
      </c>
      <c r="E30" s="499">
        <v>226.4</v>
      </c>
      <c r="F30" s="499">
        <v>242.4</v>
      </c>
      <c r="G30" s="499">
        <v>241.8</v>
      </c>
      <c r="H30" s="499">
        <v>287.39999999999998</v>
      </c>
      <c r="I30" s="499">
        <v>330.4</v>
      </c>
      <c r="J30" s="499">
        <v>286.3</v>
      </c>
      <c r="K30" s="499">
        <v>276.7</v>
      </c>
      <c r="L30" s="499">
        <v>271.7</v>
      </c>
      <c r="M30" s="499">
        <v>282.60000000000002</v>
      </c>
      <c r="N30" s="499">
        <v>248.3</v>
      </c>
      <c r="O30" s="499">
        <v>256.34199999999998</v>
      </c>
      <c r="P30" s="499">
        <v>265.39699999999999</v>
      </c>
      <c r="Q30" s="499">
        <v>253.64400000000001</v>
      </c>
      <c r="R30" s="499">
        <v>250.96799999999999</v>
      </c>
      <c r="S30" s="936"/>
      <c r="T30" s="936"/>
      <c r="U30" s="936"/>
      <c r="V30" s="936"/>
    </row>
    <row r="31" spans="1:22" ht="12.75" customHeight="1">
      <c r="A31" s="83"/>
      <c r="B31" s="23" t="s">
        <v>49</v>
      </c>
      <c r="C31" s="94">
        <v>43.8</v>
      </c>
      <c r="D31" s="499">
        <v>48.6</v>
      </c>
      <c r="E31" s="499">
        <v>68.3</v>
      </c>
      <c r="F31" s="499">
        <v>93</v>
      </c>
      <c r="G31" s="499">
        <v>91</v>
      </c>
      <c r="H31" s="499">
        <v>126</v>
      </c>
      <c r="I31" s="499">
        <v>121.3</v>
      </c>
      <c r="J31" s="499">
        <v>109.6</v>
      </c>
      <c r="K31" s="499">
        <v>153</v>
      </c>
      <c r="L31" s="499">
        <v>161.19999999999999</v>
      </c>
      <c r="M31" s="499">
        <v>195</v>
      </c>
      <c r="N31" s="499">
        <v>211.3</v>
      </c>
      <c r="O31" s="499">
        <v>209.90600000000001</v>
      </c>
      <c r="P31" s="499">
        <v>212.38</v>
      </c>
      <c r="Q31" s="499">
        <v>203.149</v>
      </c>
      <c r="R31" s="499">
        <v>203.18600000000001</v>
      </c>
      <c r="S31" s="936"/>
      <c r="T31" s="936"/>
      <c r="U31" s="936"/>
      <c r="V31" s="936"/>
    </row>
    <row r="32" spans="1:22" ht="4.25" customHeight="1" thickBot="1">
      <c r="A32" s="8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936"/>
      <c r="T32" s="936"/>
      <c r="U32" s="936"/>
      <c r="V32" s="936"/>
    </row>
    <row r="33" spans="1:18" ht="9" customHeight="1">
      <c r="A33" s="778" t="s">
        <v>402</v>
      </c>
      <c r="B33" s="780"/>
      <c r="C33" s="803"/>
      <c r="D33" s="803"/>
      <c r="E33" s="803"/>
      <c r="F33" s="803"/>
      <c r="G33" s="803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 spans="1:18" ht="9" customHeight="1">
      <c r="A34" s="778" t="s">
        <v>359</v>
      </c>
      <c r="B34" s="780"/>
      <c r="C34" s="803"/>
      <c r="D34" s="803"/>
      <c r="E34" s="803"/>
      <c r="F34" s="804"/>
      <c r="G34" s="80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</row>
    <row r="35" spans="1:18" ht="9" customHeight="1">
      <c r="A35" s="780" t="s">
        <v>358</v>
      </c>
      <c r="B35" s="788"/>
      <c r="C35" s="803"/>
      <c r="D35" s="803"/>
      <c r="E35" s="803"/>
      <c r="F35" s="804"/>
      <c r="G35" s="80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</row>
    <row r="36" spans="1:18" ht="13.25" customHeight="1">
      <c r="A36" s="805"/>
      <c r="B36" s="805"/>
      <c r="C36" s="805"/>
      <c r="D36" s="805"/>
      <c r="E36" s="805"/>
      <c r="F36" s="805"/>
      <c r="G36" s="805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Hoja134">
    <tabColor theme="9" tint="0.59999389629810485"/>
  </sheetPr>
  <dimension ref="A2:Y35"/>
  <sheetViews>
    <sheetView showGridLines="0" topLeftCell="H1" zoomScaleNormal="100" zoomScaleSheetLayoutView="100" workbookViewId="0">
      <selection activeCell="U62" sqref="U62"/>
    </sheetView>
  </sheetViews>
  <sheetFormatPr baseColWidth="10" defaultColWidth="7" defaultRowHeight="13.25" customHeight="1"/>
  <cols>
    <col min="1" max="1" width="0.59765625" style="82" customWidth="1"/>
    <col min="2" max="2" width="10.19921875" style="82" customWidth="1"/>
    <col min="3" max="3" width="8" style="82" hidden="1" customWidth="1"/>
    <col min="4" max="5" width="9" style="82" hidden="1" customWidth="1"/>
    <col min="6" max="20" width="8.3984375" style="82" customWidth="1"/>
    <col min="21" max="22" width="8.59765625" style="82" customWidth="1"/>
    <col min="23" max="16384" width="7" style="82"/>
  </cols>
  <sheetData>
    <row r="2" spans="1:25" ht="15" customHeight="1">
      <c r="A2" s="230" t="s">
        <v>601</v>
      </c>
      <c r="B2" s="231"/>
      <c r="C2" s="231"/>
      <c r="D2" s="231"/>
      <c r="E2" s="231"/>
      <c r="F2" s="231"/>
    </row>
    <row r="3" spans="1:25" ht="13.25" customHeight="1">
      <c r="A3" s="444" t="s">
        <v>289</v>
      </c>
      <c r="B3" s="231"/>
      <c r="C3" s="231"/>
      <c r="D3" s="231"/>
      <c r="E3" s="231"/>
      <c r="F3" s="231"/>
    </row>
    <row r="4" spans="1:25" ht="4.2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5" ht="15" customHeight="1">
      <c r="A5" s="1003" t="s">
        <v>18</v>
      </c>
      <c r="B5" s="1003"/>
      <c r="C5" s="763">
        <v>2005</v>
      </c>
      <c r="D5" s="763">
        <v>2006</v>
      </c>
      <c r="E5" s="763">
        <v>2007</v>
      </c>
      <c r="F5" s="763">
        <v>2008</v>
      </c>
      <c r="G5" s="763">
        <v>2009</v>
      </c>
      <c r="H5" s="763">
        <v>2010</v>
      </c>
      <c r="I5" s="763">
        <v>2011</v>
      </c>
      <c r="J5" s="763">
        <v>2012</v>
      </c>
      <c r="K5" s="763">
        <v>2013</v>
      </c>
      <c r="L5" s="763">
        <v>2014</v>
      </c>
      <c r="M5" s="763">
        <v>2015</v>
      </c>
      <c r="N5" s="763">
        <v>2016</v>
      </c>
      <c r="O5" s="763">
        <v>2017</v>
      </c>
      <c r="P5" s="763" t="s">
        <v>197</v>
      </c>
      <c r="Q5" s="763" t="s">
        <v>348</v>
      </c>
      <c r="R5" s="763">
        <v>2020</v>
      </c>
      <c r="S5" s="763">
        <v>2021</v>
      </c>
      <c r="T5" s="763" t="s">
        <v>477</v>
      </c>
    </row>
    <row r="6" spans="1:25" ht="15" customHeight="1">
      <c r="A6" s="1002" t="s">
        <v>96</v>
      </c>
      <c r="B6" s="1002"/>
      <c r="C6" s="764">
        <f>(C8+C9+C10+C11+C12+C13+C14+C15+C16+C17+C18+C19+C20+C21+C22+C23+C24+C25+C26+C27+C28+C29+C30+C31)</f>
        <v>1236833</v>
      </c>
      <c r="D6" s="764">
        <f>(D8+D9+D10+D11+D12+D13+D14+D15+D16+D17+D18+D19+D20+D21+D22+D23+D24+D25+D26+D27+D28+D29+D30+D31)</f>
        <v>1346991</v>
      </c>
      <c r="E6" s="765">
        <v>257621</v>
      </c>
      <c r="F6" s="776">
        <v>266541</v>
      </c>
      <c r="G6" s="776">
        <v>268707</v>
      </c>
      <c r="H6" s="776">
        <v>285102</v>
      </c>
      <c r="I6" s="776">
        <v>317654</v>
      </c>
      <c r="J6" s="776">
        <v>314024</v>
      </c>
      <c r="K6" s="776">
        <v>349791</v>
      </c>
      <c r="L6" s="776">
        <v>358630</v>
      </c>
      <c r="M6" s="776">
        <v>386255</v>
      </c>
      <c r="N6" s="776">
        <v>400980</v>
      </c>
      <c r="O6" s="776">
        <v>415336</v>
      </c>
      <c r="P6" s="776">
        <v>452234</v>
      </c>
      <c r="Q6" s="776">
        <v>488484</v>
      </c>
      <c r="R6" s="776">
        <f>SUM(R8:R31)</f>
        <v>497525.38000000006</v>
      </c>
      <c r="S6" s="776">
        <f>SUM(S8:S31)</f>
        <v>504112.04999999993</v>
      </c>
      <c r="T6" s="776">
        <f>SUM(T8:T31)</f>
        <v>510961.6</v>
      </c>
    </row>
    <row r="7" spans="1:25" ht="4.25" customHeight="1">
      <c r="A7" s="83"/>
      <c r="B7" s="84"/>
      <c r="C7" s="91"/>
      <c r="D7" s="91"/>
      <c r="E7" s="91"/>
      <c r="F7" s="505"/>
      <c r="G7" s="505"/>
      <c r="H7" s="505"/>
      <c r="I7" s="505"/>
      <c r="J7" s="505"/>
      <c r="K7" s="505"/>
      <c r="L7" s="505"/>
      <c r="M7" s="505"/>
      <c r="N7" s="505"/>
      <c r="O7" s="505"/>
      <c r="P7" s="505"/>
      <c r="Q7" s="505"/>
      <c r="R7" s="505"/>
      <c r="S7" s="505"/>
      <c r="T7" s="505"/>
    </row>
    <row r="8" spans="1:25" ht="12.75" customHeight="1">
      <c r="A8" s="83"/>
      <c r="B8" s="23" t="s">
        <v>21</v>
      </c>
      <c r="C8" s="92">
        <v>362</v>
      </c>
      <c r="D8" s="92">
        <v>397</v>
      </c>
      <c r="E8" s="94">
        <v>87</v>
      </c>
      <c r="F8" s="222">
        <v>87</v>
      </c>
      <c r="G8" s="222">
        <v>87</v>
      </c>
      <c r="H8" s="222">
        <v>88</v>
      </c>
      <c r="I8" s="222">
        <v>89</v>
      </c>
      <c r="J8" s="222">
        <v>90</v>
      </c>
      <c r="K8" s="222">
        <v>91</v>
      </c>
      <c r="L8" s="222">
        <v>97</v>
      </c>
      <c r="M8" s="222">
        <v>105</v>
      </c>
      <c r="N8" s="222">
        <v>124</v>
      </c>
      <c r="O8" s="222">
        <v>153</v>
      </c>
      <c r="P8" s="222">
        <v>98</v>
      </c>
      <c r="Q8" s="222">
        <v>103</v>
      </c>
      <c r="R8" s="222">
        <v>100.77</v>
      </c>
      <c r="S8" s="222">
        <v>101.94</v>
      </c>
      <c r="T8" s="222">
        <v>96.41</v>
      </c>
      <c r="U8" s="930"/>
      <c r="V8" s="930"/>
      <c r="W8" s="930"/>
      <c r="X8" s="930"/>
      <c r="Y8" s="930"/>
    </row>
    <row r="9" spans="1:25" ht="12.75" customHeight="1">
      <c r="A9" s="83"/>
      <c r="B9" s="23" t="s">
        <v>22</v>
      </c>
      <c r="C9" s="92">
        <v>29012</v>
      </c>
      <c r="D9" s="92">
        <v>33615</v>
      </c>
      <c r="E9" s="94">
        <v>4254</v>
      </c>
      <c r="F9" s="222">
        <v>4618</v>
      </c>
      <c r="G9" s="222">
        <v>3899</v>
      </c>
      <c r="H9" s="222">
        <v>1942</v>
      </c>
      <c r="I9" s="222">
        <v>2981</v>
      </c>
      <c r="J9" s="222">
        <v>4676</v>
      </c>
      <c r="K9" s="222">
        <v>3572</v>
      </c>
      <c r="L9" s="222">
        <v>3952</v>
      </c>
      <c r="M9" s="222">
        <v>5019</v>
      </c>
      <c r="N9" s="222">
        <v>4814</v>
      </c>
      <c r="O9" s="222">
        <v>4248</v>
      </c>
      <c r="P9" s="222">
        <v>4422</v>
      </c>
      <c r="Q9" s="222">
        <v>4739</v>
      </c>
      <c r="R9" s="222">
        <v>4715.95</v>
      </c>
      <c r="S9" s="222">
        <v>4859.87</v>
      </c>
      <c r="T9" s="222">
        <v>4838.59</v>
      </c>
      <c r="U9" s="930"/>
      <c r="V9" s="930"/>
      <c r="W9" s="930"/>
      <c r="X9" s="930"/>
      <c r="Y9" s="930"/>
    </row>
    <row r="10" spans="1:25" ht="12.75" customHeight="1">
      <c r="A10" s="83"/>
      <c r="B10" s="23" t="s">
        <v>23</v>
      </c>
      <c r="C10" s="92">
        <v>29656</v>
      </c>
      <c r="D10" s="92">
        <v>28602</v>
      </c>
      <c r="E10" s="94">
        <v>6548</v>
      </c>
      <c r="F10" s="222">
        <v>7190</v>
      </c>
      <c r="G10" s="222">
        <v>8261</v>
      </c>
      <c r="H10" s="222">
        <v>13328</v>
      </c>
      <c r="I10" s="222">
        <v>17064</v>
      </c>
      <c r="J10" s="222">
        <v>12065</v>
      </c>
      <c r="K10" s="222">
        <v>13116</v>
      </c>
      <c r="L10" s="222">
        <v>9427</v>
      </c>
      <c r="M10" s="222">
        <v>7815</v>
      </c>
      <c r="N10" s="222">
        <v>7068</v>
      </c>
      <c r="O10" s="222">
        <v>7233</v>
      </c>
      <c r="P10" s="222">
        <v>7173</v>
      </c>
      <c r="Q10" s="222">
        <v>7663</v>
      </c>
      <c r="R10" s="222">
        <v>7811.07</v>
      </c>
      <c r="S10" s="222">
        <v>7410.39</v>
      </c>
      <c r="T10" s="222">
        <v>7320.03</v>
      </c>
      <c r="U10" s="930"/>
      <c r="V10" s="930"/>
      <c r="W10" s="930"/>
      <c r="X10" s="930"/>
      <c r="Y10" s="930"/>
    </row>
    <row r="11" spans="1:25" ht="12.75" customHeight="1">
      <c r="A11" s="83"/>
      <c r="B11" s="23" t="s">
        <v>24</v>
      </c>
      <c r="C11" s="92">
        <v>79695</v>
      </c>
      <c r="D11" s="92">
        <v>90775</v>
      </c>
      <c r="E11" s="94">
        <v>42798</v>
      </c>
      <c r="F11" s="222">
        <v>54478</v>
      </c>
      <c r="G11" s="222">
        <v>52555</v>
      </c>
      <c r="H11" s="222">
        <v>52259</v>
      </c>
      <c r="I11" s="222">
        <v>52879</v>
      </c>
      <c r="J11" s="222">
        <v>50781</v>
      </c>
      <c r="K11" s="222">
        <v>60891</v>
      </c>
      <c r="L11" s="222">
        <v>58496</v>
      </c>
      <c r="M11" s="222">
        <v>70267</v>
      </c>
      <c r="N11" s="222">
        <v>70027</v>
      </c>
      <c r="O11" s="222">
        <v>68536</v>
      </c>
      <c r="P11" s="222">
        <v>76210</v>
      </c>
      <c r="Q11" s="222">
        <v>84438</v>
      </c>
      <c r="R11" s="222">
        <v>86530.85</v>
      </c>
      <c r="S11" s="222">
        <v>87763.02</v>
      </c>
      <c r="T11" s="222">
        <v>88835.6</v>
      </c>
      <c r="U11" s="930"/>
      <c r="V11" s="930"/>
      <c r="W11" s="930"/>
      <c r="X11" s="930"/>
      <c r="Y11" s="930"/>
    </row>
    <row r="12" spans="1:25" ht="12.75" customHeight="1">
      <c r="A12" s="83"/>
      <c r="B12" s="23" t="s">
        <v>25</v>
      </c>
      <c r="C12" s="92">
        <v>225648</v>
      </c>
      <c r="D12" s="92">
        <v>239969</v>
      </c>
      <c r="E12" s="94">
        <v>2179</v>
      </c>
      <c r="F12" s="222">
        <v>1782</v>
      </c>
      <c r="G12" s="222">
        <v>1792</v>
      </c>
      <c r="H12" s="222">
        <v>1931</v>
      </c>
      <c r="I12" s="222">
        <v>2128</v>
      </c>
      <c r="J12" s="222">
        <v>2708</v>
      </c>
      <c r="K12" s="222">
        <v>2706</v>
      </c>
      <c r="L12" s="222">
        <v>2526</v>
      </c>
      <c r="M12" s="222">
        <v>2590</v>
      </c>
      <c r="N12" s="222">
        <v>2762</v>
      </c>
      <c r="O12" s="222">
        <v>2354</v>
      </c>
      <c r="P12" s="222">
        <v>2318</v>
      </c>
      <c r="Q12" s="222">
        <v>2392</v>
      </c>
      <c r="R12" s="222">
        <v>2364.84</v>
      </c>
      <c r="S12" s="222">
        <v>2307.5700000000002</v>
      </c>
      <c r="T12" s="222">
        <v>2203.92</v>
      </c>
      <c r="U12" s="930"/>
      <c r="V12" s="930"/>
      <c r="W12" s="930"/>
      <c r="X12" s="930"/>
      <c r="Y12" s="930"/>
    </row>
    <row r="13" spans="1:25" ht="12.75" customHeight="1">
      <c r="A13" s="83"/>
      <c r="B13" s="23" t="s">
        <v>29</v>
      </c>
      <c r="C13" s="92">
        <v>58117</v>
      </c>
      <c r="D13" s="92">
        <v>59002</v>
      </c>
      <c r="E13" s="94">
        <v>357</v>
      </c>
      <c r="F13" s="222">
        <v>359</v>
      </c>
      <c r="G13" s="222">
        <v>361</v>
      </c>
      <c r="H13" s="222">
        <v>364</v>
      </c>
      <c r="I13" s="222">
        <v>368</v>
      </c>
      <c r="J13" s="222">
        <v>704</v>
      </c>
      <c r="K13" s="222">
        <v>957</v>
      </c>
      <c r="L13" s="222">
        <v>537</v>
      </c>
      <c r="M13" s="222">
        <v>498</v>
      </c>
      <c r="N13" s="222">
        <v>840</v>
      </c>
      <c r="O13" s="222">
        <v>915</v>
      </c>
      <c r="P13" s="222">
        <v>1474</v>
      </c>
      <c r="Q13" s="222">
        <v>1458</v>
      </c>
      <c r="R13" s="222">
        <v>1446.18</v>
      </c>
      <c r="S13" s="222">
        <v>1423.71</v>
      </c>
      <c r="T13" s="222">
        <v>1374.58</v>
      </c>
      <c r="U13" s="930"/>
      <c r="V13" s="930"/>
      <c r="W13" s="930"/>
      <c r="X13" s="930"/>
      <c r="Y13" s="930"/>
    </row>
    <row r="14" spans="1:25" ht="12.75" customHeight="1">
      <c r="A14" s="83"/>
      <c r="B14" s="23" t="s">
        <v>30</v>
      </c>
      <c r="C14" s="434">
        <v>17683</v>
      </c>
      <c r="D14" s="434">
        <v>17603</v>
      </c>
      <c r="E14" s="435">
        <v>2555</v>
      </c>
      <c r="F14" s="222">
        <v>3117</v>
      </c>
      <c r="G14" s="222">
        <v>3687</v>
      </c>
      <c r="H14" s="222">
        <v>8627</v>
      </c>
      <c r="I14" s="222">
        <v>7608</v>
      </c>
      <c r="J14" s="222">
        <v>2814</v>
      </c>
      <c r="K14" s="222">
        <v>2554</v>
      </c>
      <c r="L14" s="222">
        <v>1080</v>
      </c>
      <c r="M14" s="222">
        <v>1197</v>
      </c>
      <c r="N14" s="222">
        <v>1236</v>
      </c>
      <c r="O14" s="222">
        <v>1271</v>
      </c>
      <c r="P14" s="222">
        <v>1270</v>
      </c>
      <c r="Q14" s="222">
        <v>1324</v>
      </c>
      <c r="R14" s="222">
        <v>1354.99</v>
      </c>
      <c r="S14" s="222">
        <v>1339.48</v>
      </c>
      <c r="T14" s="222">
        <v>1309.96</v>
      </c>
      <c r="U14" s="930"/>
      <c r="V14" s="930"/>
      <c r="W14" s="930"/>
      <c r="X14" s="930"/>
      <c r="Y14" s="930"/>
    </row>
    <row r="15" spans="1:25" ht="12.75" customHeight="1">
      <c r="A15" s="83"/>
      <c r="B15" s="23" t="s">
        <v>31</v>
      </c>
      <c r="C15" s="434">
        <v>222553</v>
      </c>
      <c r="D15" s="434">
        <v>238193</v>
      </c>
      <c r="E15" s="435">
        <v>83226</v>
      </c>
      <c r="F15" s="222">
        <v>80710</v>
      </c>
      <c r="G15" s="222">
        <v>76004</v>
      </c>
      <c r="H15" s="222">
        <v>71616</v>
      </c>
      <c r="I15" s="222">
        <v>96060</v>
      </c>
      <c r="J15" s="222">
        <v>92103</v>
      </c>
      <c r="K15" s="222">
        <v>104779</v>
      </c>
      <c r="L15" s="222">
        <v>111433</v>
      </c>
      <c r="M15" s="222">
        <v>109786</v>
      </c>
      <c r="N15" s="222">
        <v>104632</v>
      </c>
      <c r="O15" s="222">
        <v>117504</v>
      </c>
      <c r="P15" s="222">
        <v>124540</v>
      </c>
      <c r="Q15" s="222">
        <v>131293</v>
      </c>
      <c r="R15" s="222">
        <v>134863.95000000001</v>
      </c>
      <c r="S15" s="222">
        <v>138207.82</v>
      </c>
      <c r="T15" s="222">
        <v>139738.71</v>
      </c>
      <c r="U15" s="930"/>
      <c r="V15" s="930"/>
      <c r="W15" s="930"/>
      <c r="X15" s="930"/>
      <c r="Y15" s="930"/>
    </row>
    <row r="16" spans="1:25" ht="12.75" customHeight="1">
      <c r="A16" s="83"/>
      <c r="B16" s="23" t="s">
        <v>32</v>
      </c>
      <c r="C16" s="434">
        <v>17112</v>
      </c>
      <c r="D16" s="434">
        <v>18626</v>
      </c>
      <c r="E16" s="435">
        <v>80717</v>
      </c>
      <c r="F16" s="222">
        <v>77445</v>
      </c>
      <c r="G16" s="222">
        <v>83572</v>
      </c>
      <c r="H16" s="222">
        <v>88097</v>
      </c>
      <c r="I16" s="222">
        <v>88875</v>
      </c>
      <c r="J16" s="222">
        <v>101697</v>
      </c>
      <c r="K16" s="222">
        <v>114131</v>
      </c>
      <c r="L16" s="222">
        <v>127638</v>
      </c>
      <c r="M16" s="222">
        <v>140610</v>
      </c>
      <c r="N16" s="222">
        <v>158326</v>
      </c>
      <c r="O16" s="222">
        <v>163569</v>
      </c>
      <c r="P16" s="222">
        <v>179607</v>
      </c>
      <c r="Q16" s="222">
        <v>197407</v>
      </c>
      <c r="R16" s="222">
        <v>200811.02</v>
      </c>
      <c r="S16" s="222">
        <v>203352.31</v>
      </c>
      <c r="T16" s="222">
        <v>208428.29</v>
      </c>
      <c r="U16" s="930"/>
      <c r="V16" s="930"/>
      <c r="W16" s="930"/>
      <c r="X16" s="930"/>
      <c r="Y16" s="930"/>
    </row>
    <row r="17" spans="1:25" ht="12.75" customHeight="1">
      <c r="A17" s="83"/>
      <c r="B17" s="23" t="s">
        <v>33</v>
      </c>
      <c r="C17" s="92">
        <v>21338</v>
      </c>
      <c r="D17" s="92">
        <v>25715</v>
      </c>
      <c r="E17" s="94">
        <v>788</v>
      </c>
      <c r="F17" s="222">
        <v>752</v>
      </c>
      <c r="G17" s="222">
        <v>736</v>
      </c>
      <c r="H17" s="222">
        <v>742</v>
      </c>
      <c r="I17" s="222">
        <v>749</v>
      </c>
      <c r="J17" s="222">
        <v>829</v>
      </c>
      <c r="K17" s="222">
        <v>1093</v>
      </c>
      <c r="L17" s="222">
        <v>1236</v>
      </c>
      <c r="M17" s="222">
        <v>1069</v>
      </c>
      <c r="N17" s="222">
        <v>1255</v>
      </c>
      <c r="O17" s="222">
        <v>1238</v>
      </c>
      <c r="P17" s="222">
        <v>1344</v>
      </c>
      <c r="Q17" s="222">
        <v>1376</v>
      </c>
      <c r="R17" s="222">
        <v>1363.94</v>
      </c>
      <c r="S17" s="222">
        <v>1289.04</v>
      </c>
      <c r="T17" s="222">
        <v>1237.52</v>
      </c>
      <c r="U17" s="930"/>
      <c r="V17" s="930"/>
      <c r="W17" s="930"/>
      <c r="X17" s="930"/>
      <c r="Y17" s="930"/>
    </row>
    <row r="18" spans="1:25" ht="12.75" customHeight="1">
      <c r="A18" s="83"/>
      <c r="B18" s="23" t="s">
        <v>34</v>
      </c>
      <c r="C18" s="92">
        <v>18055</v>
      </c>
      <c r="D18" s="92">
        <v>18298</v>
      </c>
      <c r="E18" s="94">
        <v>163</v>
      </c>
      <c r="F18" s="222">
        <v>164</v>
      </c>
      <c r="G18" s="222">
        <v>165</v>
      </c>
      <c r="H18" s="222">
        <v>166</v>
      </c>
      <c r="I18" s="222">
        <v>168</v>
      </c>
      <c r="J18" s="222">
        <v>170</v>
      </c>
      <c r="K18" s="222">
        <v>177</v>
      </c>
      <c r="L18" s="222">
        <v>177</v>
      </c>
      <c r="M18" s="222">
        <v>182</v>
      </c>
      <c r="N18" s="222">
        <v>187</v>
      </c>
      <c r="O18" s="222">
        <v>178</v>
      </c>
      <c r="P18" s="222">
        <v>179</v>
      </c>
      <c r="Q18" s="222">
        <v>183</v>
      </c>
      <c r="R18" s="222">
        <v>178.94</v>
      </c>
      <c r="S18" s="222">
        <v>166.88</v>
      </c>
      <c r="T18" s="222">
        <v>152.12</v>
      </c>
      <c r="U18" s="930"/>
      <c r="V18" s="930"/>
      <c r="W18" s="930"/>
      <c r="X18" s="930"/>
      <c r="Y18" s="930"/>
    </row>
    <row r="19" spans="1:25" ht="12.75" customHeight="1">
      <c r="A19" s="83"/>
      <c r="B19" s="23" t="s">
        <v>35</v>
      </c>
      <c r="C19" s="92">
        <v>18612</v>
      </c>
      <c r="D19" s="92">
        <v>19206</v>
      </c>
      <c r="E19" s="94">
        <v>702</v>
      </c>
      <c r="F19" s="222">
        <v>715</v>
      </c>
      <c r="G19" s="222">
        <v>643</v>
      </c>
      <c r="H19" s="222">
        <v>659</v>
      </c>
      <c r="I19" s="222">
        <v>866</v>
      </c>
      <c r="J19" s="222">
        <v>1191</v>
      </c>
      <c r="K19" s="222">
        <v>1350</v>
      </c>
      <c r="L19" s="222">
        <v>1155</v>
      </c>
      <c r="M19" s="222">
        <v>1586</v>
      </c>
      <c r="N19" s="222">
        <v>1429</v>
      </c>
      <c r="O19" s="222">
        <v>1129</v>
      </c>
      <c r="P19" s="222">
        <v>1124</v>
      </c>
      <c r="Q19" s="222">
        <v>1112</v>
      </c>
      <c r="R19" s="222">
        <v>1095.96</v>
      </c>
      <c r="S19" s="222">
        <v>1065.6600000000001</v>
      </c>
      <c r="T19" s="222">
        <v>1024.8599999999999</v>
      </c>
      <c r="U19" s="930"/>
      <c r="V19" s="930"/>
      <c r="W19" s="930"/>
      <c r="X19" s="930"/>
      <c r="Y19" s="930"/>
    </row>
    <row r="20" spans="1:25" ht="12.75" customHeight="1">
      <c r="A20" s="83"/>
      <c r="B20" s="23" t="s">
        <v>36</v>
      </c>
      <c r="C20" s="92">
        <v>13276</v>
      </c>
      <c r="D20" s="92">
        <v>14808</v>
      </c>
      <c r="E20" s="94">
        <v>605</v>
      </c>
      <c r="F20" s="222">
        <v>608</v>
      </c>
      <c r="G20" s="222">
        <v>611</v>
      </c>
      <c r="H20" s="222">
        <v>617</v>
      </c>
      <c r="I20" s="222">
        <v>623</v>
      </c>
      <c r="J20" s="222">
        <v>629</v>
      </c>
      <c r="K20" s="222">
        <v>635</v>
      </c>
      <c r="L20" s="222">
        <v>639</v>
      </c>
      <c r="M20" s="222">
        <v>643</v>
      </c>
      <c r="N20" s="222">
        <v>680</v>
      </c>
      <c r="O20" s="222">
        <v>710</v>
      </c>
      <c r="P20" s="222">
        <v>662</v>
      </c>
      <c r="Q20" s="222">
        <v>670</v>
      </c>
      <c r="R20" s="222">
        <v>657.39</v>
      </c>
      <c r="S20" s="222">
        <v>619.77</v>
      </c>
      <c r="T20" s="222">
        <v>589.72</v>
      </c>
      <c r="U20" s="930"/>
      <c r="V20" s="930"/>
      <c r="W20" s="930"/>
      <c r="X20" s="930"/>
      <c r="Y20" s="930"/>
    </row>
    <row r="21" spans="1:25" ht="12.75" customHeight="1">
      <c r="A21" s="83"/>
      <c r="B21" s="23" t="s">
        <v>37</v>
      </c>
      <c r="C21" s="92">
        <v>296833</v>
      </c>
      <c r="D21" s="92">
        <v>328025</v>
      </c>
      <c r="E21" s="94">
        <v>6432</v>
      </c>
      <c r="F21" s="222">
        <v>6915</v>
      </c>
      <c r="G21" s="222">
        <v>8763</v>
      </c>
      <c r="H21" s="222">
        <v>13918</v>
      </c>
      <c r="I21" s="222">
        <v>14119</v>
      </c>
      <c r="J21" s="222">
        <v>10772</v>
      </c>
      <c r="K21" s="222">
        <v>8349</v>
      </c>
      <c r="L21" s="222">
        <v>10806</v>
      </c>
      <c r="M21" s="222">
        <v>12132</v>
      </c>
      <c r="N21" s="222">
        <v>12407</v>
      </c>
      <c r="O21" s="222">
        <v>11007</v>
      </c>
      <c r="P21" s="222">
        <v>16454</v>
      </c>
      <c r="Q21" s="222">
        <v>17890</v>
      </c>
      <c r="R21" s="222">
        <v>17795.97</v>
      </c>
      <c r="S21" s="222">
        <v>18131.349999999999</v>
      </c>
      <c r="T21" s="222">
        <v>18219.45</v>
      </c>
      <c r="U21" s="930"/>
      <c r="V21" s="930"/>
      <c r="W21" s="930"/>
      <c r="X21" s="930"/>
      <c r="Y21" s="930"/>
    </row>
    <row r="22" spans="1:25" ht="12.75" customHeight="1">
      <c r="A22" s="83"/>
      <c r="B22" s="23" t="s">
        <v>38</v>
      </c>
      <c r="C22" s="92">
        <v>16361</v>
      </c>
      <c r="D22" s="92">
        <v>16034</v>
      </c>
      <c r="E22" s="94">
        <v>519</v>
      </c>
      <c r="F22" s="222">
        <v>681</v>
      </c>
      <c r="G22" s="222">
        <v>522</v>
      </c>
      <c r="H22" s="222">
        <v>398</v>
      </c>
      <c r="I22" s="222">
        <v>506</v>
      </c>
      <c r="J22" s="222">
        <v>521</v>
      </c>
      <c r="K22" s="222">
        <v>773</v>
      </c>
      <c r="L22" s="222">
        <v>876</v>
      </c>
      <c r="M22" s="222">
        <v>667</v>
      </c>
      <c r="N22" s="222">
        <v>242</v>
      </c>
      <c r="O22" s="222">
        <v>196</v>
      </c>
      <c r="P22" s="222">
        <v>370</v>
      </c>
      <c r="Q22" s="222">
        <v>355</v>
      </c>
      <c r="R22" s="222">
        <v>350.36</v>
      </c>
      <c r="S22" s="222">
        <v>342.01</v>
      </c>
      <c r="T22" s="222">
        <v>331.77</v>
      </c>
      <c r="U22" s="930"/>
      <c r="V22" s="930"/>
      <c r="W22" s="930"/>
      <c r="X22" s="930"/>
      <c r="Y22" s="930"/>
    </row>
    <row r="23" spans="1:25" ht="12.75" customHeight="1">
      <c r="A23" s="83"/>
      <c r="B23" s="23" t="s">
        <v>39</v>
      </c>
      <c r="C23" s="92">
        <v>21868</v>
      </c>
      <c r="D23" s="92">
        <v>22100</v>
      </c>
      <c r="E23" s="94">
        <v>2971</v>
      </c>
      <c r="F23" s="222">
        <v>3150</v>
      </c>
      <c r="G23" s="222">
        <v>3454</v>
      </c>
      <c r="H23" s="222">
        <v>4770</v>
      </c>
      <c r="I23" s="222">
        <v>5139</v>
      </c>
      <c r="J23" s="222">
        <v>4422</v>
      </c>
      <c r="K23" s="222">
        <v>4520</v>
      </c>
      <c r="L23" s="222">
        <v>3919</v>
      </c>
      <c r="M23" s="222">
        <v>4712</v>
      </c>
      <c r="N23" s="222">
        <v>5535</v>
      </c>
      <c r="O23" s="222">
        <v>5182</v>
      </c>
      <c r="P23" s="222">
        <v>5404</v>
      </c>
      <c r="Q23" s="222">
        <v>5674</v>
      </c>
      <c r="R23" s="222">
        <v>5672.27</v>
      </c>
      <c r="S23" s="222">
        <v>5486.54</v>
      </c>
      <c r="T23" s="222">
        <v>5267.25</v>
      </c>
      <c r="U23" s="930"/>
      <c r="V23" s="930"/>
      <c r="W23" s="930"/>
      <c r="X23" s="930"/>
      <c r="Y23" s="930"/>
    </row>
    <row r="24" spans="1:25" ht="12.75" customHeight="1">
      <c r="A24" s="83"/>
      <c r="B24" s="23" t="s">
        <v>40</v>
      </c>
      <c r="C24" s="92">
        <v>22805</v>
      </c>
      <c r="D24" s="92">
        <v>22700</v>
      </c>
      <c r="E24" s="94">
        <v>658</v>
      </c>
      <c r="F24" s="222">
        <v>652</v>
      </c>
      <c r="G24" s="222">
        <v>655</v>
      </c>
      <c r="H24" s="222">
        <v>662</v>
      </c>
      <c r="I24" s="222">
        <v>670</v>
      </c>
      <c r="J24" s="222">
        <v>750</v>
      </c>
      <c r="K24" s="222">
        <v>762</v>
      </c>
      <c r="L24" s="222">
        <v>797</v>
      </c>
      <c r="M24" s="222">
        <v>795</v>
      </c>
      <c r="N24" s="222">
        <v>1058</v>
      </c>
      <c r="O24" s="222">
        <v>934</v>
      </c>
      <c r="P24" s="222">
        <v>907</v>
      </c>
      <c r="Q24" s="222">
        <v>895</v>
      </c>
      <c r="R24" s="222">
        <v>882.08</v>
      </c>
      <c r="S24" s="222">
        <v>842.02</v>
      </c>
      <c r="T24" s="222">
        <v>784.91</v>
      </c>
      <c r="U24" s="930"/>
      <c r="V24" s="930"/>
      <c r="W24" s="930"/>
      <c r="X24" s="930"/>
      <c r="Y24" s="930"/>
    </row>
    <row r="25" spans="1:25" ht="12.75" customHeight="1">
      <c r="A25" s="83"/>
      <c r="B25" s="23" t="s">
        <v>41</v>
      </c>
      <c r="C25" s="92">
        <v>29143</v>
      </c>
      <c r="D25" s="92">
        <v>34380</v>
      </c>
      <c r="E25" s="94">
        <v>492</v>
      </c>
      <c r="F25" s="222">
        <v>487</v>
      </c>
      <c r="G25" s="222">
        <v>490</v>
      </c>
      <c r="H25" s="222">
        <v>495</v>
      </c>
      <c r="I25" s="222">
        <v>517</v>
      </c>
      <c r="J25" s="222">
        <v>703</v>
      </c>
      <c r="K25" s="222">
        <v>918</v>
      </c>
      <c r="L25" s="222">
        <v>590</v>
      </c>
      <c r="M25" s="222">
        <v>545</v>
      </c>
      <c r="N25" s="222">
        <v>536</v>
      </c>
      <c r="O25" s="222">
        <v>542</v>
      </c>
      <c r="P25" s="222">
        <v>565</v>
      </c>
      <c r="Q25" s="222">
        <v>587</v>
      </c>
      <c r="R25" s="222">
        <v>579.21</v>
      </c>
      <c r="S25" s="222">
        <v>527.69000000000005</v>
      </c>
      <c r="T25" s="222">
        <v>481.3</v>
      </c>
      <c r="U25" s="930"/>
      <c r="V25" s="930"/>
      <c r="W25" s="930"/>
      <c r="X25" s="930"/>
      <c r="Y25" s="930"/>
    </row>
    <row r="26" spans="1:25" ht="12.75" customHeight="1">
      <c r="A26" s="83"/>
      <c r="B26" s="23" t="s">
        <v>44</v>
      </c>
      <c r="C26" s="92">
        <v>30479</v>
      </c>
      <c r="D26" s="92">
        <v>35953</v>
      </c>
      <c r="E26" s="94">
        <v>1608</v>
      </c>
      <c r="F26" s="222">
        <v>1101</v>
      </c>
      <c r="G26" s="222">
        <v>1018</v>
      </c>
      <c r="H26" s="222">
        <v>1028</v>
      </c>
      <c r="I26" s="222">
        <v>1117</v>
      </c>
      <c r="J26" s="222">
        <v>1433</v>
      </c>
      <c r="K26" s="222">
        <v>1798</v>
      </c>
      <c r="L26" s="222">
        <v>1632</v>
      </c>
      <c r="M26" s="222">
        <v>1854</v>
      </c>
      <c r="N26" s="222">
        <v>1459</v>
      </c>
      <c r="O26" s="222">
        <v>1075</v>
      </c>
      <c r="P26" s="222">
        <v>899</v>
      </c>
      <c r="Q26" s="222">
        <v>905</v>
      </c>
      <c r="R26" s="222">
        <v>889</v>
      </c>
      <c r="S26" s="222">
        <v>855.84</v>
      </c>
      <c r="T26" s="222">
        <v>810.59</v>
      </c>
      <c r="U26" s="930"/>
      <c r="V26" s="930"/>
      <c r="W26" s="930"/>
      <c r="X26" s="930"/>
      <c r="Y26" s="930"/>
    </row>
    <row r="27" spans="1:25" ht="12.75" customHeight="1">
      <c r="A27" s="83"/>
      <c r="B27" s="23" t="s">
        <v>45</v>
      </c>
      <c r="C27" s="92">
        <v>49453</v>
      </c>
      <c r="D27" s="92">
        <v>62011</v>
      </c>
      <c r="E27" s="94">
        <v>1655</v>
      </c>
      <c r="F27" s="222">
        <v>1616</v>
      </c>
      <c r="G27" s="222">
        <v>1620</v>
      </c>
      <c r="H27" s="222">
        <v>1636</v>
      </c>
      <c r="I27" s="222">
        <v>1652</v>
      </c>
      <c r="J27" s="222">
        <v>1706</v>
      </c>
      <c r="K27" s="222">
        <v>1900</v>
      </c>
      <c r="L27" s="222">
        <v>2336</v>
      </c>
      <c r="M27" s="222">
        <v>2385</v>
      </c>
      <c r="N27" s="222">
        <v>2006</v>
      </c>
      <c r="O27" s="222">
        <v>1827</v>
      </c>
      <c r="P27" s="222">
        <v>1807</v>
      </c>
      <c r="Q27" s="222">
        <v>1830</v>
      </c>
      <c r="R27" s="222">
        <v>1814.92</v>
      </c>
      <c r="S27" s="222">
        <v>1752.35</v>
      </c>
      <c r="T27" s="222">
        <v>1661.47</v>
      </c>
      <c r="U27" s="930"/>
      <c r="V27" s="930"/>
      <c r="W27" s="930"/>
      <c r="X27" s="930"/>
      <c r="Y27" s="930"/>
    </row>
    <row r="28" spans="1:25" ht="12.75" customHeight="1">
      <c r="A28" s="83"/>
      <c r="B28" s="82" t="s">
        <v>46</v>
      </c>
      <c r="C28" s="92">
        <v>12182</v>
      </c>
      <c r="D28" s="92">
        <v>13426</v>
      </c>
      <c r="E28" s="94">
        <v>8751</v>
      </c>
      <c r="F28" s="222">
        <v>9297</v>
      </c>
      <c r="G28" s="222">
        <v>9954</v>
      </c>
      <c r="H28" s="222">
        <v>9142</v>
      </c>
      <c r="I28" s="222">
        <v>10816</v>
      </c>
      <c r="J28" s="222">
        <v>12034</v>
      </c>
      <c r="K28" s="222">
        <v>13459</v>
      </c>
      <c r="L28" s="222">
        <v>9411</v>
      </c>
      <c r="M28" s="222">
        <v>11423</v>
      </c>
      <c r="N28" s="222">
        <v>13400</v>
      </c>
      <c r="O28" s="222">
        <v>13261</v>
      </c>
      <c r="P28" s="222">
        <v>13467</v>
      </c>
      <c r="Q28" s="222">
        <v>13861</v>
      </c>
      <c r="R28" s="222">
        <v>13980.54</v>
      </c>
      <c r="S28" s="222">
        <v>14240.25</v>
      </c>
      <c r="T28" s="222">
        <v>14508.86</v>
      </c>
      <c r="U28" s="930"/>
      <c r="V28" s="930"/>
      <c r="W28" s="930"/>
      <c r="X28" s="930"/>
      <c r="Y28" s="930"/>
    </row>
    <row r="29" spans="1:25" ht="12.75" customHeight="1">
      <c r="A29" s="83"/>
      <c r="B29" s="23" t="s">
        <v>47</v>
      </c>
      <c r="C29" s="92">
        <v>1246</v>
      </c>
      <c r="D29" s="92">
        <v>1439</v>
      </c>
      <c r="E29" s="94">
        <v>4449</v>
      </c>
      <c r="F29" s="222">
        <v>5934</v>
      </c>
      <c r="G29" s="222">
        <v>5688</v>
      </c>
      <c r="H29" s="222">
        <v>7745</v>
      </c>
      <c r="I29" s="222">
        <v>7859</v>
      </c>
      <c r="J29" s="222">
        <v>5023</v>
      </c>
      <c r="K29" s="222">
        <v>4356</v>
      </c>
      <c r="L29" s="222">
        <v>3973</v>
      </c>
      <c r="M29" s="222">
        <v>3831</v>
      </c>
      <c r="N29" s="222">
        <v>4457</v>
      </c>
      <c r="O29" s="222">
        <v>4896</v>
      </c>
      <c r="P29" s="222">
        <v>4918</v>
      </c>
      <c r="Q29" s="222">
        <v>5150</v>
      </c>
      <c r="R29" s="222">
        <v>5124.6899999999996</v>
      </c>
      <c r="S29" s="222">
        <v>5061.9799999999996</v>
      </c>
      <c r="T29" s="222">
        <v>4907.28</v>
      </c>
      <c r="U29" s="930"/>
      <c r="V29" s="930"/>
      <c r="W29" s="930"/>
      <c r="X29" s="930"/>
      <c r="Y29" s="930"/>
    </row>
    <row r="30" spans="1:25" ht="12.75" customHeight="1">
      <c r="A30" s="83"/>
      <c r="B30" s="23" t="s">
        <v>48</v>
      </c>
      <c r="C30" s="92">
        <v>3153</v>
      </c>
      <c r="D30" s="92">
        <v>3693</v>
      </c>
      <c r="E30" s="94">
        <v>4597</v>
      </c>
      <c r="F30" s="222">
        <v>4024</v>
      </c>
      <c r="G30" s="222">
        <v>3234</v>
      </c>
      <c r="H30" s="222">
        <v>3481</v>
      </c>
      <c r="I30" s="222">
        <v>3473</v>
      </c>
      <c r="J30" s="222">
        <v>4239</v>
      </c>
      <c r="K30" s="222">
        <v>5023</v>
      </c>
      <c r="L30" s="222">
        <v>4222</v>
      </c>
      <c r="M30" s="222">
        <v>4089</v>
      </c>
      <c r="N30" s="222">
        <v>3946</v>
      </c>
      <c r="O30" s="222">
        <v>4175</v>
      </c>
      <c r="P30" s="222">
        <v>3543</v>
      </c>
      <c r="Q30" s="222">
        <v>3711</v>
      </c>
      <c r="R30" s="222">
        <v>3703.24</v>
      </c>
      <c r="S30" s="222">
        <v>3562.84</v>
      </c>
      <c r="T30" s="222">
        <v>3482.13</v>
      </c>
      <c r="U30" s="930"/>
      <c r="V30" s="930"/>
      <c r="W30" s="930"/>
      <c r="X30" s="930"/>
      <c r="Y30" s="930"/>
    </row>
    <row r="31" spans="1:25" ht="12.75" customHeight="1">
      <c r="A31" s="83"/>
      <c r="B31" s="23" t="s">
        <v>49</v>
      </c>
      <c r="C31" s="92">
        <v>2191</v>
      </c>
      <c r="D31" s="92">
        <v>2421</v>
      </c>
      <c r="E31" s="94">
        <v>511</v>
      </c>
      <c r="F31" s="222">
        <v>659</v>
      </c>
      <c r="G31" s="222">
        <v>936</v>
      </c>
      <c r="H31" s="222">
        <v>1391</v>
      </c>
      <c r="I31" s="222">
        <v>1329</v>
      </c>
      <c r="J31" s="222">
        <v>1962</v>
      </c>
      <c r="K31" s="222">
        <v>1879</v>
      </c>
      <c r="L31" s="222">
        <v>1675</v>
      </c>
      <c r="M31" s="222">
        <v>2454</v>
      </c>
      <c r="N31" s="222">
        <v>2554</v>
      </c>
      <c r="O31" s="222">
        <v>3204</v>
      </c>
      <c r="P31" s="222">
        <v>3481</v>
      </c>
      <c r="Q31" s="222">
        <v>3471</v>
      </c>
      <c r="R31" s="222">
        <v>3437.25</v>
      </c>
      <c r="S31" s="222">
        <v>3401.72</v>
      </c>
      <c r="T31" s="222">
        <v>3356.28</v>
      </c>
      <c r="U31" s="930"/>
      <c r="V31" s="930"/>
      <c r="W31" s="930"/>
      <c r="X31" s="930"/>
      <c r="Y31" s="930"/>
    </row>
    <row r="32" spans="1:25" ht="5" customHeight="1" thickBot="1">
      <c r="A32" s="8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930"/>
    </row>
    <row r="33" spans="1:20" ht="9" customHeight="1">
      <c r="A33" s="778" t="s">
        <v>402</v>
      </c>
      <c r="B33" s="780"/>
      <c r="C33" s="803"/>
      <c r="D33" s="803"/>
      <c r="E33" s="803"/>
      <c r="F33" s="803"/>
      <c r="G33" s="803"/>
      <c r="H33" s="803"/>
      <c r="I33" s="803"/>
      <c r="J33" s="218"/>
      <c r="K33" s="218"/>
      <c r="L33" s="38"/>
      <c r="M33" s="38"/>
      <c r="N33" s="38"/>
      <c r="O33" s="38"/>
      <c r="P33" s="38"/>
      <c r="Q33" s="38"/>
      <c r="R33" s="38"/>
      <c r="S33" s="38"/>
      <c r="T33" s="38"/>
    </row>
    <row r="34" spans="1:20" ht="9" customHeight="1">
      <c r="A34" s="778" t="s">
        <v>359</v>
      </c>
      <c r="B34" s="780"/>
      <c r="C34" s="803"/>
      <c r="D34" s="803"/>
      <c r="E34" s="803"/>
      <c r="F34" s="803"/>
      <c r="G34" s="803"/>
      <c r="H34" s="804"/>
      <c r="I34" s="804"/>
      <c r="J34" s="225"/>
      <c r="K34" s="225"/>
      <c r="L34" s="84"/>
      <c r="M34" s="84"/>
      <c r="N34" s="84"/>
      <c r="O34" s="84"/>
      <c r="P34" s="84"/>
      <c r="Q34" s="84"/>
      <c r="R34" s="84"/>
      <c r="S34" s="84"/>
      <c r="T34" s="84"/>
    </row>
    <row r="35" spans="1:20" ht="9" customHeight="1">
      <c r="A35" s="780" t="s">
        <v>358</v>
      </c>
      <c r="B35" s="780" t="s">
        <v>358</v>
      </c>
      <c r="C35" s="803"/>
      <c r="D35" s="803"/>
      <c r="E35" s="803"/>
      <c r="F35" s="803"/>
      <c r="G35" s="803"/>
      <c r="H35" s="804"/>
      <c r="I35" s="804"/>
      <c r="J35" s="225"/>
      <c r="K35" s="225"/>
      <c r="L35" s="84"/>
      <c r="M35" s="84"/>
      <c r="N35" s="84"/>
      <c r="O35" s="84"/>
      <c r="P35" s="84"/>
      <c r="Q35" s="84"/>
      <c r="R35" s="84"/>
      <c r="S35" s="84"/>
      <c r="T35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Hoja135">
    <tabColor theme="9" tint="0.59999389629810485"/>
  </sheetPr>
  <dimension ref="A2:X35"/>
  <sheetViews>
    <sheetView showGridLines="0" zoomScaleNormal="100" workbookViewId="0">
      <selection activeCell="U62" sqref="U62"/>
    </sheetView>
  </sheetViews>
  <sheetFormatPr baseColWidth="10" defaultColWidth="7" defaultRowHeight="13.25" customHeight="1"/>
  <cols>
    <col min="1" max="1" width="1.796875" style="82" customWidth="1"/>
    <col min="2" max="2" width="10" style="82" customWidth="1"/>
    <col min="3" max="5" width="8" style="82" hidden="1" customWidth="1"/>
    <col min="6" max="20" width="8.3984375" style="82" customWidth="1"/>
    <col min="21" max="23" width="8.19921875" style="82" customWidth="1"/>
    <col min="24" max="16384" width="7" style="82"/>
  </cols>
  <sheetData>
    <row r="2" spans="1:24" ht="15" customHeight="1">
      <c r="A2" s="230" t="s">
        <v>602</v>
      </c>
      <c r="B2" s="231"/>
      <c r="C2" s="231"/>
      <c r="D2" s="231"/>
      <c r="E2" s="231"/>
      <c r="F2" s="231"/>
    </row>
    <row r="3" spans="1:24" ht="13.25" customHeight="1">
      <c r="A3" s="444" t="s">
        <v>437</v>
      </c>
      <c r="B3" s="231"/>
      <c r="C3" s="231"/>
      <c r="D3" s="231"/>
      <c r="E3" s="231"/>
      <c r="F3" s="231"/>
    </row>
    <row r="4" spans="1:24" ht="4.2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4" ht="15" customHeight="1">
      <c r="A5" s="962" t="s">
        <v>18</v>
      </c>
      <c r="B5" s="962"/>
      <c r="C5" s="562">
        <v>2005</v>
      </c>
      <c r="D5" s="562">
        <v>2006</v>
      </c>
      <c r="E5" s="562">
        <v>2007</v>
      </c>
      <c r="F5" s="562">
        <v>2008</v>
      </c>
      <c r="G5" s="562">
        <v>2009</v>
      </c>
      <c r="H5" s="562">
        <v>2010</v>
      </c>
      <c r="I5" s="562">
        <v>2011</v>
      </c>
      <c r="J5" s="562">
        <v>2012</v>
      </c>
      <c r="K5" s="562">
        <v>2013</v>
      </c>
      <c r="L5" s="562">
        <v>2014</v>
      </c>
      <c r="M5" s="562">
        <v>2015</v>
      </c>
      <c r="N5" s="562">
        <v>2016</v>
      </c>
      <c r="O5" s="562">
        <v>2017</v>
      </c>
      <c r="P5" s="562" t="s">
        <v>197</v>
      </c>
      <c r="Q5" s="562" t="s">
        <v>348</v>
      </c>
      <c r="R5" s="562">
        <v>2020</v>
      </c>
      <c r="S5" s="562">
        <v>2021</v>
      </c>
      <c r="T5" s="562" t="s">
        <v>477</v>
      </c>
    </row>
    <row r="6" spans="1:24" ht="15" customHeight="1">
      <c r="A6" s="1002" t="s">
        <v>96</v>
      </c>
      <c r="B6" s="1002"/>
      <c r="C6" s="764">
        <v>0.84</v>
      </c>
      <c r="D6" s="764">
        <v>0.84</v>
      </c>
      <c r="E6" s="765">
        <v>3.09</v>
      </c>
      <c r="F6" s="777">
        <v>3.81</v>
      </c>
      <c r="G6" s="777">
        <v>3.79</v>
      </c>
      <c r="H6" s="777">
        <v>3.73</v>
      </c>
      <c r="I6" s="777">
        <v>3.88</v>
      </c>
      <c r="J6" s="777">
        <v>4.1500000000000004</v>
      </c>
      <c r="K6" s="777">
        <v>4.33</v>
      </c>
      <c r="L6" s="777">
        <v>4.63</v>
      </c>
      <c r="M6" s="777">
        <v>4.66</v>
      </c>
      <c r="N6" s="777">
        <v>4.72</v>
      </c>
      <c r="O6" s="777">
        <v>4.75</v>
      </c>
      <c r="P6" s="777">
        <v>4.67</v>
      </c>
      <c r="Q6" s="777">
        <v>4.1399999999999997</v>
      </c>
      <c r="R6" s="777">
        <v>4.21</v>
      </c>
      <c r="S6" s="777">
        <v>4.28</v>
      </c>
      <c r="T6" s="777">
        <v>4.62</v>
      </c>
      <c r="U6" s="161"/>
      <c r="V6" s="161"/>
      <c r="W6" s="161"/>
      <c r="X6" s="161"/>
    </row>
    <row r="7" spans="1:24" ht="4.25" customHeight="1">
      <c r="A7" s="83"/>
      <c r="B7" s="84"/>
      <c r="C7" s="91"/>
      <c r="D7" s="91"/>
      <c r="E7" s="91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</row>
    <row r="8" spans="1:24" ht="12.75" customHeight="1">
      <c r="A8" s="83"/>
      <c r="B8" s="23" t="s">
        <v>21</v>
      </c>
      <c r="C8" s="92">
        <v>1.41</v>
      </c>
      <c r="D8" s="92">
        <v>1.46</v>
      </c>
      <c r="E8" s="94">
        <v>3.46</v>
      </c>
      <c r="F8" s="243">
        <v>3.58</v>
      </c>
      <c r="G8" s="243">
        <v>3.75</v>
      </c>
      <c r="H8" s="243">
        <v>3.41</v>
      </c>
      <c r="I8" s="243">
        <v>3.43</v>
      </c>
      <c r="J8" s="243">
        <v>3.6</v>
      </c>
      <c r="K8" s="243">
        <v>3.53</v>
      </c>
      <c r="L8" s="243">
        <v>3.89</v>
      </c>
      <c r="M8" s="243">
        <v>3.99</v>
      </c>
      <c r="N8" s="243">
        <v>4.26</v>
      </c>
      <c r="O8" s="243">
        <v>4.1399999999999997</v>
      </c>
      <c r="P8" s="243">
        <v>4.1399999999999997</v>
      </c>
      <c r="Q8" s="243">
        <v>4.13</v>
      </c>
      <c r="R8" s="243">
        <v>3.92</v>
      </c>
      <c r="S8" s="243">
        <v>3.96</v>
      </c>
      <c r="T8" s="243">
        <v>4.49</v>
      </c>
      <c r="U8" s="161"/>
      <c r="V8" s="161"/>
      <c r="W8" s="161"/>
    </row>
    <row r="9" spans="1:24" ht="12.75" customHeight="1">
      <c r="A9" s="83"/>
      <c r="B9" s="23" t="s">
        <v>22</v>
      </c>
      <c r="C9" s="92">
        <v>1.03</v>
      </c>
      <c r="D9" s="92">
        <v>1.05</v>
      </c>
      <c r="E9" s="94">
        <v>3.86</v>
      </c>
      <c r="F9" s="243">
        <v>3.66</v>
      </c>
      <c r="G9" s="243">
        <v>4.04</v>
      </c>
      <c r="H9" s="243">
        <v>3.69</v>
      </c>
      <c r="I9" s="243">
        <v>3.85</v>
      </c>
      <c r="J9" s="243">
        <v>4.07</v>
      </c>
      <c r="K9" s="243">
        <v>3.62</v>
      </c>
      <c r="L9" s="243">
        <v>4.03</v>
      </c>
      <c r="M9" s="243">
        <v>4.09</v>
      </c>
      <c r="N9" s="243">
        <v>4.38</v>
      </c>
      <c r="O9" s="243">
        <v>4.21</v>
      </c>
      <c r="P9" s="243">
        <v>4.29</v>
      </c>
      <c r="Q9" s="243">
        <v>4.1100000000000003</v>
      </c>
      <c r="R9" s="243">
        <v>3.96</v>
      </c>
      <c r="S9" s="243">
        <v>3.99</v>
      </c>
      <c r="T9" s="243">
        <v>4.4800000000000004</v>
      </c>
      <c r="U9" s="161"/>
      <c r="V9" s="161"/>
      <c r="W9" s="161"/>
    </row>
    <row r="10" spans="1:24" ht="12.75" customHeight="1">
      <c r="A10" s="83"/>
      <c r="B10" s="23" t="s">
        <v>23</v>
      </c>
      <c r="C10" s="92">
        <v>0.77</v>
      </c>
      <c r="D10" s="92">
        <v>0.7</v>
      </c>
      <c r="E10" s="94">
        <v>3.43</v>
      </c>
      <c r="F10" s="243">
        <v>3.57</v>
      </c>
      <c r="G10" s="243">
        <v>3.87</v>
      </c>
      <c r="H10" s="243">
        <v>3.62</v>
      </c>
      <c r="I10" s="243">
        <v>3.86</v>
      </c>
      <c r="J10" s="243">
        <v>4.1500000000000004</v>
      </c>
      <c r="K10" s="243">
        <v>3.66</v>
      </c>
      <c r="L10" s="243">
        <v>4.0999999999999996</v>
      </c>
      <c r="M10" s="243">
        <v>4.3099999999999996</v>
      </c>
      <c r="N10" s="243">
        <v>4.46</v>
      </c>
      <c r="O10" s="243">
        <v>4.5599999999999996</v>
      </c>
      <c r="P10" s="243">
        <v>4.5199999999999996</v>
      </c>
      <c r="Q10" s="243">
        <v>4.1100000000000003</v>
      </c>
      <c r="R10" s="243">
        <v>3.87</v>
      </c>
      <c r="S10" s="243">
        <v>3.96</v>
      </c>
      <c r="T10" s="243">
        <v>4.41</v>
      </c>
      <c r="U10" s="161"/>
      <c r="V10" s="161"/>
      <c r="W10" s="161"/>
    </row>
    <row r="11" spans="1:24" ht="12.75" customHeight="1">
      <c r="A11" s="83"/>
      <c r="B11" s="23" t="s">
        <v>24</v>
      </c>
      <c r="C11" s="92">
        <v>0.88</v>
      </c>
      <c r="D11" s="92">
        <v>0.89</v>
      </c>
      <c r="E11" s="94">
        <v>2.91</v>
      </c>
      <c r="F11" s="243">
        <v>3.73</v>
      </c>
      <c r="G11" s="243">
        <v>3.84</v>
      </c>
      <c r="H11" s="243">
        <v>3.81</v>
      </c>
      <c r="I11" s="243">
        <v>4.0599999999999996</v>
      </c>
      <c r="J11" s="243">
        <v>3.62</v>
      </c>
      <c r="K11" s="243">
        <v>3.02</v>
      </c>
      <c r="L11" s="243">
        <v>3.41</v>
      </c>
      <c r="M11" s="243">
        <v>4.21</v>
      </c>
      <c r="N11" s="243">
        <v>3.95</v>
      </c>
      <c r="O11" s="243">
        <v>4.74</v>
      </c>
      <c r="P11" s="243">
        <v>4.5</v>
      </c>
      <c r="Q11" s="243">
        <v>4.1399999999999997</v>
      </c>
      <c r="R11" s="243">
        <v>4.1399999999999997</v>
      </c>
      <c r="S11" s="243">
        <v>4.1900000000000004</v>
      </c>
      <c r="T11" s="243">
        <v>4.62</v>
      </c>
      <c r="U11" s="161"/>
      <c r="V11" s="161"/>
      <c r="W11" s="161"/>
    </row>
    <row r="12" spans="1:24" ht="12.75" customHeight="1">
      <c r="A12" s="83"/>
      <c r="B12" s="23" t="s">
        <v>25</v>
      </c>
      <c r="C12" s="92">
        <v>0.69</v>
      </c>
      <c r="D12" s="92">
        <v>0.71</v>
      </c>
      <c r="E12" s="94">
        <v>4</v>
      </c>
      <c r="F12" s="243">
        <v>3.96</v>
      </c>
      <c r="G12" s="243">
        <v>4.17</v>
      </c>
      <c r="H12" s="243">
        <v>4</v>
      </c>
      <c r="I12" s="243">
        <v>4.08</v>
      </c>
      <c r="J12" s="243">
        <v>4.34</v>
      </c>
      <c r="K12" s="243">
        <v>4.9800000000000004</v>
      </c>
      <c r="L12" s="243">
        <v>5.0999999999999996</v>
      </c>
      <c r="M12" s="243">
        <v>5.0999999999999996</v>
      </c>
      <c r="N12" s="243">
        <v>5.22</v>
      </c>
      <c r="O12" s="243">
        <v>4.83</v>
      </c>
      <c r="P12" s="243">
        <v>4.83</v>
      </c>
      <c r="Q12" s="243">
        <v>4.16</v>
      </c>
      <c r="R12" s="243">
        <v>3.93</v>
      </c>
      <c r="S12" s="243">
        <v>3.93</v>
      </c>
      <c r="T12" s="243">
        <v>4.46</v>
      </c>
      <c r="U12" s="161"/>
      <c r="V12" s="161"/>
      <c r="W12" s="161"/>
    </row>
    <row r="13" spans="1:24" ht="12.75" customHeight="1">
      <c r="A13" s="83"/>
      <c r="B13" s="23" t="s">
        <v>29</v>
      </c>
      <c r="C13" s="92">
        <v>0.92</v>
      </c>
      <c r="D13" s="92">
        <v>0.89</v>
      </c>
      <c r="E13" s="94">
        <v>3.47</v>
      </c>
      <c r="F13" s="243">
        <v>3.82</v>
      </c>
      <c r="G13" s="243">
        <v>4.1100000000000003</v>
      </c>
      <c r="H13" s="243">
        <v>4.2699999999999996</v>
      </c>
      <c r="I13" s="243">
        <v>4.12</v>
      </c>
      <c r="J13" s="243">
        <v>4.71</v>
      </c>
      <c r="K13" s="243">
        <v>4.5599999999999996</v>
      </c>
      <c r="L13" s="243">
        <v>4.75</v>
      </c>
      <c r="M13" s="243">
        <v>5.05</v>
      </c>
      <c r="N13" s="243">
        <v>5.15</v>
      </c>
      <c r="O13" s="243">
        <v>4.88</v>
      </c>
      <c r="P13" s="243">
        <v>4.92</v>
      </c>
      <c r="Q13" s="243">
        <v>4.1100000000000003</v>
      </c>
      <c r="R13" s="243">
        <v>4.01</v>
      </c>
      <c r="S13" s="243">
        <v>4.0599999999999996</v>
      </c>
      <c r="T13" s="243">
        <v>4.47</v>
      </c>
      <c r="U13" s="161"/>
      <c r="V13" s="161"/>
      <c r="W13" s="161"/>
    </row>
    <row r="14" spans="1:24" ht="12.75" customHeight="1">
      <c r="A14" s="83"/>
      <c r="B14" s="23" t="s">
        <v>30</v>
      </c>
      <c r="C14" s="434">
        <v>1.02</v>
      </c>
      <c r="D14" s="434">
        <v>1.08</v>
      </c>
      <c r="E14" s="435">
        <v>3.56</v>
      </c>
      <c r="F14" s="243">
        <v>3.75</v>
      </c>
      <c r="G14" s="243">
        <v>3.98</v>
      </c>
      <c r="H14" s="243">
        <v>4.03</v>
      </c>
      <c r="I14" s="243">
        <v>4.01</v>
      </c>
      <c r="J14" s="243">
        <v>4.34</v>
      </c>
      <c r="K14" s="243">
        <v>4.1100000000000003</v>
      </c>
      <c r="L14" s="243">
        <v>4.41</v>
      </c>
      <c r="M14" s="243">
        <v>5</v>
      </c>
      <c r="N14" s="243">
        <v>5.17</v>
      </c>
      <c r="O14" s="243">
        <v>4.91</v>
      </c>
      <c r="P14" s="243">
        <v>4.79</v>
      </c>
      <c r="Q14" s="243">
        <v>4.13</v>
      </c>
      <c r="R14" s="243">
        <v>4.1399999999999997</v>
      </c>
      <c r="S14" s="243">
        <v>4.25</v>
      </c>
      <c r="T14" s="243">
        <v>4.59</v>
      </c>
      <c r="U14" s="161"/>
      <c r="V14" s="161"/>
      <c r="W14" s="161"/>
    </row>
    <row r="15" spans="1:24" ht="12.75" customHeight="1">
      <c r="A15" s="83"/>
      <c r="B15" s="23" t="s">
        <v>31</v>
      </c>
      <c r="C15" s="434">
        <v>0.9</v>
      </c>
      <c r="D15" s="434">
        <v>0.89</v>
      </c>
      <c r="E15" s="435">
        <v>2.95</v>
      </c>
      <c r="F15" s="243">
        <v>3.7</v>
      </c>
      <c r="G15" s="243">
        <v>3.59</v>
      </c>
      <c r="H15" s="243">
        <v>3.61</v>
      </c>
      <c r="I15" s="243">
        <v>3.69</v>
      </c>
      <c r="J15" s="243">
        <v>3.97</v>
      </c>
      <c r="K15" s="243">
        <v>4.63</v>
      </c>
      <c r="L15" s="243">
        <v>4.8899999999999997</v>
      </c>
      <c r="M15" s="243">
        <v>4.87</v>
      </c>
      <c r="N15" s="243">
        <v>5.08</v>
      </c>
      <c r="O15" s="243">
        <v>4.82</v>
      </c>
      <c r="P15" s="243">
        <v>4.8099999999999996</v>
      </c>
      <c r="Q15" s="243">
        <v>4.13</v>
      </c>
      <c r="R15" s="243">
        <v>4.29</v>
      </c>
      <c r="S15" s="243">
        <v>4.3499999999999996</v>
      </c>
      <c r="T15" s="243">
        <v>4.55</v>
      </c>
      <c r="U15" s="161"/>
      <c r="V15" s="161"/>
      <c r="W15" s="161"/>
    </row>
    <row r="16" spans="1:24" ht="12.75" customHeight="1">
      <c r="A16" s="83"/>
      <c r="B16" s="23" t="s">
        <v>32</v>
      </c>
      <c r="C16" s="434">
        <v>0.92</v>
      </c>
      <c r="D16" s="434">
        <v>0.81</v>
      </c>
      <c r="E16" s="435">
        <v>3.08</v>
      </c>
      <c r="F16" s="243">
        <v>4.05</v>
      </c>
      <c r="G16" s="243">
        <v>3.81</v>
      </c>
      <c r="H16" s="243">
        <v>3.61</v>
      </c>
      <c r="I16" s="243">
        <v>3.84</v>
      </c>
      <c r="J16" s="243">
        <v>4.26</v>
      </c>
      <c r="K16" s="243">
        <v>4.5599999999999996</v>
      </c>
      <c r="L16" s="243">
        <v>4.83</v>
      </c>
      <c r="M16" s="243">
        <v>4.7699999999999996</v>
      </c>
      <c r="N16" s="243">
        <v>4.84</v>
      </c>
      <c r="O16" s="243">
        <v>4.67</v>
      </c>
      <c r="P16" s="243">
        <v>4.6100000000000003</v>
      </c>
      <c r="Q16" s="243">
        <v>4.13</v>
      </c>
      <c r="R16" s="243">
        <v>4.22</v>
      </c>
      <c r="S16" s="243">
        <v>4.28</v>
      </c>
      <c r="T16" s="243">
        <v>4.63</v>
      </c>
      <c r="U16" s="161"/>
      <c r="V16" s="161"/>
      <c r="W16" s="161"/>
    </row>
    <row r="17" spans="1:23" ht="12.75" customHeight="1">
      <c r="A17" s="83"/>
      <c r="B17" s="23" t="s">
        <v>33</v>
      </c>
      <c r="C17" s="92">
        <v>1.29</v>
      </c>
      <c r="D17" s="92">
        <v>1.3</v>
      </c>
      <c r="E17" s="94">
        <v>3.35</v>
      </c>
      <c r="F17" s="243">
        <v>3.61</v>
      </c>
      <c r="G17" s="243">
        <v>3.82</v>
      </c>
      <c r="H17" s="243">
        <v>3.74</v>
      </c>
      <c r="I17" s="243">
        <v>3.89</v>
      </c>
      <c r="J17" s="243">
        <v>4.4000000000000004</v>
      </c>
      <c r="K17" s="243">
        <v>4.22</v>
      </c>
      <c r="L17" s="243">
        <v>4.66</v>
      </c>
      <c r="M17" s="243">
        <v>4.6900000000000004</v>
      </c>
      <c r="N17" s="243">
        <v>4.67</v>
      </c>
      <c r="O17" s="243">
        <v>4.5999999999999996</v>
      </c>
      <c r="P17" s="243">
        <v>4.62</v>
      </c>
      <c r="Q17" s="243">
        <v>4.21</v>
      </c>
      <c r="R17" s="243">
        <v>4.18</v>
      </c>
      <c r="S17" s="243">
        <v>4.37</v>
      </c>
      <c r="T17" s="243">
        <v>4.7699999999999996</v>
      </c>
      <c r="U17" s="161"/>
      <c r="V17" s="161"/>
      <c r="W17" s="161"/>
    </row>
    <row r="18" spans="1:23" ht="12.75" customHeight="1">
      <c r="A18" s="83"/>
      <c r="B18" s="23" t="s">
        <v>34</v>
      </c>
      <c r="C18" s="92">
        <v>1.19</v>
      </c>
      <c r="D18" s="92">
        <v>0.84</v>
      </c>
      <c r="E18" s="94">
        <v>3.75</v>
      </c>
      <c r="F18" s="243">
        <v>3.79</v>
      </c>
      <c r="G18" s="243">
        <v>3.76</v>
      </c>
      <c r="H18" s="243">
        <v>3.8</v>
      </c>
      <c r="I18" s="243">
        <v>3.86</v>
      </c>
      <c r="J18" s="243">
        <v>5.1100000000000003</v>
      </c>
      <c r="K18" s="243">
        <v>4.74</v>
      </c>
      <c r="L18" s="243">
        <v>5.18</v>
      </c>
      <c r="M18" s="243">
        <v>5.2</v>
      </c>
      <c r="N18" s="243">
        <v>5.19</v>
      </c>
      <c r="O18" s="243">
        <v>4.9400000000000004</v>
      </c>
      <c r="P18" s="243">
        <v>4.9000000000000004</v>
      </c>
      <c r="Q18" s="243">
        <v>4.21</v>
      </c>
      <c r="R18" s="243">
        <v>4.07</v>
      </c>
      <c r="S18" s="243">
        <v>4.26</v>
      </c>
      <c r="T18" s="243">
        <v>4.6500000000000004</v>
      </c>
      <c r="U18" s="161"/>
      <c r="V18" s="161"/>
      <c r="W18" s="161"/>
    </row>
    <row r="19" spans="1:23" ht="12.75" customHeight="1">
      <c r="A19" s="83"/>
      <c r="B19" s="23" t="s">
        <v>35</v>
      </c>
      <c r="C19" s="92">
        <v>0.93</v>
      </c>
      <c r="D19" s="92">
        <v>0.96</v>
      </c>
      <c r="E19" s="94">
        <v>3.57</v>
      </c>
      <c r="F19" s="243">
        <v>3.84</v>
      </c>
      <c r="G19" s="243">
        <v>3.88</v>
      </c>
      <c r="H19" s="243">
        <v>4.54</v>
      </c>
      <c r="I19" s="243">
        <v>4.3899999999999997</v>
      </c>
      <c r="J19" s="243">
        <v>5.04</v>
      </c>
      <c r="K19" s="243">
        <v>4.7300000000000004</v>
      </c>
      <c r="L19" s="243">
        <v>5.46</v>
      </c>
      <c r="M19" s="243">
        <v>5.28</v>
      </c>
      <c r="N19" s="243">
        <v>5.43</v>
      </c>
      <c r="O19" s="243">
        <v>4.92</v>
      </c>
      <c r="P19" s="243">
        <v>4.9000000000000004</v>
      </c>
      <c r="Q19" s="243">
        <v>4.38</v>
      </c>
      <c r="R19" s="243">
        <v>4.25</v>
      </c>
      <c r="S19" s="243">
        <v>4.37</v>
      </c>
      <c r="T19" s="243">
        <v>4.74</v>
      </c>
      <c r="U19" s="161"/>
      <c r="V19" s="161"/>
      <c r="W19" s="161"/>
    </row>
    <row r="20" spans="1:23" ht="12.75" customHeight="1">
      <c r="A20" s="83"/>
      <c r="B20" s="23" t="s">
        <v>36</v>
      </c>
      <c r="C20" s="92">
        <v>1</v>
      </c>
      <c r="D20" s="92">
        <v>1.08</v>
      </c>
      <c r="E20" s="94">
        <v>3.68</v>
      </c>
      <c r="F20" s="243">
        <v>3.9</v>
      </c>
      <c r="G20" s="243">
        <v>3.95</v>
      </c>
      <c r="H20" s="243">
        <v>3.88</v>
      </c>
      <c r="I20" s="243">
        <v>3.94</v>
      </c>
      <c r="J20" s="243">
        <v>4.6399999999999997</v>
      </c>
      <c r="K20" s="243">
        <v>4.4000000000000004</v>
      </c>
      <c r="L20" s="243">
        <v>5.41</v>
      </c>
      <c r="M20" s="243">
        <v>5.31</v>
      </c>
      <c r="N20" s="243">
        <v>5.08</v>
      </c>
      <c r="O20" s="243">
        <v>4.9400000000000004</v>
      </c>
      <c r="P20" s="243">
        <v>4.91</v>
      </c>
      <c r="Q20" s="243">
        <v>4.1500000000000004</v>
      </c>
      <c r="R20" s="243">
        <v>4.1399999999999997</v>
      </c>
      <c r="S20" s="243">
        <v>4.33</v>
      </c>
      <c r="T20" s="243">
        <v>4.68</v>
      </c>
      <c r="U20" s="161"/>
      <c r="V20" s="161"/>
      <c r="W20" s="161"/>
    </row>
    <row r="21" spans="1:23" ht="12.75" customHeight="1">
      <c r="A21" s="83"/>
      <c r="B21" s="23" t="s">
        <v>37</v>
      </c>
      <c r="C21" s="92">
        <v>0.71</v>
      </c>
      <c r="D21" s="92">
        <v>0.73</v>
      </c>
      <c r="E21" s="94">
        <v>2.89</v>
      </c>
      <c r="F21" s="243">
        <v>3.69</v>
      </c>
      <c r="G21" s="243">
        <v>3.93</v>
      </c>
      <c r="H21" s="243">
        <v>3.82</v>
      </c>
      <c r="I21" s="243">
        <v>3.67</v>
      </c>
      <c r="J21" s="243">
        <v>4.5199999999999996</v>
      </c>
      <c r="K21" s="243">
        <v>4.59</v>
      </c>
      <c r="L21" s="243">
        <v>4.87</v>
      </c>
      <c r="M21" s="243">
        <v>4.71</v>
      </c>
      <c r="N21" s="243">
        <v>4.68</v>
      </c>
      <c r="O21" s="243">
        <v>4.76</v>
      </c>
      <c r="P21" s="243">
        <v>4.6500000000000004</v>
      </c>
      <c r="Q21" s="243">
        <v>4.16</v>
      </c>
      <c r="R21" s="243">
        <v>4.24</v>
      </c>
      <c r="S21" s="243">
        <v>4.3600000000000003</v>
      </c>
      <c r="T21" s="243">
        <v>4.8</v>
      </c>
      <c r="U21" s="161"/>
      <c r="V21" s="161"/>
      <c r="W21" s="161"/>
    </row>
    <row r="22" spans="1:23" ht="12.75" customHeight="1">
      <c r="A22" s="83"/>
      <c r="B22" s="23" t="s">
        <v>38</v>
      </c>
      <c r="C22" s="92">
        <v>0.85</v>
      </c>
      <c r="D22" s="92">
        <v>0.8</v>
      </c>
      <c r="E22" s="94">
        <v>3.65</v>
      </c>
      <c r="F22" s="243">
        <v>3.67</v>
      </c>
      <c r="G22" s="243">
        <v>3.87</v>
      </c>
      <c r="H22" s="243">
        <v>3.66</v>
      </c>
      <c r="I22" s="243">
        <v>3.65</v>
      </c>
      <c r="J22" s="243">
        <v>4.33</v>
      </c>
      <c r="K22" s="243">
        <v>4.45</v>
      </c>
      <c r="L22" s="243">
        <v>4.8099999999999996</v>
      </c>
      <c r="M22" s="243">
        <v>4.5199999999999996</v>
      </c>
      <c r="N22" s="243">
        <v>4.57</v>
      </c>
      <c r="O22" s="243">
        <v>4.55</v>
      </c>
      <c r="P22" s="243">
        <v>4.58</v>
      </c>
      <c r="Q22" s="243">
        <v>4.0999999999999996</v>
      </c>
      <c r="R22" s="243">
        <v>3.95</v>
      </c>
      <c r="S22" s="243">
        <v>4.17</v>
      </c>
      <c r="T22" s="243">
        <v>4.71</v>
      </c>
      <c r="U22" s="161"/>
      <c r="V22" s="161"/>
      <c r="W22" s="161"/>
    </row>
    <row r="23" spans="1:23" ht="12.75" customHeight="1">
      <c r="A23" s="83"/>
      <c r="B23" s="23" t="s">
        <v>39</v>
      </c>
      <c r="C23" s="92">
        <v>0.72</v>
      </c>
      <c r="D23" s="92">
        <v>0.83</v>
      </c>
      <c r="E23" s="94">
        <v>3.18</v>
      </c>
      <c r="F23" s="243">
        <v>3.67</v>
      </c>
      <c r="G23" s="243">
        <v>3.74</v>
      </c>
      <c r="H23" s="243">
        <v>3.8</v>
      </c>
      <c r="I23" s="243">
        <v>3.85</v>
      </c>
      <c r="J23" s="243">
        <v>4.49</v>
      </c>
      <c r="K23" s="243">
        <v>4.5199999999999996</v>
      </c>
      <c r="L23" s="243">
        <v>4.9800000000000004</v>
      </c>
      <c r="M23" s="243">
        <v>4.4400000000000004</v>
      </c>
      <c r="N23" s="243">
        <v>4.7300000000000004</v>
      </c>
      <c r="O23" s="243">
        <v>4.74</v>
      </c>
      <c r="P23" s="243">
        <v>4.66</v>
      </c>
      <c r="Q23" s="243">
        <v>4.12</v>
      </c>
      <c r="R23" s="243">
        <v>4.03</v>
      </c>
      <c r="S23" s="243">
        <v>4.18</v>
      </c>
      <c r="T23" s="243">
        <v>4.76</v>
      </c>
      <c r="U23" s="161"/>
      <c r="V23" s="161"/>
      <c r="W23" s="161"/>
    </row>
    <row r="24" spans="1:23" ht="12.75" customHeight="1">
      <c r="A24" s="83"/>
      <c r="B24" s="23" t="s">
        <v>40</v>
      </c>
      <c r="C24" s="92">
        <v>1.06</v>
      </c>
      <c r="D24" s="92">
        <v>1.1399999999999999</v>
      </c>
      <c r="E24" s="94">
        <v>3.74</v>
      </c>
      <c r="F24" s="243">
        <v>4.0199999999999996</v>
      </c>
      <c r="G24" s="243">
        <v>4.12</v>
      </c>
      <c r="H24" s="243">
        <v>4.49</v>
      </c>
      <c r="I24" s="243">
        <v>4.47</v>
      </c>
      <c r="J24" s="243">
        <v>5.04</v>
      </c>
      <c r="K24" s="243">
        <v>5.38</v>
      </c>
      <c r="L24" s="243">
        <v>5.45</v>
      </c>
      <c r="M24" s="243">
        <v>5.48</v>
      </c>
      <c r="N24" s="243">
        <v>5.45</v>
      </c>
      <c r="O24" s="243">
        <v>5.03</v>
      </c>
      <c r="P24" s="243">
        <v>5.03</v>
      </c>
      <c r="Q24" s="243">
        <v>4.18</v>
      </c>
      <c r="R24" s="243">
        <v>4.07</v>
      </c>
      <c r="S24" s="243">
        <v>4.25</v>
      </c>
      <c r="T24" s="243">
        <v>4.6100000000000003</v>
      </c>
      <c r="U24" s="161"/>
      <c r="V24" s="161"/>
      <c r="W24" s="161"/>
    </row>
    <row r="25" spans="1:23" ht="12.75" customHeight="1">
      <c r="A25" s="83"/>
      <c r="B25" s="23" t="s">
        <v>41</v>
      </c>
      <c r="C25" s="92">
        <v>1.1100000000000001</v>
      </c>
      <c r="D25" s="92">
        <v>1.17</v>
      </c>
      <c r="E25" s="94">
        <v>3.67</v>
      </c>
      <c r="F25" s="243">
        <v>3.84</v>
      </c>
      <c r="G25" s="243">
        <v>4.04</v>
      </c>
      <c r="H25" s="243">
        <v>4.24</v>
      </c>
      <c r="I25" s="243">
        <v>4.26</v>
      </c>
      <c r="J25" s="243">
        <v>4.5</v>
      </c>
      <c r="K25" s="243">
        <v>4.66</v>
      </c>
      <c r="L25" s="243">
        <v>5.69</v>
      </c>
      <c r="M25" s="243">
        <v>5.36</v>
      </c>
      <c r="N25" s="243">
        <v>5.27</v>
      </c>
      <c r="O25" s="243">
        <v>5.18</v>
      </c>
      <c r="P25" s="243">
        <v>4.93</v>
      </c>
      <c r="Q25" s="243">
        <v>4.16</v>
      </c>
      <c r="R25" s="243">
        <v>4.05</v>
      </c>
      <c r="S25" s="243">
        <v>4.17</v>
      </c>
      <c r="T25" s="243">
        <v>4.5</v>
      </c>
      <c r="U25" s="161"/>
      <c r="V25" s="161"/>
      <c r="W25" s="161"/>
    </row>
    <row r="26" spans="1:23" ht="12.75" customHeight="1">
      <c r="A26" s="83"/>
      <c r="B26" s="23" t="s">
        <v>44</v>
      </c>
      <c r="C26" s="92">
        <v>1.05</v>
      </c>
      <c r="D26" s="92">
        <v>1.07</v>
      </c>
      <c r="E26" s="94">
        <v>3.6</v>
      </c>
      <c r="F26" s="243">
        <v>3.84</v>
      </c>
      <c r="G26" s="243">
        <v>4.2</v>
      </c>
      <c r="H26" s="243">
        <v>4.43</v>
      </c>
      <c r="I26" s="243">
        <v>4.6100000000000003</v>
      </c>
      <c r="J26" s="243">
        <v>5</v>
      </c>
      <c r="K26" s="243">
        <v>5.14</v>
      </c>
      <c r="L26" s="243">
        <v>5.25</v>
      </c>
      <c r="M26" s="243">
        <v>5.27</v>
      </c>
      <c r="N26" s="243">
        <v>5.33</v>
      </c>
      <c r="O26" s="243">
        <v>5.1100000000000003</v>
      </c>
      <c r="P26" s="243">
        <v>5.01</v>
      </c>
      <c r="Q26" s="243">
        <v>4.21</v>
      </c>
      <c r="R26" s="243">
        <v>4.21</v>
      </c>
      <c r="S26" s="243">
        <v>4.3099999999999996</v>
      </c>
      <c r="T26" s="243">
        <v>4.7</v>
      </c>
      <c r="U26" s="161"/>
      <c r="V26" s="161"/>
      <c r="W26" s="161"/>
    </row>
    <row r="27" spans="1:23" ht="12.75" customHeight="1">
      <c r="A27" s="83"/>
      <c r="B27" s="23" t="s">
        <v>45</v>
      </c>
      <c r="C27" s="92">
        <v>0.85</v>
      </c>
      <c r="D27" s="92">
        <v>0.75</v>
      </c>
      <c r="E27" s="94">
        <v>3.47</v>
      </c>
      <c r="F27" s="243">
        <v>3.8</v>
      </c>
      <c r="G27" s="243">
        <v>4.16</v>
      </c>
      <c r="H27" s="243">
        <v>4</v>
      </c>
      <c r="I27" s="243">
        <v>4.4400000000000004</v>
      </c>
      <c r="J27" s="243">
        <v>4.93</v>
      </c>
      <c r="K27" s="243">
        <v>5.13</v>
      </c>
      <c r="L27" s="243">
        <v>5.74</v>
      </c>
      <c r="M27" s="243">
        <v>5.67</v>
      </c>
      <c r="N27" s="243">
        <v>5.79</v>
      </c>
      <c r="O27" s="243">
        <v>5.62</v>
      </c>
      <c r="P27" s="243">
        <v>5.4</v>
      </c>
      <c r="Q27" s="243">
        <v>4.2300000000000004</v>
      </c>
      <c r="R27" s="243">
        <v>4.17</v>
      </c>
      <c r="S27" s="243">
        <v>4.28</v>
      </c>
      <c r="T27" s="243">
        <v>4.6399999999999997</v>
      </c>
      <c r="U27" s="161"/>
      <c r="V27" s="161"/>
      <c r="W27" s="161"/>
    </row>
    <row r="28" spans="1:23" ht="12.75" customHeight="1">
      <c r="A28" s="83"/>
      <c r="B28" s="82" t="s">
        <v>46</v>
      </c>
      <c r="C28" s="92">
        <v>0.93</v>
      </c>
      <c r="D28" s="92">
        <v>0.96</v>
      </c>
      <c r="E28" s="94">
        <v>3.58</v>
      </c>
      <c r="F28" s="243">
        <v>3.81</v>
      </c>
      <c r="G28" s="243">
        <v>4.13</v>
      </c>
      <c r="H28" s="243">
        <v>4.1100000000000003</v>
      </c>
      <c r="I28" s="243">
        <v>4.3</v>
      </c>
      <c r="J28" s="243">
        <v>5</v>
      </c>
      <c r="K28" s="243">
        <v>5.16</v>
      </c>
      <c r="L28" s="243">
        <v>5.24</v>
      </c>
      <c r="M28" s="243">
        <v>5.35</v>
      </c>
      <c r="N28" s="243">
        <v>5.46</v>
      </c>
      <c r="O28" s="243">
        <v>5.13</v>
      </c>
      <c r="P28" s="243">
        <v>4.9400000000000004</v>
      </c>
      <c r="Q28" s="243">
        <v>4.26</v>
      </c>
      <c r="R28" s="243">
        <v>4.1900000000000004</v>
      </c>
      <c r="S28" s="243">
        <v>4.3099999999999996</v>
      </c>
      <c r="T28" s="243">
        <v>4.76</v>
      </c>
      <c r="U28" s="161"/>
      <c r="V28" s="161"/>
      <c r="W28" s="161"/>
    </row>
    <row r="29" spans="1:23" ht="12.75" customHeight="1">
      <c r="A29" s="83"/>
      <c r="B29" s="23" t="s">
        <v>47</v>
      </c>
      <c r="C29" s="92">
        <v>1.43</v>
      </c>
      <c r="D29" s="92">
        <v>1.32</v>
      </c>
      <c r="E29" s="94">
        <v>3.28</v>
      </c>
      <c r="F29" s="243">
        <v>3.67</v>
      </c>
      <c r="G29" s="243">
        <v>4.13</v>
      </c>
      <c r="H29" s="243">
        <v>4.09</v>
      </c>
      <c r="I29" s="243">
        <v>4.34</v>
      </c>
      <c r="J29" s="243">
        <v>5.0599999999999996</v>
      </c>
      <c r="K29" s="243">
        <v>5.54</v>
      </c>
      <c r="L29" s="243">
        <v>5.44</v>
      </c>
      <c r="M29" s="243">
        <v>5.36</v>
      </c>
      <c r="N29" s="243">
        <v>5.24</v>
      </c>
      <c r="O29" s="243">
        <v>5.04</v>
      </c>
      <c r="P29" s="243">
        <v>4.88</v>
      </c>
      <c r="Q29" s="243">
        <v>4.26</v>
      </c>
      <c r="R29" s="243">
        <v>4.24</v>
      </c>
      <c r="S29" s="243">
        <v>4.4000000000000004</v>
      </c>
      <c r="T29" s="243">
        <v>4.82</v>
      </c>
      <c r="U29" s="161"/>
      <c r="V29" s="161"/>
      <c r="W29" s="161"/>
    </row>
    <row r="30" spans="1:23" ht="12.75" customHeight="1">
      <c r="A30" s="83"/>
      <c r="B30" s="23" t="s">
        <v>48</v>
      </c>
      <c r="C30" s="92">
        <v>1.28</v>
      </c>
      <c r="D30" s="92">
        <v>1.21</v>
      </c>
      <c r="E30" s="94">
        <v>3.77</v>
      </c>
      <c r="F30" s="243">
        <v>3.84</v>
      </c>
      <c r="G30" s="243">
        <v>3.98</v>
      </c>
      <c r="H30" s="243">
        <v>4.07</v>
      </c>
      <c r="I30" s="243">
        <v>4.3</v>
      </c>
      <c r="J30" s="243">
        <v>5.09</v>
      </c>
      <c r="K30" s="243">
        <v>5.38</v>
      </c>
      <c r="L30" s="243">
        <v>5.22</v>
      </c>
      <c r="M30" s="243">
        <v>5.33</v>
      </c>
      <c r="N30" s="243">
        <v>5.09</v>
      </c>
      <c r="O30" s="243">
        <v>5.0199999999999996</v>
      </c>
      <c r="P30" s="243">
        <v>4.9000000000000004</v>
      </c>
      <c r="Q30" s="243">
        <v>4.1900000000000004</v>
      </c>
      <c r="R30" s="243">
        <v>4.26</v>
      </c>
      <c r="S30" s="243">
        <v>4.3899999999999997</v>
      </c>
      <c r="T30" s="243">
        <v>4.8</v>
      </c>
      <c r="U30" s="161"/>
      <c r="V30" s="161"/>
      <c r="W30" s="161"/>
    </row>
    <row r="31" spans="1:23" ht="12.75" customHeight="1">
      <c r="A31" s="83"/>
      <c r="B31" s="23" t="s">
        <v>49</v>
      </c>
      <c r="C31" s="92">
        <v>1.41</v>
      </c>
      <c r="D31" s="92">
        <v>1.41</v>
      </c>
      <c r="E31" s="94">
        <v>3.7</v>
      </c>
      <c r="F31" s="243">
        <v>3.99</v>
      </c>
      <c r="G31" s="243">
        <v>4.78</v>
      </c>
      <c r="H31" s="243">
        <v>5.39</v>
      </c>
      <c r="I31" s="243">
        <v>4.4400000000000004</v>
      </c>
      <c r="J31" s="243">
        <v>5.21</v>
      </c>
      <c r="K31" s="243">
        <v>5.21</v>
      </c>
      <c r="L31" s="243">
        <v>5.53</v>
      </c>
      <c r="M31" s="243">
        <v>5.05</v>
      </c>
      <c r="N31" s="243">
        <v>4.37</v>
      </c>
      <c r="O31" s="243">
        <v>4.6100000000000003</v>
      </c>
      <c r="P31" s="243">
        <v>4.59</v>
      </c>
      <c r="Q31" s="243">
        <v>4.1500000000000004</v>
      </c>
      <c r="R31" s="243">
        <v>4.21</v>
      </c>
      <c r="S31" s="243">
        <v>4.42</v>
      </c>
      <c r="T31" s="243">
        <v>4.8099999999999996</v>
      </c>
      <c r="U31" s="161"/>
      <c r="V31" s="161"/>
      <c r="W31" s="161"/>
    </row>
    <row r="32" spans="1:23" ht="5" customHeight="1" thickBot="1">
      <c r="A32" s="8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 spans="1:20" ht="9" customHeight="1">
      <c r="A33" s="778" t="s">
        <v>402</v>
      </c>
      <c r="B33" s="873"/>
      <c r="C33" s="874"/>
      <c r="D33" s="874"/>
      <c r="E33" s="874"/>
      <c r="F33" s="874"/>
      <c r="G33" s="874"/>
      <c r="H33" s="874"/>
      <c r="I33" s="874"/>
      <c r="J33" s="874"/>
      <c r="K33" s="803"/>
      <c r="L33" s="38"/>
      <c r="M33" s="38"/>
      <c r="N33" s="38"/>
      <c r="O33" s="38"/>
      <c r="P33" s="38"/>
      <c r="Q33" s="38"/>
      <c r="R33" s="38"/>
      <c r="S33" s="38"/>
      <c r="T33" s="38"/>
    </row>
    <row r="34" spans="1:20" ht="9" customHeight="1">
      <c r="A34" s="875" t="s">
        <v>359</v>
      </c>
      <c r="B34" s="873"/>
      <c r="C34" s="874"/>
      <c r="D34" s="874"/>
      <c r="E34" s="874"/>
      <c r="F34" s="874"/>
      <c r="G34" s="874"/>
      <c r="H34" s="876"/>
      <c r="I34" s="876"/>
      <c r="J34" s="876"/>
      <c r="K34" s="804"/>
      <c r="L34" s="84"/>
      <c r="M34" s="84"/>
      <c r="N34" s="84"/>
      <c r="O34" s="84"/>
      <c r="P34" s="84"/>
      <c r="Q34" s="84"/>
      <c r="R34" s="84"/>
      <c r="S34" s="84"/>
      <c r="T34" s="84"/>
    </row>
    <row r="35" spans="1:20" ht="9" customHeight="1">
      <c r="A35" s="780" t="s">
        <v>358</v>
      </c>
      <c r="B35" s="877"/>
      <c r="C35" s="874"/>
      <c r="D35" s="874"/>
      <c r="E35" s="874"/>
      <c r="F35" s="874"/>
      <c r="G35" s="874"/>
      <c r="H35" s="876"/>
      <c r="I35" s="876"/>
      <c r="J35" s="876"/>
      <c r="K35" s="804"/>
      <c r="L35" s="84"/>
      <c r="M35" s="84"/>
      <c r="N35" s="84"/>
      <c r="O35" s="84"/>
      <c r="P35" s="84"/>
      <c r="Q35" s="84"/>
      <c r="R35" s="84"/>
      <c r="S35" s="84"/>
      <c r="T35" s="8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Hoja136">
    <tabColor theme="9" tint="0.59999389629810485"/>
  </sheetPr>
  <dimension ref="A2:S52"/>
  <sheetViews>
    <sheetView showGridLines="0" zoomScaleNormal="100" workbookViewId="0">
      <selection activeCell="X65" sqref="X65"/>
    </sheetView>
  </sheetViews>
  <sheetFormatPr baseColWidth="10" defaultColWidth="7" defaultRowHeight="13.25" customHeight="1"/>
  <cols>
    <col min="1" max="1" width="13.59765625" style="73" customWidth="1"/>
    <col min="2" max="2" width="9.59765625" style="73" customWidth="1"/>
    <col min="3" max="3" width="10.19921875" style="73" customWidth="1"/>
    <col min="4" max="15" width="8" style="73" customWidth="1"/>
    <col min="16" max="16384" width="7" style="73"/>
  </cols>
  <sheetData>
    <row r="2" spans="1:19" ht="13.25" customHeight="1">
      <c r="A2" s="447" t="s">
        <v>603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9" ht="4.25" customHeight="1" thickBo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9" ht="15" customHeight="1">
      <c r="A4" s="565" t="s">
        <v>104</v>
      </c>
      <c r="B4" s="565" t="s">
        <v>319</v>
      </c>
      <c r="C4" s="565" t="s">
        <v>54</v>
      </c>
      <c r="D4" s="565" t="s">
        <v>55</v>
      </c>
      <c r="E4" s="565" t="s">
        <v>56</v>
      </c>
      <c r="F4" s="565" t="s">
        <v>57</v>
      </c>
      <c r="G4" s="565" t="s">
        <v>58</v>
      </c>
      <c r="H4" s="565" t="s">
        <v>59</v>
      </c>
      <c r="I4" s="565" t="s">
        <v>60</v>
      </c>
      <c r="J4" s="565" t="s">
        <v>61</v>
      </c>
      <c r="K4" s="565" t="s">
        <v>62</v>
      </c>
      <c r="L4" s="565" t="s">
        <v>63</v>
      </c>
      <c r="M4" s="565" t="s">
        <v>64</v>
      </c>
      <c r="N4" s="565" t="s">
        <v>65</v>
      </c>
      <c r="O4" s="565" t="s">
        <v>66</v>
      </c>
      <c r="R4" s="420"/>
      <c r="S4" s="420"/>
    </row>
    <row r="5" spans="1:19" ht="4.25" customHeight="1">
      <c r="B5" s="76"/>
      <c r="C5" s="517"/>
    </row>
    <row r="6" spans="1:19" ht="10.5" customHeight="1">
      <c r="A6" s="73" t="s">
        <v>117</v>
      </c>
      <c r="B6" s="76" t="s">
        <v>105</v>
      </c>
      <c r="C6" s="515">
        <f>SUM(D6:O6)</f>
        <v>273732334</v>
      </c>
      <c r="D6" s="77">
        <v>22716588</v>
      </c>
      <c r="E6" s="77">
        <v>21886037</v>
      </c>
      <c r="F6" s="77">
        <v>22878090</v>
      </c>
      <c r="G6" s="77">
        <v>22069419</v>
      </c>
      <c r="H6" s="77">
        <v>24142957</v>
      </c>
      <c r="I6" s="77">
        <v>22827151</v>
      </c>
      <c r="J6" s="77">
        <v>22524896</v>
      </c>
      <c r="K6" s="77">
        <v>22813883</v>
      </c>
      <c r="L6" s="77">
        <v>21937612</v>
      </c>
      <c r="M6" s="77">
        <v>23473100</v>
      </c>
      <c r="N6" s="77">
        <v>22981511</v>
      </c>
      <c r="O6" s="77">
        <v>23481090</v>
      </c>
    </row>
    <row r="7" spans="1:19" ht="10.5" customHeight="1">
      <c r="B7" s="76" t="s">
        <v>438</v>
      </c>
      <c r="C7" s="515">
        <f>SUM(D7:O7)</f>
        <v>742698023.89999998</v>
      </c>
      <c r="D7" s="77">
        <v>61592302.699999988</v>
      </c>
      <c r="E7" s="77">
        <v>58463845.400000006</v>
      </c>
      <c r="F7" s="77">
        <v>61360097</v>
      </c>
      <c r="G7" s="77">
        <v>60352983.400000006</v>
      </c>
      <c r="H7" s="77">
        <v>65234956.299999997</v>
      </c>
      <c r="I7" s="77">
        <v>61030231.399999991</v>
      </c>
      <c r="J7" s="77">
        <v>61314780.999999985</v>
      </c>
      <c r="K7" s="77">
        <v>60011155.399999999</v>
      </c>
      <c r="L7" s="77">
        <v>60593062.999999993</v>
      </c>
      <c r="M7" s="77">
        <v>64635023.999999993</v>
      </c>
      <c r="N7" s="77">
        <v>63168865.700000003</v>
      </c>
      <c r="O7" s="77">
        <v>64940718.600000001</v>
      </c>
    </row>
    <row r="8" spans="1:19" ht="10.5" customHeight="1">
      <c r="B8" s="76" t="s">
        <v>429</v>
      </c>
      <c r="C8" s="516">
        <f t="shared" ref="C8" si="0">(C7/C6)</f>
        <v>2.7132272356980671</v>
      </c>
      <c r="D8" s="78">
        <v>2.7109999999999999</v>
      </c>
      <c r="E8" s="78">
        <v>2.6709999999999998</v>
      </c>
      <c r="F8" s="78">
        <v>2.6819999999999999</v>
      </c>
      <c r="G8" s="78">
        <v>2.7349999999999999</v>
      </c>
      <c r="H8" s="78">
        <v>2.702</v>
      </c>
      <c r="I8" s="78">
        <v>2.6739999999999999</v>
      </c>
      <c r="J8" s="78">
        <v>2.722</v>
      </c>
      <c r="K8" s="78">
        <v>2.63</v>
      </c>
      <c r="L8" s="78">
        <v>2.762</v>
      </c>
      <c r="M8" s="78">
        <v>2.754</v>
      </c>
      <c r="N8" s="78">
        <v>2.7490000000000001</v>
      </c>
      <c r="O8" s="78">
        <v>2.766</v>
      </c>
    </row>
    <row r="9" spans="1:19" ht="10.5" customHeight="1">
      <c r="B9" s="76"/>
      <c r="C9" s="517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</row>
    <row r="10" spans="1:19" ht="10.5" customHeight="1">
      <c r="A10" s="73" t="s">
        <v>172</v>
      </c>
      <c r="B10" s="76" t="s">
        <v>105</v>
      </c>
      <c r="C10" s="515">
        <f>SUM(D10:O10)</f>
        <v>333301</v>
      </c>
      <c r="D10" s="77">
        <v>32275</v>
      </c>
      <c r="E10" s="77">
        <v>24910</v>
      </c>
      <c r="F10" s="77">
        <v>26098</v>
      </c>
      <c r="G10" s="77">
        <v>27230</v>
      </c>
      <c r="H10" s="77">
        <v>28105</v>
      </c>
      <c r="I10" s="77">
        <v>23205</v>
      </c>
      <c r="J10" s="77">
        <v>31240</v>
      </c>
      <c r="K10" s="77">
        <v>25670</v>
      </c>
      <c r="L10" s="77">
        <v>28563</v>
      </c>
      <c r="M10" s="77">
        <v>30945</v>
      </c>
      <c r="N10" s="77">
        <v>26490</v>
      </c>
      <c r="O10" s="77">
        <v>28570</v>
      </c>
      <c r="P10" s="77"/>
    </row>
    <row r="11" spans="1:19" ht="10.5" customHeight="1">
      <c r="B11" s="76" t="s">
        <v>438</v>
      </c>
      <c r="C11" s="515">
        <f>SUM(D11:O11)</f>
        <v>667892.6</v>
      </c>
      <c r="D11" s="77">
        <v>64661.599999999999</v>
      </c>
      <c r="E11" s="77">
        <v>49903.8</v>
      </c>
      <c r="F11" s="77">
        <v>52292.1</v>
      </c>
      <c r="G11" s="77">
        <v>54575.5</v>
      </c>
      <c r="H11" s="77">
        <v>56302.5</v>
      </c>
      <c r="I11" s="77">
        <v>46507</v>
      </c>
      <c r="J11" s="77">
        <v>62602.5</v>
      </c>
      <c r="K11" s="77">
        <v>51446.8</v>
      </c>
      <c r="L11" s="77">
        <v>57253.3</v>
      </c>
      <c r="M11" s="77">
        <v>62017.3</v>
      </c>
      <c r="N11" s="77">
        <v>53071.1</v>
      </c>
      <c r="O11" s="77">
        <v>57259.1</v>
      </c>
      <c r="P11" s="77"/>
    </row>
    <row r="12" spans="1:19" ht="10.5" customHeight="1">
      <c r="B12" s="76" t="s">
        <v>429</v>
      </c>
      <c r="C12" s="516">
        <f t="shared" ref="C12" si="1">(C11/C10)</f>
        <v>2.0038721756010331</v>
      </c>
      <c r="D12" s="78">
        <v>2</v>
      </c>
      <c r="E12" s="78">
        <v>2.004</v>
      </c>
      <c r="F12" s="78">
        <v>2.004</v>
      </c>
      <c r="G12" s="78">
        <v>2.004</v>
      </c>
      <c r="H12" s="78">
        <v>2.0030000000000001</v>
      </c>
      <c r="I12" s="78">
        <v>2.004</v>
      </c>
      <c r="J12" s="78">
        <v>2.004</v>
      </c>
      <c r="K12" s="78">
        <v>2.004</v>
      </c>
      <c r="L12" s="78">
        <v>2.004</v>
      </c>
      <c r="M12" s="78">
        <v>2.004</v>
      </c>
      <c r="N12" s="78">
        <v>2.0030000000000001</v>
      </c>
      <c r="O12" s="78">
        <v>2.004</v>
      </c>
    </row>
    <row r="13" spans="1:19" ht="10.5" customHeight="1">
      <c r="B13" s="76"/>
      <c r="C13" s="517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</row>
    <row r="14" spans="1:19" ht="10.5" customHeight="1">
      <c r="A14" s="73" t="s">
        <v>198</v>
      </c>
      <c r="B14" s="76" t="s">
        <v>105</v>
      </c>
      <c r="C14" s="515">
        <f>SUM(D14:O14)</f>
        <v>3705894</v>
      </c>
      <c r="D14" s="77">
        <v>336885</v>
      </c>
      <c r="E14" s="77">
        <v>312305</v>
      </c>
      <c r="F14" s="77">
        <v>253620</v>
      </c>
      <c r="G14" s="77">
        <v>255070</v>
      </c>
      <c r="H14" s="77">
        <v>327399</v>
      </c>
      <c r="I14" s="77">
        <v>300521</v>
      </c>
      <c r="J14" s="77">
        <v>317006</v>
      </c>
      <c r="K14" s="77">
        <v>325025</v>
      </c>
      <c r="L14" s="77">
        <v>320608</v>
      </c>
      <c r="M14" s="77">
        <v>318600</v>
      </c>
      <c r="N14" s="77">
        <v>331710</v>
      </c>
      <c r="O14" s="77">
        <v>307145</v>
      </c>
      <c r="P14" s="77"/>
    </row>
    <row r="15" spans="1:19" ht="10.5" customHeight="1">
      <c r="B15" s="76" t="s">
        <v>438</v>
      </c>
      <c r="C15" s="515">
        <f>SUM(D15:O15)</f>
        <v>7402124.0999999996</v>
      </c>
      <c r="D15" s="77">
        <v>672768.3</v>
      </c>
      <c r="E15" s="77">
        <v>623631.30000000005</v>
      </c>
      <c r="F15" s="77">
        <v>506525.5</v>
      </c>
      <c r="G15" s="77">
        <v>509478.6</v>
      </c>
      <c r="H15" s="77">
        <v>653937.6</v>
      </c>
      <c r="I15" s="77">
        <v>600269.5</v>
      </c>
      <c r="J15" s="77">
        <v>633273.19999999995</v>
      </c>
      <c r="K15" s="77">
        <v>649150.6</v>
      </c>
      <c r="L15" s="77">
        <v>640421.9</v>
      </c>
      <c r="M15" s="77">
        <v>636476.5</v>
      </c>
      <c r="N15" s="77">
        <v>662427.6</v>
      </c>
      <c r="O15" s="77">
        <v>613763.5</v>
      </c>
      <c r="P15" s="77"/>
    </row>
    <row r="16" spans="1:19" ht="10.5" customHeight="1">
      <c r="B16" s="76" t="s">
        <v>429</v>
      </c>
      <c r="C16" s="516">
        <f t="shared" ref="C16" si="2">(C15/C14)</f>
        <v>1.9973922891480436</v>
      </c>
      <c r="D16" s="78">
        <v>1.9970000000000001</v>
      </c>
      <c r="E16" s="78">
        <v>1.9970000000000001</v>
      </c>
      <c r="F16" s="78">
        <v>1.9970000000000001</v>
      </c>
      <c r="G16" s="78">
        <v>1.9970000000000001</v>
      </c>
      <c r="H16" s="78">
        <v>1.9970000000000001</v>
      </c>
      <c r="I16" s="78">
        <v>1.9970000000000001</v>
      </c>
      <c r="J16" s="78">
        <v>1.998</v>
      </c>
      <c r="K16" s="78">
        <v>1.9970000000000001</v>
      </c>
      <c r="L16" s="78">
        <v>1.998</v>
      </c>
      <c r="M16" s="78">
        <v>1.998</v>
      </c>
      <c r="N16" s="78">
        <v>1.9970000000000001</v>
      </c>
      <c r="O16" s="78">
        <v>1.998</v>
      </c>
    </row>
    <row r="17" spans="1:16" ht="10.5" customHeight="1">
      <c r="B17" s="76"/>
      <c r="C17" s="516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</row>
    <row r="18" spans="1:16" ht="10.5" customHeight="1">
      <c r="A18" s="73" t="s">
        <v>173</v>
      </c>
      <c r="B18" s="76" t="s">
        <v>105</v>
      </c>
      <c r="C18" s="515">
        <f>SUM(D18:O18)</f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</row>
    <row r="19" spans="1:16" ht="10.5" customHeight="1">
      <c r="B19" s="76" t="s">
        <v>438</v>
      </c>
      <c r="C19" s="515">
        <f>SUM(D19:O19)</f>
        <v>0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</row>
    <row r="20" spans="1:16" ht="10.5" customHeight="1">
      <c r="B20" s="76" t="s">
        <v>429</v>
      </c>
      <c r="C20" s="516">
        <v>0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</row>
    <row r="21" spans="1:16" ht="10.5" customHeight="1">
      <c r="B21" s="76"/>
      <c r="C21" s="516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</row>
    <row r="22" spans="1:16" ht="10.5" customHeight="1">
      <c r="A22" s="73" t="s">
        <v>174</v>
      </c>
      <c r="B22" s="76" t="s">
        <v>105</v>
      </c>
      <c r="C22" s="515">
        <f>SUM(D22:O22)</f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/>
    </row>
    <row r="23" spans="1:16" ht="10.5" customHeight="1">
      <c r="B23" s="76" t="s">
        <v>438</v>
      </c>
      <c r="C23" s="515">
        <f>SUM(D23:O23)</f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/>
    </row>
    <row r="24" spans="1:16" ht="10.5" customHeight="1">
      <c r="B24" s="76" t="s">
        <v>429</v>
      </c>
      <c r="C24" s="516">
        <v>0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</row>
    <row r="25" spans="1:16" ht="10.5" customHeight="1">
      <c r="B25" s="76"/>
      <c r="C25" s="516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</row>
    <row r="26" spans="1:16" ht="10.5" customHeight="1">
      <c r="A26" s="73" t="s">
        <v>320</v>
      </c>
      <c r="B26" s="76" t="s">
        <v>105</v>
      </c>
      <c r="C26" s="515">
        <f>SUM(D26:O26)</f>
        <v>4069590</v>
      </c>
      <c r="D26" s="77">
        <v>343890</v>
      </c>
      <c r="E26" s="77">
        <v>316530</v>
      </c>
      <c r="F26" s="77">
        <v>293900</v>
      </c>
      <c r="G26" s="77">
        <v>318780</v>
      </c>
      <c r="H26" s="77">
        <v>383040</v>
      </c>
      <c r="I26" s="77">
        <v>367040</v>
      </c>
      <c r="J26" s="77">
        <v>337620</v>
      </c>
      <c r="K26" s="77">
        <v>373480</v>
      </c>
      <c r="L26" s="77">
        <v>321010</v>
      </c>
      <c r="M26" s="77">
        <v>343900</v>
      </c>
      <c r="N26" s="77">
        <v>356900</v>
      </c>
      <c r="O26" s="77">
        <v>313500</v>
      </c>
      <c r="P26" s="77"/>
    </row>
    <row r="27" spans="1:16" ht="10.5" customHeight="1">
      <c r="B27" s="76" t="s">
        <v>438</v>
      </c>
      <c r="C27" s="515">
        <f>SUM(D27:O27)</f>
        <v>18061909.400000002</v>
      </c>
      <c r="D27" s="77">
        <v>1516485.1</v>
      </c>
      <c r="E27" s="77">
        <v>1403955.9</v>
      </c>
      <c r="F27" s="77">
        <v>1313467.8999999999</v>
      </c>
      <c r="G27" s="77">
        <v>1426442</v>
      </c>
      <c r="H27" s="77">
        <v>1702013.8</v>
      </c>
      <c r="I27" s="77">
        <v>1628879.1</v>
      </c>
      <c r="J27" s="77">
        <v>1509310.3</v>
      </c>
      <c r="K27" s="77">
        <v>1674720.6</v>
      </c>
      <c r="L27" s="77">
        <v>1435875.5</v>
      </c>
      <c r="M27" s="77">
        <v>1530123.7</v>
      </c>
      <c r="N27" s="77">
        <v>1525308.9</v>
      </c>
      <c r="O27" s="77">
        <v>1395326.6</v>
      </c>
      <c r="P27" s="77"/>
    </row>
    <row r="28" spans="1:16" ht="10.5" customHeight="1">
      <c r="B28" s="76" t="s">
        <v>429</v>
      </c>
      <c r="C28" s="516">
        <f t="shared" ref="C28" si="3">(C27/C26)</f>
        <v>4.4382626751097778</v>
      </c>
      <c r="D28" s="78">
        <v>4.41</v>
      </c>
      <c r="E28" s="78">
        <v>4.4349999999999996</v>
      </c>
      <c r="F28" s="78">
        <v>4.4690000000000003</v>
      </c>
      <c r="G28" s="78">
        <v>4.4749999999999996</v>
      </c>
      <c r="H28" s="78">
        <v>4.4429999999999996</v>
      </c>
      <c r="I28" s="78">
        <v>4.4379999999999997</v>
      </c>
      <c r="J28" s="78">
        <v>4.47</v>
      </c>
      <c r="K28" s="78">
        <v>4.484</v>
      </c>
      <c r="L28" s="78">
        <v>4.4729999999999999</v>
      </c>
      <c r="M28" s="78">
        <v>4.4489999999999998</v>
      </c>
      <c r="N28" s="78">
        <v>4.274</v>
      </c>
      <c r="O28" s="78">
        <v>4.4509999999999996</v>
      </c>
    </row>
    <row r="29" spans="1:16" ht="10.5" customHeight="1">
      <c r="B29" s="76"/>
      <c r="C29" s="516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</row>
    <row r="30" spans="1:16" ht="10.5" customHeight="1">
      <c r="A30" s="73" t="s">
        <v>417</v>
      </c>
      <c r="B30" s="76" t="s">
        <v>105</v>
      </c>
      <c r="C30" s="515">
        <f>SUM(D30:O30)</f>
        <v>54220</v>
      </c>
      <c r="D30" s="77">
        <v>6160</v>
      </c>
      <c r="E30" s="77">
        <v>0</v>
      </c>
      <c r="F30" s="77">
        <v>0</v>
      </c>
      <c r="G30" s="77">
        <v>0</v>
      </c>
      <c r="H30" s="77">
        <v>4180</v>
      </c>
      <c r="I30" s="77">
        <v>19200</v>
      </c>
      <c r="J30" s="77">
        <v>0</v>
      </c>
      <c r="K30" s="77">
        <v>0</v>
      </c>
      <c r="L30" s="77">
        <v>0</v>
      </c>
      <c r="M30" s="77">
        <v>24680</v>
      </c>
      <c r="N30" s="77">
        <v>0</v>
      </c>
      <c r="O30" s="77">
        <v>0</v>
      </c>
    </row>
    <row r="31" spans="1:16" ht="10.5" customHeight="1">
      <c r="B31" s="76" t="s">
        <v>438</v>
      </c>
      <c r="C31" s="515">
        <f>SUM(D31:O31)</f>
        <v>114828.4</v>
      </c>
      <c r="D31" s="77">
        <v>18318.099999999999</v>
      </c>
      <c r="E31" s="77">
        <v>0</v>
      </c>
      <c r="F31" s="77">
        <v>0</v>
      </c>
      <c r="G31" s="77">
        <v>0</v>
      </c>
      <c r="H31" s="77">
        <v>8378</v>
      </c>
      <c r="I31" s="77">
        <v>38760.400000000001</v>
      </c>
      <c r="J31" s="77">
        <v>0</v>
      </c>
      <c r="K31" s="77">
        <v>0</v>
      </c>
      <c r="L31" s="77">
        <v>0</v>
      </c>
      <c r="M31" s="77">
        <v>49371.9</v>
      </c>
      <c r="N31" s="77">
        <v>0</v>
      </c>
      <c r="O31" s="77">
        <v>0</v>
      </c>
    </row>
    <row r="32" spans="1:16" ht="10.5" customHeight="1">
      <c r="B32" s="76" t="s">
        <v>429</v>
      </c>
      <c r="C32" s="516">
        <f>(C31/C30)</f>
        <v>2.1178236812984137</v>
      </c>
      <c r="D32" s="78">
        <f>D31/D30</f>
        <v>2.973717532467532</v>
      </c>
      <c r="E32" s="78">
        <v>0</v>
      </c>
      <c r="F32" s="78">
        <v>0</v>
      </c>
      <c r="G32" s="78">
        <v>0</v>
      </c>
      <c r="H32" s="78">
        <f>H31/H30</f>
        <v>2.0043062200956938</v>
      </c>
      <c r="I32" s="78">
        <f>I31/I30</f>
        <v>2.0187708333333334</v>
      </c>
      <c r="J32" s="78">
        <v>0</v>
      </c>
      <c r="K32" s="78">
        <v>0</v>
      </c>
      <c r="L32" s="78">
        <v>0</v>
      </c>
      <c r="M32" s="78">
        <f>M31/M30</f>
        <v>2.0004821717990278</v>
      </c>
      <c r="N32" s="78">
        <v>0</v>
      </c>
      <c r="O32" s="78">
        <v>0</v>
      </c>
    </row>
    <row r="33" spans="1:19" ht="10.5" customHeight="1">
      <c r="B33" s="76"/>
      <c r="C33" s="516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</row>
    <row r="34" spans="1:19" ht="10.5" customHeight="1">
      <c r="A34" s="73" t="s">
        <v>112</v>
      </c>
      <c r="B34" s="76" t="s">
        <v>105</v>
      </c>
      <c r="C34" s="515">
        <f>SUM(D34:O34)</f>
        <v>69100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69100</v>
      </c>
    </row>
    <row r="35" spans="1:19" ht="10.5" customHeight="1">
      <c r="B35" s="76" t="s">
        <v>438</v>
      </c>
      <c r="C35" s="515">
        <f>SUM(D35:O35)</f>
        <v>638168.69999999995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638168.69999999995</v>
      </c>
    </row>
    <row r="36" spans="1:19" ht="10.5" customHeight="1">
      <c r="B36" s="76" t="s">
        <v>429</v>
      </c>
      <c r="C36" s="516">
        <f>(C35/C34)</f>
        <v>9.2354370477568732</v>
      </c>
      <c r="D36" s="78">
        <v>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9.2349999999999994</v>
      </c>
    </row>
    <row r="37" spans="1:19" ht="10.5" customHeight="1">
      <c r="B37" s="76"/>
      <c r="C37" s="516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</row>
    <row r="38" spans="1:19" ht="10.5" customHeight="1">
      <c r="A38" s="73" t="s">
        <v>175</v>
      </c>
      <c r="B38" s="76" t="s">
        <v>105</v>
      </c>
      <c r="C38" s="515">
        <f>SUM(D38:O38)</f>
        <v>17184</v>
      </c>
      <c r="D38" s="77">
        <v>1116</v>
      </c>
      <c r="E38" s="77">
        <v>1181</v>
      </c>
      <c r="F38" s="77">
        <v>1135</v>
      </c>
      <c r="G38" s="77">
        <v>1345</v>
      </c>
      <c r="H38" s="77">
        <v>1309</v>
      </c>
      <c r="I38" s="77">
        <v>1315</v>
      </c>
      <c r="J38" s="77">
        <v>1557</v>
      </c>
      <c r="K38" s="77">
        <v>1186</v>
      </c>
      <c r="L38" s="77">
        <v>1573</v>
      </c>
      <c r="M38" s="77">
        <v>1701</v>
      </c>
      <c r="N38" s="77">
        <v>1589</v>
      </c>
      <c r="O38" s="77">
        <v>2177</v>
      </c>
      <c r="P38" s="77"/>
    </row>
    <row r="39" spans="1:19" ht="10.5" customHeight="1">
      <c r="B39" s="76" t="s">
        <v>438</v>
      </c>
      <c r="C39" s="515">
        <f>SUM(D39:O39)</f>
        <v>57867.9</v>
      </c>
      <c r="D39" s="77">
        <v>3751</v>
      </c>
      <c r="E39" s="77">
        <v>3940.5</v>
      </c>
      <c r="F39" s="77">
        <v>3767.6</v>
      </c>
      <c r="G39" s="77">
        <v>4563.3999999999996</v>
      </c>
      <c r="H39" s="77">
        <v>4401.3</v>
      </c>
      <c r="I39" s="77">
        <v>4421.1000000000004</v>
      </c>
      <c r="J39" s="77">
        <v>5241.2</v>
      </c>
      <c r="K39" s="77">
        <v>4023.2</v>
      </c>
      <c r="L39" s="77">
        <v>5328.1</v>
      </c>
      <c r="M39" s="77">
        <v>5727.6</v>
      </c>
      <c r="N39" s="77">
        <v>5357.4</v>
      </c>
      <c r="O39" s="77">
        <v>7345.5</v>
      </c>
      <c r="P39" s="77"/>
    </row>
    <row r="40" spans="1:19" ht="10.5" customHeight="1">
      <c r="B40" s="76" t="s">
        <v>429</v>
      </c>
      <c r="C40" s="516">
        <f t="shared" ref="C40" si="4">(C39/C38)</f>
        <v>3.3675453910614528</v>
      </c>
      <c r="D40" s="78">
        <v>3.3610000000000002</v>
      </c>
      <c r="E40" s="78">
        <v>3.3370000000000002</v>
      </c>
      <c r="F40" s="78">
        <v>3.319</v>
      </c>
      <c r="G40" s="78">
        <v>3.3929999999999998</v>
      </c>
      <c r="H40" s="78">
        <v>3.3620000000000001</v>
      </c>
      <c r="I40" s="78">
        <v>3.3620000000000001</v>
      </c>
      <c r="J40" s="78">
        <v>3.3660000000000001</v>
      </c>
      <c r="K40" s="78">
        <v>3.3919999999999999</v>
      </c>
      <c r="L40" s="78">
        <v>3.387</v>
      </c>
      <c r="M40" s="78">
        <v>3.367</v>
      </c>
      <c r="N40" s="78">
        <v>3.3719999999999999</v>
      </c>
      <c r="O40" s="78">
        <v>3.3740000000000001</v>
      </c>
    </row>
    <row r="41" spans="1:19" ht="10.5" customHeight="1">
      <c r="B41" s="76"/>
      <c r="C41" s="517"/>
    </row>
    <row r="42" spans="1:19" ht="10.5" customHeight="1">
      <c r="A42" s="73" t="s">
        <v>176</v>
      </c>
      <c r="B42" s="76" t="s">
        <v>105</v>
      </c>
      <c r="C42" s="515">
        <f>SUM(D42:O42)</f>
        <v>734892</v>
      </c>
      <c r="D42" s="77">
        <v>56870</v>
      </c>
      <c r="E42" s="77">
        <v>54748</v>
      </c>
      <c r="F42" s="77">
        <v>58308</v>
      </c>
      <c r="G42" s="77">
        <v>52895</v>
      </c>
      <c r="H42" s="77">
        <v>61264</v>
      </c>
      <c r="I42" s="77">
        <v>60855</v>
      </c>
      <c r="J42" s="77">
        <v>62573</v>
      </c>
      <c r="K42" s="77">
        <v>66848</v>
      </c>
      <c r="L42" s="77">
        <v>61168</v>
      </c>
      <c r="M42" s="77">
        <v>65766</v>
      </c>
      <c r="N42" s="77">
        <v>67325</v>
      </c>
      <c r="O42" s="77">
        <v>66272</v>
      </c>
    </row>
    <row r="43" spans="1:19" ht="10.5" customHeight="1">
      <c r="B43" s="76" t="s">
        <v>438</v>
      </c>
      <c r="C43" s="515">
        <f>SUM(D43:O43)</f>
        <v>3773392.6</v>
      </c>
      <c r="D43" s="77">
        <v>291951</v>
      </c>
      <c r="E43" s="77">
        <v>280862</v>
      </c>
      <c r="F43" s="77">
        <v>299567.5</v>
      </c>
      <c r="G43" s="77">
        <v>271429.09999999998</v>
      </c>
      <c r="H43" s="77">
        <v>314411.7</v>
      </c>
      <c r="I43" s="77">
        <v>312213.3</v>
      </c>
      <c r="J43" s="77">
        <v>321142.2</v>
      </c>
      <c r="K43" s="77">
        <v>343184.2</v>
      </c>
      <c r="L43" s="77">
        <v>314027.09999999998</v>
      </c>
      <c r="M43" s="77">
        <v>337604.4</v>
      </c>
      <c r="N43" s="77">
        <v>345664.6</v>
      </c>
      <c r="O43" s="77">
        <v>341335.5</v>
      </c>
    </row>
    <row r="44" spans="1:19" ht="10.5" customHeight="1" thickBot="1">
      <c r="A44" s="74"/>
      <c r="B44" s="79" t="s">
        <v>429</v>
      </c>
      <c r="C44" s="518">
        <f t="shared" ref="C44" si="5">(C43/C42)</f>
        <v>5.1346219580564219</v>
      </c>
      <c r="D44" s="80">
        <v>5.1340000000000003</v>
      </c>
      <c r="E44" s="80">
        <v>5.13</v>
      </c>
      <c r="F44" s="80">
        <v>5.1379999999999999</v>
      </c>
      <c r="G44" s="80">
        <v>5.1310000000000002</v>
      </c>
      <c r="H44" s="80">
        <v>5.1319999999999997</v>
      </c>
      <c r="I44" s="80">
        <v>5.13</v>
      </c>
      <c r="J44" s="80">
        <v>5.1319999999999997</v>
      </c>
      <c r="K44" s="80">
        <v>5.1340000000000003</v>
      </c>
      <c r="L44" s="80">
        <v>5.1340000000000003</v>
      </c>
      <c r="M44" s="80">
        <v>5.133</v>
      </c>
      <c r="N44" s="80">
        <v>5.1340000000000003</v>
      </c>
      <c r="O44" s="80">
        <v>5.1509999999999998</v>
      </c>
    </row>
    <row r="45" spans="1:19" ht="9" customHeight="1">
      <c r="A45" s="778" t="s">
        <v>402</v>
      </c>
      <c r="B45" s="796"/>
      <c r="C45" s="796"/>
      <c r="D45" s="796"/>
      <c r="E45" s="796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</row>
    <row r="46" spans="1:19" ht="9" customHeight="1">
      <c r="A46" s="871" t="s">
        <v>379</v>
      </c>
      <c r="B46" s="796"/>
      <c r="C46" s="796"/>
      <c r="D46" s="796"/>
      <c r="E46" s="796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</row>
    <row r="47" spans="1:19" ht="9" customHeight="1">
      <c r="A47" s="780" t="s">
        <v>358</v>
      </c>
      <c r="B47" s="796"/>
      <c r="C47" s="796"/>
      <c r="D47" s="796"/>
      <c r="E47" s="796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</row>
    <row r="48" spans="1:19" ht="10.25" customHeight="1">
      <c r="A48" s="796"/>
      <c r="B48" s="796"/>
      <c r="C48" s="796"/>
      <c r="D48" s="938"/>
      <c r="E48" s="938"/>
      <c r="F48" s="938"/>
      <c r="G48" s="938"/>
      <c r="H48" s="938"/>
      <c r="I48" s="938"/>
      <c r="J48" s="938"/>
      <c r="K48" s="938"/>
      <c r="L48" s="938"/>
      <c r="M48" s="938"/>
      <c r="N48" s="938"/>
      <c r="O48" s="938"/>
      <c r="P48" s="190"/>
      <c r="Q48" s="190"/>
      <c r="R48" s="190"/>
      <c r="S48" s="190"/>
    </row>
    <row r="50" spans="1:1" ht="13.25" customHeight="1">
      <c r="A50" s="9"/>
    </row>
    <row r="51" spans="1:1" ht="13.25" customHeight="1">
      <c r="A51" s="81"/>
    </row>
    <row r="52" spans="1:1" ht="13.25" customHeight="1">
      <c r="A52" s="11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135</vt:i4>
      </vt:variant>
      <vt:variant>
        <vt:lpstr>Rangos con nombre</vt:lpstr>
      </vt:variant>
      <vt:variant>
        <vt:i4>138</vt:i4>
      </vt:variant>
    </vt:vector>
  </HeadingPairs>
  <TitlesOfParts>
    <vt:vector size="273" baseType="lpstr">
      <vt:lpstr>1. INDICADORES ECONÓMICOS</vt:lpstr>
      <vt:lpstr>C 1 - C 2 - C 3</vt:lpstr>
      <vt:lpstr>2. POBLACION Y ...</vt:lpstr>
      <vt:lpstr>C-4</vt:lpstr>
      <vt:lpstr>C 5</vt:lpstr>
      <vt:lpstr>C -6</vt:lpstr>
      <vt:lpstr>C 7</vt:lpstr>
      <vt:lpstr>C 8</vt:lpstr>
      <vt:lpstr>C 9</vt:lpstr>
      <vt:lpstr>C 10</vt:lpstr>
      <vt:lpstr>C 11</vt:lpstr>
      <vt:lpstr>C 12</vt:lpstr>
      <vt:lpstr>C 13</vt:lpstr>
      <vt:lpstr>C 14</vt:lpstr>
      <vt:lpstr>C 15</vt:lpstr>
      <vt:lpstr>C 16</vt:lpstr>
      <vt:lpstr>C 17</vt:lpstr>
      <vt:lpstr>C 18</vt:lpstr>
      <vt:lpstr>C 19</vt:lpstr>
      <vt:lpstr>C 20</vt:lpstr>
      <vt:lpstr>C 21</vt:lpstr>
      <vt:lpstr>C 22</vt:lpstr>
      <vt:lpstr>C 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 34</vt:lpstr>
      <vt:lpstr>C 35</vt:lpstr>
      <vt:lpstr>C 36</vt:lpstr>
      <vt:lpstr>C 37</vt:lpstr>
      <vt:lpstr>C 38</vt:lpstr>
      <vt:lpstr>C 39</vt:lpstr>
      <vt:lpstr>C 40</vt:lpstr>
      <vt:lpstr>C 41</vt:lpstr>
      <vt:lpstr>C 42</vt:lpstr>
      <vt:lpstr>C 43</vt:lpstr>
      <vt:lpstr>C 44</vt:lpstr>
      <vt:lpstr>C 45</vt:lpstr>
      <vt:lpstr>C 46</vt:lpstr>
      <vt:lpstr>C 47</vt:lpstr>
      <vt:lpstr>C 48</vt:lpstr>
      <vt:lpstr>C 49</vt:lpstr>
      <vt:lpstr>C-50</vt:lpstr>
      <vt:lpstr>C-51</vt:lpstr>
      <vt:lpstr>C-52</vt:lpstr>
      <vt:lpstr>C-53</vt:lpstr>
      <vt:lpstr>C-54</vt:lpstr>
      <vt:lpstr>C-55</vt:lpstr>
      <vt:lpstr>C-56</vt:lpstr>
      <vt:lpstr>C-57</vt:lpstr>
      <vt:lpstr>C-58</vt:lpstr>
      <vt:lpstr>C-59</vt:lpstr>
      <vt:lpstr>C-60</vt:lpstr>
      <vt:lpstr>C-61</vt:lpstr>
      <vt:lpstr>C-62</vt:lpstr>
      <vt:lpstr>C-63</vt:lpstr>
      <vt:lpstr>C-64</vt:lpstr>
      <vt:lpstr>C-65</vt:lpstr>
      <vt:lpstr>C-66</vt:lpstr>
      <vt:lpstr>C-67</vt:lpstr>
      <vt:lpstr>C-68</vt:lpstr>
      <vt:lpstr>C-69</vt:lpstr>
      <vt:lpstr>C-70</vt:lpstr>
      <vt:lpstr>C-71</vt:lpstr>
      <vt:lpstr>C-72</vt:lpstr>
      <vt:lpstr>C-73</vt:lpstr>
      <vt:lpstr>C-74</vt:lpstr>
      <vt:lpstr>C-75</vt:lpstr>
      <vt:lpstr>C-76</vt:lpstr>
      <vt:lpstr>C-77</vt:lpstr>
      <vt:lpstr>C-78</vt:lpstr>
      <vt:lpstr>C-79</vt:lpstr>
      <vt:lpstr>C-80</vt:lpstr>
      <vt:lpstr>C-81</vt:lpstr>
      <vt:lpstr>C-82</vt:lpstr>
      <vt:lpstr>C-83</vt:lpstr>
      <vt:lpstr>C-84</vt:lpstr>
      <vt:lpstr>C-85</vt:lpstr>
      <vt:lpstr>3. BENEFICIO DE ...</vt:lpstr>
      <vt:lpstr>C 86-C87</vt:lpstr>
      <vt:lpstr>C-88</vt:lpstr>
      <vt:lpstr>C-89</vt:lpstr>
      <vt:lpstr>C 90</vt:lpstr>
      <vt:lpstr>C 91 - 99</vt:lpstr>
      <vt:lpstr>4. ABASTECIMIENTO Y ...</vt:lpstr>
      <vt:lpstr>C 100 - 101</vt:lpstr>
      <vt:lpstr>C 102 - 103</vt:lpstr>
      <vt:lpstr>C 104-105</vt:lpstr>
      <vt:lpstr>C 106 - 107</vt:lpstr>
      <vt:lpstr>C 108 - 109 </vt:lpstr>
      <vt:lpstr>5. PRECIOS AL...</vt:lpstr>
      <vt:lpstr>C 110 _ 111</vt:lpstr>
      <vt:lpstr>C-112</vt:lpstr>
      <vt:lpstr>C-113</vt:lpstr>
      <vt:lpstr>C-114</vt:lpstr>
      <vt:lpstr>C-115</vt:lpstr>
      <vt:lpstr>C-116</vt:lpstr>
      <vt:lpstr>C-117</vt:lpstr>
      <vt:lpstr>C-118</vt:lpstr>
      <vt:lpstr>C-119</vt:lpstr>
      <vt:lpstr>C-120</vt:lpstr>
      <vt:lpstr>C-121</vt:lpstr>
      <vt:lpstr>C_122</vt:lpstr>
      <vt:lpstr>C-123</vt:lpstr>
      <vt:lpstr>C-124</vt:lpstr>
      <vt:lpstr>6. ESTADÍSTICA AVÍCOLA</vt:lpstr>
      <vt:lpstr>C-125</vt:lpstr>
      <vt:lpstr>C-126</vt:lpstr>
      <vt:lpstr>C 127 - 128</vt:lpstr>
      <vt:lpstr>C 129 - 130</vt:lpstr>
      <vt:lpstr>C 131 - 132</vt:lpstr>
      <vt:lpstr>C 133 - 134</vt:lpstr>
      <vt:lpstr>C 135 </vt:lpstr>
      <vt:lpstr>C-136-137</vt:lpstr>
      <vt:lpstr>C 138 - 139</vt:lpstr>
      <vt:lpstr>C 140 - 141 </vt:lpstr>
      <vt:lpstr>C 142 - C 143</vt:lpstr>
      <vt:lpstr>C 144</vt:lpstr>
      <vt:lpstr>C 145</vt:lpstr>
      <vt:lpstr>C 146</vt:lpstr>
      <vt:lpstr>C-147</vt:lpstr>
      <vt:lpstr>C-148</vt:lpstr>
      <vt:lpstr>C-149</vt:lpstr>
      <vt:lpstr>C-150</vt:lpstr>
      <vt:lpstr>C-151</vt:lpstr>
      <vt:lpstr>C-152</vt:lpstr>
      <vt:lpstr>C-153</vt:lpstr>
      <vt:lpstr>C 154</vt:lpstr>
      <vt:lpstr>'C 5'!A</vt:lpstr>
      <vt:lpstr>'C 100 - 101'!A_impresión_IM</vt:lpstr>
      <vt:lpstr>'C 102 - 103'!A_impresión_IM</vt:lpstr>
      <vt:lpstr>'C 104-105'!A_impresión_IM</vt:lpstr>
      <vt:lpstr>'C 106 - 107'!A_impresión_IM</vt:lpstr>
      <vt:lpstr>'C 90'!A_impresión_IM</vt:lpstr>
      <vt:lpstr>'C 91 - 99'!A_IMPRESIÓN_IM</vt:lpstr>
      <vt:lpstr>'C-88'!A_impresión_IM</vt:lpstr>
      <vt:lpstr>'C-89'!A_impresión_IM</vt:lpstr>
      <vt:lpstr>'C -6'!Área_de_impresión</vt:lpstr>
      <vt:lpstr>'C 1 - C 2 - C 3'!Área_de_impresión</vt:lpstr>
      <vt:lpstr>'C 10'!Área_de_impresión</vt:lpstr>
      <vt:lpstr>'C 100 - 101'!Área_de_impresión</vt:lpstr>
      <vt:lpstr>'C 102 - 103'!Área_de_impresión</vt:lpstr>
      <vt:lpstr>'C 104-105'!Área_de_impresión</vt:lpstr>
      <vt:lpstr>'C 106 - 107'!Área_de_impresión</vt:lpstr>
      <vt:lpstr>'C 108 - 109 '!Área_de_impresión</vt:lpstr>
      <vt:lpstr>'C 11'!Área_de_impresión</vt:lpstr>
      <vt:lpstr>'C 110 _ 111'!Área_de_impresión</vt:lpstr>
      <vt:lpstr>'C 12'!Área_de_impresión</vt:lpstr>
      <vt:lpstr>'C 127 - 128'!Área_de_impresión</vt:lpstr>
      <vt:lpstr>'C 129 - 130'!Área_de_impresión</vt:lpstr>
      <vt:lpstr>'C 13'!Área_de_impresión</vt:lpstr>
      <vt:lpstr>'C 131 - 132'!Área_de_impresión</vt:lpstr>
      <vt:lpstr>'C 133 - 134'!Área_de_impresión</vt:lpstr>
      <vt:lpstr>'C 135 '!Área_de_impresión</vt:lpstr>
      <vt:lpstr>'C 138 - 139'!Área_de_impresión</vt:lpstr>
      <vt:lpstr>'C 14'!Área_de_impresión</vt:lpstr>
      <vt:lpstr>'C 140 - 141 '!Área_de_impresión</vt:lpstr>
      <vt:lpstr>'C 142 - C 143'!Área_de_impresión</vt:lpstr>
      <vt:lpstr>'C 144'!Área_de_impresión</vt:lpstr>
      <vt:lpstr>'C 145'!Área_de_impresión</vt:lpstr>
      <vt:lpstr>'C 146'!Área_de_impresión</vt:lpstr>
      <vt:lpstr>'C 15'!Área_de_impresión</vt:lpstr>
      <vt:lpstr>'C 154'!Área_de_impresión</vt:lpstr>
      <vt:lpstr>'C 16'!Área_de_impresión</vt:lpstr>
      <vt:lpstr>'C 17'!Área_de_impresión</vt:lpstr>
      <vt:lpstr>'C 18'!Área_de_impresión</vt:lpstr>
      <vt:lpstr>'C 19'!Área_de_impresión</vt:lpstr>
      <vt:lpstr>'C 20'!Área_de_impresión</vt:lpstr>
      <vt:lpstr>'C 21'!Área_de_impresión</vt:lpstr>
      <vt:lpstr>'C 22'!Área_de_impresión</vt:lpstr>
      <vt:lpstr>'C 23'!Área_de_impresión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34'!Área_de_impresión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40'!Área_de_impresión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46'!Área_de_impresión</vt:lpstr>
      <vt:lpstr>'C 47'!Área_de_impresión</vt:lpstr>
      <vt:lpstr>'C 48'!Área_de_impresión</vt:lpstr>
      <vt:lpstr>'C 49'!Área_de_impresión</vt:lpstr>
      <vt:lpstr>'C 5'!Área_de_impresión</vt:lpstr>
      <vt:lpstr>'C 7'!Área_de_impresión</vt:lpstr>
      <vt:lpstr>'C 8'!Área_de_impresión</vt:lpstr>
      <vt:lpstr>'C 86-C87'!Área_de_impresión</vt:lpstr>
      <vt:lpstr>'C 9'!Área_de_impresión</vt:lpstr>
      <vt:lpstr>'C 90'!Área_de_impresión</vt:lpstr>
      <vt:lpstr>'C 91 - 99'!Área_de_impresión</vt:lpstr>
      <vt:lpstr>C_122!Área_de_impresión</vt:lpstr>
      <vt:lpstr>'C-112'!Área_de_impresión</vt:lpstr>
      <vt:lpstr>'C-113'!Área_de_impresión</vt:lpstr>
      <vt:lpstr>'C-114'!Área_de_impresión</vt:lpstr>
      <vt:lpstr>'C-115'!Área_de_impresión</vt:lpstr>
      <vt:lpstr>'C-116'!Área_de_impresión</vt:lpstr>
      <vt:lpstr>'C-117'!Área_de_impresión</vt:lpstr>
      <vt:lpstr>'C-118'!Área_de_impresión</vt:lpstr>
      <vt:lpstr>'C-119'!Área_de_impresión</vt:lpstr>
      <vt:lpstr>'C-120'!Área_de_impresión</vt:lpstr>
      <vt:lpstr>'C-121'!Área_de_impresión</vt:lpstr>
      <vt:lpstr>'C-123'!Área_de_impresión</vt:lpstr>
      <vt:lpstr>'C-124'!Área_de_impresión</vt:lpstr>
      <vt:lpstr>'C-125'!Área_de_impresión</vt:lpstr>
      <vt:lpstr>'C-126'!Área_de_impresión</vt:lpstr>
      <vt:lpstr>'C-136-137'!Área_de_impresión</vt:lpstr>
      <vt:lpstr>'C-147'!Área_de_impresión</vt:lpstr>
      <vt:lpstr>'C-148'!Área_de_impresión</vt:lpstr>
      <vt:lpstr>'C-149'!Área_de_impresión</vt:lpstr>
      <vt:lpstr>'C-150'!Área_de_impresión</vt:lpstr>
      <vt:lpstr>'C-151'!Área_de_impresión</vt:lpstr>
      <vt:lpstr>'C-152'!Área_de_impresión</vt:lpstr>
      <vt:lpstr>'C-153'!Área_de_impresión</vt:lpstr>
      <vt:lpstr>'C-4'!Área_de_impresión</vt:lpstr>
      <vt:lpstr>'C-50'!Área_de_impresión</vt:lpstr>
      <vt:lpstr>'C-51'!Área_de_impresión</vt:lpstr>
      <vt:lpstr>'C-52'!Área_de_impresión</vt:lpstr>
      <vt:lpstr>'C-53'!Área_de_impresión</vt:lpstr>
      <vt:lpstr>'C-54'!Área_de_impresión</vt:lpstr>
      <vt:lpstr>'C-55'!Área_de_impresión</vt:lpstr>
      <vt:lpstr>'C-56'!Área_de_impresión</vt:lpstr>
      <vt:lpstr>'C-57'!Área_de_impresión</vt:lpstr>
      <vt:lpstr>'C-58'!Área_de_impresión</vt:lpstr>
      <vt:lpstr>'C-59'!Área_de_impresión</vt:lpstr>
      <vt:lpstr>'C-60'!Área_de_impresión</vt:lpstr>
      <vt:lpstr>'C-61'!Área_de_impresión</vt:lpstr>
      <vt:lpstr>'C-62'!Área_de_impresión</vt:lpstr>
      <vt:lpstr>'C-63'!Área_de_impresión</vt:lpstr>
      <vt:lpstr>'C-64'!Área_de_impresión</vt:lpstr>
      <vt:lpstr>'C-65'!Área_de_impresión</vt:lpstr>
      <vt:lpstr>'C-66'!Área_de_impresión</vt:lpstr>
      <vt:lpstr>'C-67'!Área_de_impresión</vt:lpstr>
      <vt:lpstr>'C-68'!Área_de_impresión</vt:lpstr>
      <vt:lpstr>'C-69'!Área_de_impresión</vt:lpstr>
      <vt:lpstr>'C-70'!Área_de_impresión</vt:lpstr>
      <vt:lpstr>'C-71'!Área_de_impresión</vt:lpstr>
      <vt:lpstr>'C-72'!Área_de_impresión</vt:lpstr>
      <vt:lpstr>'C-73'!Área_de_impresión</vt:lpstr>
      <vt:lpstr>'C-74'!Área_de_impresión</vt:lpstr>
      <vt:lpstr>'C-75'!Área_de_impresión</vt:lpstr>
      <vt:lpstr>'C-76'!Área_de_impresión</vt:lpstr>
      <vt:lpstr>'C-77'!Área_de_impresión</vt:lpstr>
      <vt:lpstr>'C-78'!Área_de_impresión</vt:lpstr>
      <vt:lpstr>'C-79'!Área_de_impresión</vt:lpstr>
      <vt:lpstr>'C-80'!Área_de_impresión</vt:lpstr>
      <vt:lpstr>'C-81'!Área_de_impresión</vt:lpstr>
      <vt:lpstr>'C-82'!Área_de_impresión</vt:lpstr>
      <vt:lpstr>'C-83'!Área_de_impresión</vt:lpstr>
      <vt:lpstr>'C-84'!Área_de_impresión</vt:lpstr>
      <vt:lpstr>'C-85'!Área_de_impresión</vt:lpstr>
      <vt:lpstr>'C-88'!Área_de_impresión</vt:lpstr>
      <vt:lpstr>'C-89'!Área_de_impresión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elba castro - diseño hojas</dc:creator>
  <cp:keywords/>
  <dc:description/>
  <cp:lastModifiedBy>Microsoft Office User</cp:lastModifiedBy>
  <cp:lastPrinted>2023-07-26T16:58:20Z</cp:lastPrinted>
  <dcterms:created xsi:type="dcterms:W3CDTF">1999-02-26T21:15:02Z</dcterms:created>
  <dcterms:modified xsi:type="dcterms:W3CDTF">2023-07-26T17:08:28Z</dcterms:modified>
  <cp:category/>
</cp:coreProperties>
</file>